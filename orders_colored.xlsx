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Expenses" sheetId="2" r:id="rId6"/>
    <sheet state="hidden" name="Clients" sheetId="3" r:id="rId7"/>
    <sheet state="visible" name="Products" sheetId="4" r:id="rId8"/>
    <sheet state="visible" name="Stock" sheetId="5" r:id="rId9"/>
    <sheet state="visible" name="حسابات شهرية" sheetId="6" r:id="rId10"/>
    <sheet state="visible" name="تحليل بيانات مارس-يوليو" sheetId="7" r:id="rId11"/>
    <sheet state="visible" name="Private" sheetId="8" r:id="rId12"/>
    <sheet state="visible" name="محفظتي" sheetId="9" r:id="rId13"/>
    <sheet state="hidden" name="CRM Dashboard" sheetId="10" r:id="rId14"/>
    <sheet state="hidden" name="TempUnique" sheetId="11" r:id="rId15"/>
    <sheet state="hidden" name="Financial Dashboard" sheetId="12" r:id="rId16"/>
    <sheet state="hidden" name="قيمة المخزن" sheetId="13" r:id="rId17"/>
  </sheets>
  <definedNames>
    <definedName hidden="1" localSheetId="0" name="_xlnm._FilterDatabase">Orders!$A$1:$X$750</definedName>
    <definedName hidden="1" localSheetId="6" name="_xlnm._FilterDatabase">'تحليل بيانات مارس-يوليو'!$A$17:$B$27</definedName>
  </definedNames>
  <calcPr/>
</workbook>
</file>

<file path=xl/sharedStrings.xml><?xml version="1.0" encoding="utf-8"?>
<sst xmlns="http://schemas.openxmlformats.org/spreadsheetml/2006/main" count="7742" uniqueCount="1568">
  <si>
    <t>مصاريف ادارية</t>
  </si>
  <si>
    <t>المصروف</t>
  </si>
  <si>
    <t>بيان</t>
  </si>
  <si>
    <t>تاريخ</t>
  </si>
  <si>
    <t>نت لمريم</t>
  </si>
  <si>
    <t>ProductName</t>
  </si>
  <si>
    <t>500 شنط قماش</t>
  </si>
  <si>
    <t>Type</t>
  </si>
  <si>
    <t>شراء</t>
  </si>
  <si>
    <t>باقي مواصلات لسارة</t>
  </si>
  <si>
    <t>بيع</t>
  </si>
  <si>
    <t>كوست</t>
  </si>
  <si>
    <t>ربح</t>
  </si>
  <si>
    <t>توكتوك</t>
  </si>
  <si>
    <t>Client Name</t>
  </si>
  <si>
    <t>الاوردرات</t>
  </si>
  <si>
    <t>الوارد</t>
  </si>
  <si>
    <t xml:space="preserve">شمع وصاروخ </t>
  </si>
  <si>
    <t>المخزن</t>
  </si>
  <si>
    <t>Date</t>
  </si>
  <si>
    <t>Number</t>
  </si>
  <si>
    <t>المحافطة</t>
  </si>
  <si>
    <t>بكرة اسكوتش</t>
  </si>
  <si>
    <t>المنطقة</t>
  </si>
  <si>
    <t>Bible Note</t>
  </si>
  <si>
    <t>Social</t>
  </si>
  <si>
    <t>Order Details</t>
  </si>
  <si>
    <t>Brand</t>
  </si>
  <si>
    <t>Quantity</t>
  </si>
  <si>
    <t>توكتوك اسكوتش</t>
  </si>
  <si>
    <t>Price</t>
  </si>
  <si>
    <t>Discount</t>
  </si>
  <si>
    <t>Total</t>
  </si>
  <si>
    <t>توكتوك اوردرات</t>
  </si>
  <si>
    <t>Deposit</t>
  </si>
  <si>
    <t>Deposit Method</t>
  </si>
  <si>
    <t>The Rest</t>
  </si>
  <si>
    <t xml:space="preserve">مواصلات مريم </t>
  </si>
  <si>
    <t>Done</t>
  </si>
  <si>
    <t>Processed</t>
  </si>
  <si>
    <t>Payed</t>
  </si>
  <si>
    <t xml:space="preserve">بيتر </t>
  </si>
  <si>
    <t>Payment Method</t>
  </si>
  <si>
    <t>Balance</t>
  </si>
  <si>
    <t>Delivery</t>
  </si>
  <si>
    <t>Delivery By</t>
  </si>
  <si>
    <t>Column 22</t>
  </si>
  <si>
    <t>Column 23</t>
  </si>
  <si>
    <t>Column 24</t>
  </si>
  <si>
    <t>Hana</t>
  </si>
  <si>
    <t>العمود 1</t>
  </si>
  <si>
    <t>مشتريات</t>
  </si>
  <si>
    <t>١٦/٦</t>
  </si>
  <si>
    <t>القليوبية</t>
  </si>
  <si>
    <t>شحن اوردر هناء</t>
  </si>
  <si>
    <t>Phone</t>
  </si>
  <si>
    <t>المحافظة</t>
  </si>
  <si>
    <t>العبور</t>
  </si>
  <si>
    <t>10 ورشة اسبوع الالام</t>
  </si>
  <si>
    <t>I</t>
  </si>
  <si>
    <t>العنوان بالتفصيل</t>
  </si>
  <si>
    <t>Basic Note</t>
  </si>
  <si>
    <t>اسم الكنيسة</t>
  </si>
  <si>
    <t>أسفار الكتاب المقدس</t>
  </si>
  <si>
    <t>4 مجاميع ورشة بولس</t>
  </si>
  <si>
    <t>الورشة</t>
  </si>
  <si>
    <t>ارضاء عميلة</t>
  </si>
  <si>
    <t>١٧/٦</t>
  </si>
  <si>
    <t/>
  </si>
  <si>
    <t xml:space="preserve">سلوتب </t>
  </si>
  <si>
    <t>الكرنفال</t>
  </si>
  <si>
    <t xml:space="preserve">توكتوك </t>
  </si>
  <si>
    <t>Todo List</t>
  </si>
  <si>
    <t>Instapay</t>
  </si>
  <si>
    <t>١٩/٦</t>
  </si>
  <si>
    <t>٢١/٦</t>
  </si>
  <si>
    <t>Mr. Ramy</t>
  </si>
  <si>
    <t>نت</t>
  </si>
  <si>
    <t>الجيزة</t>
  </si>
  <si>
    <t>الهرم</t>
  </si>
  <si>
    <t xml:space="preserve">مشتريات </t>
  </si>
  <si>
    <t>١٨/٦</t>
  </si>
  <si>
    <t>اول</t>
  </si>
  <si>
    <t>Capcut</t>
  </si>
  <si>
    <t>22/6</t>
  </si>
  <si>
    <t>Tracker Note</t>
  </si>
  <si>
    <t>Net</t>
  </si>
  <si>
    <t>27/6</t>
  </si>
  <si>
    <t xml:space="preserve">شحن </t>
  </si>
  <si>
    <t>اوردر اتلغى</t>
  </si>
  <si>
    <t>Rule</t>
  </si>
  <si>
    <t>Tirvina</t>
  </si>
  <si>
    <t xml:space="preserve">نوتة كتاب مقدس </t>
  </si>
  <si>
    <t>القاهرة</t>
  </si>
  <si>
    <t>مصر القديمة</t>
  </si>
  <si>
    <t xml:space="preserve">شحن اوردر </t>
  </si>
  <si>
    <t xml:space="preserve">اوردر ملغي </t>
  </si>
  <si>
    <t>جوزيف</t>
  </si>
  <si>
    <t>Youstina adel</t>
  </si>
  <si>
    <t>عين شمس</t>
  </si>
  <si>
    <t xml:space="preserve">ارضاء عميلة </t>
  </si>
  <si>
    <t>Coster</t>
  </si>
  <si>
    <t>عزبة النخل</t>
  </si>
  <si>
    <t>ديبوزيت فورمة</t>
  </si>
  <si>
    <t>أسبوع الالام</t>
  </si>
  <si>
    <t>باقي فورمة</t>
  </si>
  <si>
    <t>Stand Mobile</t>
  </si>
  <si>
    <t>مريم مجدي عبد الملك</t>
  </si>
  <si>
    <t xml:space="preserve">كيلو فلاير </t>
  </si>
  <si>
    <t>الغربية</t>
  </si>
  <si>
    <t>VF</t>
  </si>
  <si>
    <t>طنطا</t>
  </si>
  <si>
    <t>سلوتب</t>
  </si>
  <si>
    <t>ميدالية ميلاد</t>
  </si>
  <si>
    <t>كرتونة</t>
  </si>
  <si>
    <t xml:space="preserve">Visa post </t>
  </si>
  <si>
    <t>بريد</t>
  </si>
  <si>
    <t>ستاند ميلاد</t>
  </si>
  <si>
    <t>شجرة</t>
  </si>
  <si>
    <t>اسحب نبيل</t>
  </si>
  <si>
    <t>أسيوط</t>
  </si>
  <si>
    <t>بازل ميلاد</t>
  </si>
  <si>
    <t>خيمة الاجتماع</t>
  </si>
  <si>
    <t>دميانة ابراهيم</t>
  </si>
  <si>
    <t>كارت حضور 4</t>
  </si>
  <si>
    <t>Workshop</t>
  </si>
  <si>
    <t>إمبابة</t>
  </si>
  <si>
    <t>ابراهيم ميلاد</t>
  </si>
  <si>
    <t>كارت حضور 5</t>
  </si>
  <si>
    <t>مينا سمير</t>
  </si>
  <si>
    <t>كارت حضور 8</t>
  </si>
  <si>
    <t>مصر والسودان</t>
  </si>
  <si>
    <t>بيشوي رمزي</t>
  </si>
  <si>
    <t>كارت حضور 12</t>
  </si>
  <si>
    <t>المنوفية</t>
  </si>
  <si>
    <t>حنان فرج</t>
  </si>
  <si>
    <t>كارت حضور العدراء</t>
  </si>
  <si>
    <t>15 مايو</t>
  </si>
  <si>
    <t>ختم حضور</t>
  </si>
  <si>
    <t>نرمين عاطف</t>
  </si>
  <si>
    <t>البحر الأحمر</t>
  </si>
  <si>
    <t>باكيدچ</t>
  </si>
  <si>
    <t>مريم لمعي</t>
  </si>
  <si>
    <t>T</t>
  </si>
  <si>
    <t>التجمع</t>
  </si>
  <si>
    <t>File</t>
  </si>
  <si>
    <t>Digital</t>
  </si>
  <si>
    <t>هناء جرجس سوريال</t>
  </si>
  <si>
    <t>حلوان</t>
  </si>
  <si>
    <t>ايمان صبحي</t>
  </si>
  <si>
    <t>وراق</t>
  </si>
  <si>
    <t>استيكر اسبوع الالام</t>
  </si>
  <si>
    <t>ايريني عادل</t>
  </si>
  <si>
    <t>أحاد الصوم</t>
  </si>
  <si>
    <t>مدينة نصر</t>
  </si>
  <si>
    <t>آن نبيل</t>
  </si>
  <si>
    <t>شبرا</t>
  </si>
  <si>
    <t>نادر</t>
  </si>
  <si>
    <t>استيكر أحاد الصوم</t>
  </si>
  <si>
    <t>حدايق الاهرام</t>
  </si>
  <si>
    <t>ليليان</t>
  </si>
  <si>
    <t>القيامة ابتدائي</t>
  </si>
  <si>
    <t>المعادي</t>
  </si>
  <si>
    <t>كيرلس</t>
  </si>
  <si>
    <t>بني سويف</t>
  </si>
  <si>
    <t>استيكر القيامة ابتدائي</t>
  </si>
  <si>
    <t>القس تداؤس</t>
  </si>
  <si>
    <t>أيات يونان</t>
  </si>
  <si>
    <t>القيامة شباب</t>
  </si>
  <si>
    <t>منى رمزي</t>
  </si>
  <si>
    <t>أستيكر القيامة شباب</t>
  </si>
  <si>
    <t>ثروت عاطف</t>
  </si>
  <si>
    <t>أكتوبر</t>
  </si>
  <si>
    <t>القيامة فردية 300جرام</t>
  </si>
  <si>
    <t>اول الهرم</t>
  </si>
  <si>
    <t>بيتر ملك</t>
  </si>
  <si>
    <t>حدايق القبة</t>
  </si>
  <si>
    <t>القيامة فردية 150جرام</t>
  </si>
  <si>
    <t>شيري امجد</t>
  </si>
  <si>
    <t>القيامة فردية 80جرام</t>
  </si>
  <si>
    <t>سامح سعد</t>
  </si>
  <si>
    <t>صموئيل اشرف</t>
  </si>
  <si>
    <t>رانيا عبده</t>
  </si>
  <si>
    <t>الإسكندرية</t>
  </si>
  <si>
    <t>مريم سعد</t>
  </si>
  <si>
    <t>أحاد الخماسين</t>
  </si>
  <si>
    <t>نرمين ابراهيم</t>
  </si>
  <si>
    <t>رحلات بولس خشب</t>
  </si>
  <si>
    <t>اسكندرية</t>
  </si>
  <si>
    <t>الفريد كمال</t>
  </si>
  <si>
    <t>رحلات بولس ورق</t>
  </si>
  <si>
    <t>ميشيل يوسف</t>
  </si>
  <si>
    <t>رحلات بولس خرايط</t>
  </si>
  <si>
    <t>ليديا سيف</t>
  </si>
  <si>
    <t>استيكر خيمة الاجتماع</t>
  </si>
  <si>
    <t>اسيوط</t>
  </si>
  <si>
    <t>مونيكا</t>
  </si>
  <si>
    <t>OUT</t>
  </si>
  <si>
    <t>استيكر خماسين</t>
  </si>
  <si>
    <t>مرثا</t>
  </si>
  <si>
    <t>نيرمين سمير</t>
  </si>
  <si>
    <t>الخروج</t>
  </si>
  <si>
    <t>أسوان</t>
  </si>
  <si>
    <t>ابونا</t>
  </si>
  <si>
    <t>سوهاج</t>
  </si>
  <si>
    <t>اختام الرؤيا</t>
  </si>
  <si>
    <t>نبيل كمال</t>
  </si>
  <si>
    <t>الروح القدس</t>
  </si>
  <si>
    <t>مرمر</t>
  </si>
  <si>
    <t>الزاوية</t>
  </si>
  <si>
    <t>قضاه</t>
  </si>
  <si>
    <t>ماري صابر موسى</t>
  </si>
  <si>
    <t>ملوك</t>
  </si>
  <si>
    <t>امبابة</t>
  </si>
  <si>
    <t>اعمال الرسل</t>
  </si>
  <si>
    <t>ميخائيل نبيل</t>
  </si>
  <si>
    <t>ريهام كرم</t>
  </si>
  <si>
    <t>خريطة البشارة</t>
  </si>
  <si>
    <t>مسطرد</t>
  </si>
  <si>
    <t>ماهر سامي</t>
  </si>
  <si>
    <t>قليوب</t>
  </si>
  <si>
    <t>F</t>
  </si>
  <si>
    <t>خريطة بداية الخدمة</t>
  </si>
  <si>
    <t>مايكل فايز</t>
  </si>
  <si>
    <t>خريطة الخدمة الاولي</t>
  </si>
  <si>
    <t>ايريني صابر</t>
  </si>
  <si>
    <t>الخليقة ابتدائي</t>
  </si>
  <si>
    <t>سامي رضا</t>
  </si>
  <si>
    <t>بورسعيد</t>
  </si>
  <si>
    <t>سيفين</t>
  </si>
  <si>
    <t xml:space="preserve">حامل الايقونات </t>
  </si>
  <si>
    <t>كنيسة خاتم المرسلين</t>
  </si>
  <si>
    <t xml:space="preserve">خيمة الاجتماع فردي </t>
  </si>
  <si>
    <t>منوفية</t>
  </si>
  <si>
    <t>مريم ملاك</t>
  </si>
  <si>
    <t>غمرة السكاكيني</t>
  </si>
  <si>
    <t>رامي رفعت</t>
  </si>
  <si>
    <t>حامل الايقونات  فردي</t>
  </si>
  <si>
    <t>مينا نبيل</t>
  </si>
  <si>
    <t>الوراق</t>
  </si>
  <si>
    <t>عمل الفلك</t>
  </si>
  <si>
    <t>١٥ مايو</t>
  </si>
  <si>
    <t>عادل شفيق</t>
  </si>
  <si>
    <t>المنيا</t>
  </si>
  <si>
    <t xml:space="preserve">ابطال ١ </t>
  </si>
  <si>
    <t>مارينا رمزي</t>
  </si>
  <si>
    <t xml:space="preserve">حظاظة </t>
  </si>
  <si>
    <t>يوستينا ميخائيل</t>
  </si>
  <si>
    <t>الخليقة فردية</t>
  </si>
  <si>
    <t>مينا يسري</t>
  </si>
  <si>
    <t>الضاهر</t>
  </si>
  <si>
    <t>ورشة يعقوب</t>
  </si>
  <si>
    <t>مينا محسن عياد</t>
  </si>
  <si>
    <t>قصة تلوين</t>
  </si>
  <si>
    <t>ابرام عماد</t>
  </si>
  <si>
    <t>امل</t>
  </si>
  <si>
    <t>البحر الاحمر</t>
  </si>
  <si>
    <t>مارينا رؤوف</t>
  </si>
  <si>
    <t>الجديدة</t>
  </si>
  <si>
    <t>وائل مرزوق</t>
  </si>
  <si>
    <t>Reject</t>
  </si>
  <si>
    <t>مترو كوتسيكا</t>
  </si>
  <si>
    <t>فادي هاني</t>
  </si>
  <si>
    <t>جيزة</t>
  </si>
  <si>
    <t>مارينا جمال</t>
  </si>
  <si>
    <t>لارينا هشام</t>
  </si>
  <si>
    <t>راعوث</t>
  </si>
  <si>
    <t>الدقهلية</t>
  </si>
  <si>
    <t>بيمن القس سيداورس</t>
  </si>
  <si>
    <t>ميرنا عياد</t>
  </si>
  <si>
    <t>دليفري فارس</t>
  </si>
  <si>
    <t>Cash</t>
  </si>
  <si>
    <t>اسكوتر</t>
  </si>
  <si>
    <t>Martha adeeb</t>
  </si>
  <si>
    <t>الكوربة</t>
  </si>
  <si>
    <t>اسبوع الالام</t>
  </si>
  <si>
    <t>مينا فايز</t>
  </si>
  <si>
    <t xml:space="preserve">القيامة شباب </t>
  </si>
  <si>
    <t xml:space="preserve">استيكر فردية </t>
  </si>
  <si>
    <t>عدد</t>
  </si>
  <si>
    <t>شيري عادل</t>
  </si>
  <si>
    <t>الأميرية</t>
  </si>
  <si>
    <t>ماري مكرم</t>
  </si>
  <si>
    <t>سلوى فوزي</t>
  </si>
  <si>
    <t>ميرنا رأفت</t>
  </si>
  <si>
    <t>حنان حلمي</t>
  </si>
  <si>
    <t>ميرا كامل</t>
  </si>
  <si>
    <t>الغردقة</t>
  </si>
  <si>
    <t>چون</t>
  </si>
  <si>
    <t>6 اكتوبر</t>
  </si>
  <si>
    <t>مينا صبري</t>
  </si>
  <si>
    <t>عزت محفوظ</t>
  </si>
  <si>
    <t>ميرنا مسعود</t>
  </si>
  <si>
    <t>اميرة كمال سعد</t>
  </si>
  <si>
    <t>المهندسين</t>
  </si>
  <si>
    <t>مينا عاطف فايز</t>
  </si>
  <si>
    <t>كلارا عزيز</t>
  </si>
  <si>
    <t>مارتينا اكرم</t>
  </si>
  <si>
    <t>مروة</t>
  </si>
  <si>
    <t>ايات يونان</t>
  </si>
  <si>
    <t>ابرام محسن</t>
  </si>
  <si>
    <t xml:space="preserve">To do list </t>
  </si>
  <si>
    <t xml:space="preserve">Basic note </t>
  </si>
  <si>
    <t xml:space="preserve">Tracker note </t>
  </si>
  <si>
    <t>Bible note</t>
  </si>
  <si>
    <t xml:space="preserve">نوتة ميلاد </t>
  </si>
  <si>
    <t>چورچ ثروت</t>
  </si>
  <si>
    <t>مارينا</t>
  </si>
  <si>
    <t>ماريز سامح</t>
  </si>
  <si>
    <t>مصر الجديدة</t>
  </si>
  <si>
    <t>فرج ملاك</t>
  </si>
  <si>
    <t>اوليڤيا</t>
  </si>
  <si>
    <t>صامويل صادق</t>
  </si>
  <si>
    <t>مينا شوقي</t>
  </si>
  <si>
    <t>بيتر تقاوي</t>
  </si>
  <si>
    <t>الخصوص</t>
  </si>
  <si>
    <t>مرفت مرقص</t>
  </si>
  <si>
    <t>ماريان يوسف</t>
  </si>
  <si>
    <t>سمير يوسف معوض</t>
  </si>
  <si>
    <t>الفيوم</t>
  </si>
  <si>
    <t>مادلين جميل</t>
  </si>
  <si>
    <t>مينا چورچ</t>
  </si>
  <si>
    <t>كاراس امير</t>
  </si>
  <si>
    <t>العباسية</t>
  </si>
  <si>
    <t>مايكل سعد</t>
  </si>
  <si>
    <t xml:space="preserve">استيكر خماسين </t>
  </si>
  <si>
    <t xml:space="preserve">ميدالية ميلاد </t>
  </si>
  <si>
    <t xml:space="preserve">ستاند ميلاد </t>
  </si>
  <si>
    <t xml:space="preserve">شجرة </t>
  </si>
  <si>
    <t xml:space="preserve">بازل ميلاد </t>
  </si>
  <si>
    <t xml:space="preserve"> رحلات بولس ورق</t>
  </si>
  <si>
    <t>مينا عزيز</t>
  </si>
  <si>
    <t>ماري مرقس</t>
  </si>
  <si>
    <t>باب اللوق</t>
  </si>
  <si>
    <t>55 ش نوبار باب اللوق الدور الخامس شقة 17</t>
  </si>
  <si>
    <t>اديب بخيت</t>
  </si>
  <si>
    <t>سارة جريس</t>
  </si>
  <si>
    <t>نسرين فايز</t>
  </si>
  <si>
    <t>مطروح</t>
  </si>
  <si>
    <t>مريم بخيت</t>
  </si>
  <si>
    <t>رانيا اشرف</t>
  </si>
  <si>
    <t>بولا ناثان</t>
  </si>
  <si>
    <t>سماح رامز</t>
  </si>
  <si>
    <t>فيولا عادل</t>
  </si>
  <si>
    <t>ميرا يوحنا</t>
  </si>
  <si>
    <t>مريم ممدوح</t>
  </si>
  <si>
    <t>داليا مينا</t>
  </si>
  <si>
    <t>كومباوند وادي دجلة</t>
  </si>
  <si>
    <t>سوزان صبحي</t>
  </si>
  <si>
    <t>يوسف وجيه</t>
  </si>
  <si>
    <t>ارض اللواء</t>
  </si>
  <si>
    <t xml:space="preserve">الرؤيا اختام </t>
  </si>
  <si>
    <t>ميراي وجيه</t>
  </si>
  <si>
    <t xml:space="preserve">اعمال الرسل </t>
  </si>
  <si>
    <t>ستيكر ملوك</t>
  </si>
  <si>
    <t xml:space="preserve">استيكر خروج </t>
  </si>
  <si>
    <t>مارينا فرج</t>
  </si>
  <si>
    <t>17/6</t>
  </si>
  <si>
    <t>حدايق</t>
  </si>
  <si>
    <t>ليليان عماد</t>
  </si>
  <si>
    <t>كنيستنا</t>
  </si>
  <si>
    <t>اميرة كمال</t>
  </si>
  <si>
    <t>عبد المنعم رياض</t>
  </si>
  <si>
    <t>سامي فتح الله</t>
  </si>
  <si>
    <t>جورج عزيز</t>
  </si>
  <si>
    <t>مكاريوس سريع</t>
  </si>
  <si>
    <t>قنا</t>
  </si>
  <si>
    <t>روماني حسيب عادي</t>
  </si>
  <si>
    <t>الشرقية</t>
  </si>
  <si>
    <t>بلبيس</t>
  </si>
  <si>
    <t>ماري سمير</t>
  </si>
  <si>
    <t>ماريان عادل بريد سريع</t>
  </si>
  <si>
    <t>ماريان عادل</t>
  </si>
  <si>
    <t>يوستينا يوسف</t>
  </si>
  <si>
    <t>مريم مجدي عادي</t>
  </si>
  <si>
    <t>رامي رفعت سريع</t>
  </si>
  <si>
    <t>الطريق الدائري</t>
  </si>
  <si>
    <t>نانسي سريع</t>
  </si>
  <si>
    <t>بيشوي صفوت</t>
  </si>
  <si>
    <t>المرج</t>
  </si>
  <si>
    <t>مينا شكري</t>
  </si>
  <si>
    <t>ستيكر خريطة اورشليم</t>
  </si>
  <si>
    <t xml:space="preserve">ستيكر اختام الرؤيا </t>
  </si>
  <si>
    <t xml:space="preserve">ستيكر الروح القدس </t>
  </si>
  <si>
    <t>بولا يونان</t>
  </si>
  <si>
    <t xml:space="preserve">ستيكر اعمال اارسل </t>
  </si>
  <si>
    <t xml:space="preserve">ستيكر قضاه </t>
  </si>
  <si>
    <t>كارت الحضور</t>
  </si>
  <si>
    <t>باكدج</t>
  </si>
  <si>
    <t>نيفين ادور</t>
  </si>
  <si>
    <t>اسحق نبيل</t>
  </si>
  <si>
    <t>ميرنا عادل</t>
  </si>
  <si>
    <t>عزيز مكرم عادي</t>
  </si>
  <si>
    <t>ماريان فرج</t>
  </si>
  <si>
    <t>مهرائيل جعفر</t>
  </si>
  <si>
    <t>مينا ميشيل</t>
  </si>
  <si>
    <t>انجي سعد</t>
  </si>
  <si>
    <t>مجدي ابراهيم</t>
  </si>
  <si>
    <t>جوي مختار</t>
  </si>
  <si>
    <t>مينا ميشيل الياس</t>
  </si>
  <si>
    <t>نانيس فتحي</t>
  </si>
  <si>
    <t>شادي منير</t>
  </si>
  <si>
    <t>كاترين امير</t>
  </si>
  <si>
    <t>برة مصر</t>
  </si>
  <si>
    <t>مريم فايق</t>
  </si>
  <si>
    <t xml:space="preserve">الخليقة ابتدائي </t>
  </si>
  <si>
    <t>الفريد كميل</t>
  </si>
  <si>
    <t>مريم وهيب</t>
  </si>
  <si>
    <t>القس ابراهيم القمص</t>
  </si>
  <si>
    <t>بني مزار</t>
  </si>
  <si>
    <t>فايزة شنودة</t>
  </si>
  <si>
    <t>النزهة الجديدة</t>
  </si>
  <si>
    <t>ابرام رضا ثابت</t>
  </si>
  <si>
    <t>منى معوض</t>
  </si>
  <si>
    <t>ايريني سعيد</t>
  </si>
  <si>
    <t>اماني جورج</t>
  </si>
  <si>
    <t>اسوان</t>
  </si>
  <si>
    <t>نجوى منير</t>
  </si>
  <si>
    <t>سماح عياد</t>
  </si>
  <si>
    <t>غالي فايز</t>
  </si>
  <si>
    <t>انطونيوس نبيل</t>
  </si>
  <si>
    <t>عماد لطيف</t>
  </si>
  <si>
    <t>اميرة نبيل</t>
  </si>
  <si>
    <t>جيرمين فوزي</t>
  </si>
  <si>
    <t>باسم خليل</t>
  </si>
  <si>
    <t>جنوب سيناء</t>
  </si>
  <si>
    <t>شرم الشيخ</t>
  </si>
  <si>
    <t>ماجد بباوي</t>
  </si>
  <si>
    <t>الجونة</t>
  </si>
  <si>
    <t>نانسي عزت اسحق</t>
  </si>
  <si>
    <t>Part1</t>
  </si>
  <si>
    <t>Part2</t>
  </si>
  <si>
    <t>بولين فيكتور</t>
  </si>
  <si>
    <t>انجي سمير</t>
  </si>
  <si>
    <t>كيرلس صفوت</t>
  </si>
  <si>
    <t>ماريا ابراهيم</t>
  </si>
  <si>
    <t>نيفين مجدي</t>
  </si>
  <si>
    <t xml:space="preserve">شبرا الخيمة </t>
  </si>
  <si>
    <t>فيلوباتير هاني</t>
  </si>
  <si>
    <t>تادرس عادل</t>
  </si>
  <si>
    <t>ليديا اميل</t>
  </si>
  <si>
    <t>البحيرة</t>
  </si>
  <si>
    <t>دمنهور</t>
  </si>
  <si>
    <t>دلال سامي</t>
  </si>
  <si>
    <t>فادي ثروت</t>
  </si>
  <si>
    <t>ميرنا مجدي</t>
  </si>
  <si>
    <t>ايفا وهيب</t>
  </si>
  <si>
    <t>سارة ميلاد</t>
  </si>
  <si>
    <t>اجتماع الشباب</t>
  </si>
  <si>
    <t>كنيسة</t>
  </si>
  <si>
    <t>مريم رمسيس</t>
  </si>
  <si>
    <t>سالي فوزي</t>
  </si>
  <si>
    <t>شبين القناطر</t>
  </si>
  <si>
    <t>ايمن كامل</t>
  </si>
  <si>
    <t>السويس</t>
  </si>
  <si>
    <t>د صوئيل فايز</t>
  </si>
  <si>
    <t>نرمين رأفت</t>
  </si>
  <si>
    <t>السلام</t>
  </si>
  <si>
    <t>كريستين زكريا</t>
  </si>
  <si>
    <t>الخيمة</t>
  </si>
  <si>
    <t>ابونا دانييل</t>
  </si>
  <si>
    <t>الاردن</t>
  </si>
  <si>
    <t>ماجد كمال</t>
  </si>
  <si>
    <t>سيلفيا جوزيف</t>
  </si>
  <si>
    <t>كيرلس ميلاد</t>
  </si>
  <si>
    <t>مارسيل مكرم</t>
  </si>
  <si>
    <t>نجوى</t>
  </si>
  <si>
    <t>الحوامدية</t>
  </si>
  <si>
    <t>ليليان شاكر</t>
  </si>
  <si>
    <t>چاكلين فؤاد</t>
  </si>
  <si>
    <t>جسر السويس</t>
  </si>
  <si>
    <t>الشهر</t>
  </si>
  <si>
    <t>ماري ابراهيم</t>
  </si>
  <si>
    <t>المبيعات</t>
  </si>
  <si>
    <t>الخصومات</t>
  </si>
  <si>
    <t>تكلفة المنتجات</t>
  </si>
  <si>
    <t>المصاريف الإدارية</t>
  </si>
  <si>
    <t>صافي الربح</t>
  </si>
  <si>
    <t>براند الورش</t>
  </si>
  <si>
    <t>إدارية عامة</t>
  </si>
  <si>
    <t>براند مارينا</t>
  </si>
  <si>
    <t>الإجمالي</t>
  </si>
  <si>
    <t>2026-03</t>
  </si>
  <si>
    <t>طلعت حسني</t>
  </si>
  <si>
    <t>حلوان الجديدة</t>
  </si>
  <si>
    <t>ماريان جورج</t>
  </si>
  <si>
    <t>2026-04</t>
  </si>
  <si>
    <t>ابراهيم ميلاد فيهم</t>
  </si>
  <si>
    <t>2026-05</t>
  </si>
  <si>
    <t>2026-06</t>
  </si>
  <si>
    <t>روز مدحت</t>
  </si>
  <si>
    <t>بدون تاريخ</t>
  </si>
  <si>
    <t>امير وجيه</t>
  </si>
  <si>
    <t>الإجمالي العام</t>
  </si>
  <si>
    <t>چاكلين سمعان</t>
  </si>
  <si>
    <t>مس فيبي</t>
  </si>
  <si>
    <t>ساميه زاهر</t>
  </si>
  <si>
    <t>بيجام</t>
  </si>
  <si>
    <t>.  32 شارع السلخانه ارض الجنينه بيجام امام مسجد السلام</t>
  </si>
  <si>
    <t>انچي سمير</t>
  </si>
  <si>
    <t>حساب الورشة</t>
  </si>
  <si>
    <t>صافي الربح بدون مصاريف الورشة</t>
  </si>
  <si>
    <t>ناردين هاني</t>
  </si>
  <si>
    <t>الرحاب</t>
  </si>
  <si>
    <t>مجموعة 47 عمارة 8 شقة 22</t>
  </si>
  <si>
    <t>فادي مكرم</t>
  </si>
  <si>
    <t>مديحة حمدي</t>
  </si>
  <si>
    <t>منال سامي</t>
  </si>
  <si>
    <t>براند النوتات</t>
  </si>
  <si>
    <t>صافي الربح بدون
 مصاريف الورشة</t>
  </si>
  <si>
    <t>حساب الورشة
(كبارواطفال)</t>
  </si>
  <si>
    <t>داني عبدالمسيح</t>
  </si>
  <si>
    <t>الاميرية</t>
  </si>
  <si>
    <t>سلوى عجيب</t>
  </si>
  <si>
    <t>كومباوند  البروچ  بارسيل  4  ڤيلا  23</t>
  </si>
  <si>
    <t>هيلين هاني</t>
  </si>
  <si>
    <t>مايكل فهمي</t>
  </si>
  <si>
    <t>عماد چورچ</t>
  </si>
  <si>
    <t>بيشوي صدقي</t>
  </si>
  <si>
    <t>شيري القمص</t>
  </si>
  <si>
    <t>فايزة جمال</t>
  </si>
  <si>
    <t>يوسف كامل</t>
  </si>
  <si>
    <t>وائل جرجس</t>
  </si>
  <si>
    <t>كرستينا نادي</t>
  </si>
  <si>
    <t>معادلة تقسيم الارباح</t>
  </si>
  <si>
    <t>الارباح</t>
  </si>
  <si>
    <t xml:space="preserve">الكنيسة </t>
  </si>
  <si>
    <t>ايڤان اديب</t>
  </si>
  <si>
    <t>تطوير</t>
  </si>
  <si>
    <t>باقي للكنيسة</t>
  </si>
  <si>
    <t>ماريان وليم</t>
  </si>
  <si>
    <t>الاسماعيلية</t>
  </si>
  <si>
    <t>امجد سمير</t>
  </si>
  <si>
    <t>ماريان فوزي</t>
  </si>
  <si>
    <t>ارين نبيل</t>
  </si>
  <si>
    <t>عصمت عدلي</t>
  </si>
  <si>
    <t>ثناء موسى</t>
  </si>
  <si>
    <t>Total_Revenue</t>
  </si>
  <si>
    <t>المنطقة_cleaned</t>
  </si>
  <si>
    <t>المحافطة_cleaned</t>
  </si>
  <si>
    <t>المنتج</t>
  </si>
  <si>
    <t>عدد الطلبات</t>
  </si>
  <si>
    <t>إجمالي المبيعات</t>
  </si>
  <si>
    <t>مريم عبد الملاك</t>
  </si>
  <si>
    <t>د. مينا حنا</t>
  </si>
  <si>
    <t>جينا جان</t>
  </si>
  <si>
    <t>أخرى</t>
  </si>
  <si>
    <t>كارول فكري</t>
  </si>
  <si>
    <t>ارض الجولف</t>
  </si>
  <si>
    <t>غير محدد</t>
  </si>
  <si>
    <t>ابونا داوود اباكير</t>
  </si>
  <si>
    <t>الاقصر</t>
  </si>
  <si>
    <t>انجي عادل</t>
  </si>
  <si>
    <t>رمسيس</t>
  </si>
  <si>
    <t>الباقي</t>
  </si>
  <si>
    <t>ماركو انور</t>
  </si>
  <si>
    <t>ماريام ناجي</t>
  </si>
  <si>
    <t>الإبراهيمية</t>
  </si>
  <si>
    <t>7ش الأندلس متفرع من شارع لاجيتيه</t>
  </si>
  <si>
    <t>كارت حضور</t>
  </si>
  <si>
    <t>اديب بخيت فرح</t>
  </si>
  <si>
    <t>الامل تبع أول طريق امام كوبرى الجيش بعد مستشفى الكهرباء</t>
  </si>
  <si>
    <r>
      <rPr>
        <rFont val="Arial"/>
        <color theme="1"/>
      </rPr>
      <t>أود أن أعتذر منك، حيث لا يمكنني إكمال طلبك بالكامل الآن بسبب الوصول إلى الحد الأقصى من القدرة على المعالجة خلال هذه الجولة الواحدة.</t>
    </r>
    <r>
      <rPr>
        <rFont val="Arial"/>
        <color theme="1"/>
      </rPr>
      <t xml:space="preserve">
</t>
    </r>
    <r>
      <rPr>
        <rFont val="Arial"/>
        <b/>
        <color theme="1"/>
      </rPr>
      <t>ما تم إنجازه حتى الآن:</t>
    </r>
    <r>
      <rPr>
        <rFont val="Arial"/>
        <color theme="1"/>
      </rPr>
      <t xml:space="preserve">
• </t>
    </r>
    <r>
      <rPr>
        <rFont val="Arial"/>
        <b/>
        <color theme="1"/>
      </rPr>
      <t>فحص وتحليل البيانات:</t>
    </r>
    <r>
      <rPr>
        <rFont val="Arial"/>
        <color theme="1"/>
      </rPr>
      <t xml:space="preserve"> قمت بمراجعة الجداول المتاحة (جدول الطلبات Orders، جدول تحليل البيانات، لوحة التحكم المالية، ولوحة تحكم CRM).</t>
    </r>
    <r>
      <rPr>
        <rFont val="Arial"/>
        <color theme="1"/>
      </rPr>
      <t xml:space="preserve">
• </t>
    </r>
    <r>
      <rPr>
        <rFont val="Arial"/>
        <b/>
        <color theme="1"/>
      </rPr>
      <t>تنظيف البيانات وحساب الإجماليات:</t>
    </r>
    <r>
      <rPr>
        <rFont val="Arial"/>
        <color theme="1"/>
      </rPr>
      <t xml:space="preserve"> قمت بتصفية الطلبات الصحيحة وحساب الإجماليات العامة بدقة، حيث تبين أن:</t>
    </r>
    <r>
      <rPr>
        <rFont val="Arial"/>
        <color theme="1"/>
      </rPr>
      <t xml:space="preserve">
  • </t>
    </r>
    <r>
      <rPr>
        <rFont val="Arial"/>
        <b/>
        <color theme="1"/>
      </rPr>
      <t>إجمالي المبيعات:</t>
    </r>
    <r>
      <rPr>
        <rFont val="Arial"/>
        <color theme="1"/>
      </rPr>
      <t xml:space="preserve"> 246,907 جنيه.</t>
    </r>
    <r>
      <rPr>
        <rFont val="Arial"/>
        <color theme="1"/>
      </rPr>
      <t xml:space="preserve">
  • </t>
    </r>
    <r>
      <rPr>
        <rFont val="Arial"/>
        <b/>
        <color theme="1"/>
      </rPr>
      <t>إجمالي عدد القطع (الكمية):</t>
    </r>
    <r>
      <rPr>
        <rFont val="Arial"/>
        <color theme="1"/>
      </rPr>
      <t xml:space="preserve"> 5,835 قطعة.</t>
    </r>
    <r>
      <rPr>
        <rFont val="Arial"/>
        <color theme="1"/>
      </rPr>
      <t xml:space="preserve">
  • </t>
    </r>
    <r>
      <rPr>
        <rFont val="Arial"/>
        <b/>
        <color theme="1"/>
      </rPr>
      <t>إجمالي عدد المعاملات/الطلبات:</t>
    </r>
    <r>
      <rPr>
        <rFont val="Arial"/>
        <color theme="1"/>
      </rPr>
      <t xml:space="preserve"> 720 معاملة.</t>
    </r>
    <r>
      <rPr>
        <rFont val="Arial"/>
        <color theme="1"/>
      </rPr>
      <t xml:space="preserve">
  • </t>
    </r>
    <r>
      <rPr>
        <rFont val="Arial"/>
        <b/>
        <color theme="1"/>
      </rPr>
      <t>عدد العملاء الفريدين:</t>
    </r>
    <r>
      <rPr>
        <rFont val="Arial"/>
        <color theme="1"/>
      </rPr>
      <t xml:space="preserve"> 371 عميلاً.</t>
    </r>
    <r>
      <rPr>
        <rFont val="Arial"/>
        <color theme="1"/>
      </rPr>
      <t xml:space="preserve">
  • </t>
    </r>
    <r>
      <rPr>
        <rFont val="Arial"/>
        <b/>
        <color theme="1"/>
      </rPr>
      <t>عدد الكنائس/الجهات الدينية:</t>
    </r>
    <r>
      <rPr>
        <rFont val="Arial"/>
        <color theme="1"/>
      </rPr>
      <t xml:space="preserve"> تم تحديد حوالي 18 عميلاً فريداً يمثلون كنائس أو اجتماعات (بإجمالي 28 طلباً).</t>
    </r>
    <r>
      <rPr>
        <rFont val="Arial"/>
        <color theme="1"/>
      </rPr>
      <t xml:space="preserve">
  • </t>
    </r>
    <r>
      <rPr>
        <rFont val="Arial"/>
        <b/>
        <color theme="1"/>
      </rPr>
      <t>عدد المحافظات:</t>
    </r>
    <r>
      <rPr>
        <rFont val="Arial"/>
        <color theme="1"/>
      </rPr>
      <t xml:space="preserve"> تم تحديد 24 محافظة فريدة بعد تنظيف المسميات (بالإضافة إلى طلبات غير محددة أو خارج مصر).</t>
    </r>
    <r>
      <rPr>
        <rFont val="Arial"/>
        <color theme="1"/>
      </rPr>
      <t xml:space="preserve">
• </t>
    </r>
    <r>
      <rPr>
        <rFont val="Arial"/>
        <b/>
        <color theme="1"/>
      </rPr>
      <t>تحديد القوائم الأعلى (Top 10):</t>
    </r>
    <r>
      <rPr>
        <rFont val="Arial"/>
        <color theme="1"/>
      </rPr>
      <t xml:space="preserve"> قمت بإجراء الحسابات اللازمة لاستخراج أعلى 10 محافظات، وأعلى 10 عملاء، وأعلى 10 منتجات من حيث المبيعات والقطع والطلبات.</t>
    </r>
    <r>
      <rPr>
        <rFont val="Arial"/>
        <color theme="1"/>
      </rPr>
      <t xml:space="preserve">
</t>
    </r>
    <r>
      <rPr>
        <rFont val="Arial"/>
        <b/>
        <color theme="1"/>
      </rPr>
      <t>العمل المتبقي:</t>
    </r>
    <r>
      <rPr>
        <rFont val="Arial"/>
        <color theme="1"/>
      </rPr>
      <t xml:space="preserve">
• </t>
    </r>
    <r>
      <rPr>
        <rFont val="Arial"/>
        <color theme="1"/>
      </rPr>
      <t>تنسيق وعرض القوائم المفصلة لأعلى 10 عناصر في كل تصنيف (المحافظات، العملاء، والمنتجات) بشكل منظم ومكتوب بالكامل في ردك لتتمكن من قراءتها ومقارنتها بسهولة.</t>
    </r>
  </si>
  <si>
    <t>رانيا اشرف حنين</t>
  </si>
  <si>
    <t>خريطة اورشليم</t>
  </si>
  <si>
    <t>مغاغة</t>
  </si>
  <si>
    <t>روماني حسيب</t>
  </si>
  <si>
    <t>بلبيس السعيديه</t>
  </si>
  <si>
    <t>النزهة</t>
  </si>
  <si>
    <t>نانسي نسيم أديب</t>
  </si>
  <si>
    <t>الشيخ زايد</t>
  </si>
  <si>
    <t>27 حاره حموده مصرالقديمه</t>
  </si>
  <si>
    <t>خيمة الاجتماع فردي</t>
  </si>
  <si>
    <t>ابطال ١</t>
  </si>
  <si>
    <t>٦ اكتوبر</t>
  </si>
  <si>
    <t>نيفين ادوار</t>
  </si>
  <si>
    <t>كامب شيزار اسكندرية 26 هليوبوليس بجوار مستشفى نور الاسلام امام سوبر ماركت عنب</t>
  </si>
  <si>
    <t>جوي مختار رشدي</t>
  </si>
  <si>
    <t>القوصية قرية فزارة شارع المجلس القديم خامس بيت على الشمال</t>
  </si>
  <si>
    <t>حامل الايقونات</t>
  </si>
  <si>
    <t>كومباوند البروج</t>
  </si>
  <si>
    <t>أماني جورج يوسف</t>
  </si>
  <si>
    <t>المطار بجوار مزلقان البيطري</t>
  </si>
  <si>
    <t>المطرية</t>
  </si>
  <si>
    <t>مس سماح عياد سيدهم</t>
  </si>
  <si>
    <t>10 شارع نجيب شكور متفرع من حدائق القبة</t>
  </si>
  <si>
    <t>شبرا الخيمة</t>
  </si>
  <si>
    <t>خليل نسيم</t>
  </si>
  <si>
    <t>الزيتون</t>
  </si>
  <si>
    <t>فيلا 32/600 قريه روابي . الغرقانه . شرم الشيخ</t>
  </si>
  <si>
    <t>سمالوط</t>
  </si>
  <si>
    <t>استلام من الكنيسة</t>
  </si>
  <si>
    <t>ماجد بباوي حبيب</t>
  </si>
  <si>
    <t>هليوبليس</t>
  </si>
  <si>
    <t>المنيا الجديدة</t>
  </si>
  <si>
    <t>سامح نصيف يوسف صليب</t>
  </si>
  <si>
    <t>الاستلام :  518 طريق الحرية ، فلمنج ،الإسكندرية، شقة 10 الدور 4</t>
  </si>
  <si>
    <t>مريم وصفي</t>
  </si>
  <si>
    <t>.... 20ب شارع نصوح عمارة النصر  أمام شركة المياه</t>
  </si>
  <si>
    <t>الإسماعيلية</t>
  </si>
  <si>
    <t>بيشوي جورج بولس (كنيسة مارجرجس جزيرة بدران)</t>
  </si>
  <si>
    <t>4 ش بين المدارس - من ميدان المماليك - الخلفاوي</t>
  </si>
  <si>
    <t>كفر الشيخ</t>
  </si>
  <si>
    <t>مينا كمال يوسف</t>
  </si>
  <si>
    <t>ابو زعبل</t>
  </si>
  <si>
    <t>روكسي</t>
  </si>
  <si>
    <t>2 ش عز العرب لوران - اسكندرية</t>
  </si>
  <si>
    <t>الطالبية</t>
  </si>
  <si>
    <t>كنيستنا - القليوبية</t>
  </si>
  <si>
    <t>ماريان سامح</t>
  </si>
  <si>
    <t>13 شارع اسماعيل القباني المنطقة الاولي الدور الخامس شقه 25 بجوار معرض الليثي للسيارات</t>
  </si>
  <si>
    <t>مينا وحيد زكي خادمً اسره ثانوي العذار مدينتي</t>
  </si>
  <si>
    <t>مدينتي</t>
  </si>
  <si>
    <t>مجموعه 72 عماره 10 شقه 33</t>
  </si>
  <si>
    <t>اكتوبر الجديدة</t>
  </si>
  <si>
    <t>ميلاد ميخائيل حنا</t>
  </si>
  <si>
    <t>العجوزة</t>
  </si>
  <si>
    <t>المقطم</t>
  </si>
  <si>
    <t>العجمي</t>
  </si>
  <si>
    <t>الإسكندرية البيطاش شارع البرنسيسة تاني شارع شمال اول عمارة على الشمال الدور الاول شقة 3</t>
  </si>
  <si>
    <t>من الكنيسة</t>
  </si>
  <si>
    <t>عبود</t>
  </si>
  <si>
    <t>حدايق حلوان</t>
  </si>
  <si>
    <t>تاسوني أنچيل سامي</t>
  </si>
  <si>
    <t>مدينة الامل</t>
  </si>
  <si>
    <t>الاسكندرية</t>
  </si>
  <si>
    <t>حدايق اكتوبر</t>
  </si>
  <si>
    <t>مدينة السلام</t>
  </si>
  <si>
    <t>مدينة العبور</t>
  </si>
  <si>
    <t>امير جورج نصر</t>
  </si>
  <si>
    <t>فيصل</t>
  </si>
  <si>
    <t>6أ ش المقياس المنيل الروضة القاهرة</t>
  </si>
  <si>
    <t>دقهلية</t>
  </si>
  <si>
    <t>اكتوبر</t>
  </si>
  <si>
    <t>طما</t>
  </si>
  <si>
    <t>سامح فيكتور صموئيل</t>
  </si>
  <si>
    <t>4أ جسر عمارة شركة مصر الفراعنة الدور الخامس شقة 9 جوار بنك مصر فرع منشية البكري</t>
  </si>
  <si>
    <t>مريم مراد</t>
  </si>
  <si>
    <t>بنها</t>
  </si>
  <si>
    <t>12 شارع الامل متفرع من مرصد</t>
  </si>
  <si>
    <t>المنيل</t>
  </si>
  <si>
    <t>كلوت بك</t>
  </si>
  <si>
    <t>توماس جودت وهبة</t>
  </si>
  <si>
    <t>الغربية اول ترعة الجبل</t>
  </si>
  <si>
    <t>حدائق اكتوبر</t>
  </si>
  <si>
    <t>الشرابية</t>
  </si>
  <si>
    <t>الف مسكن</t>
  </si>
  <si>
    <t>دلال سامى صالح</t>
  </si>
  <si>
    <t>بهتيم</t>
  </si>
  <si>
    <t>سموحة</t>
  </si>
  <si>
    <t>01200804440</t>
  </si>
  <si>
    <t>اوبر</t>
  </si>
  <si>
    <t>صموئيل اشرف فايز</t>
  </si>
  <si>
    <t>كنيسة العذراء شبين</t>
  </si>
  <si>
    <t>24 شارع علي شعراوي باشا - حدايق القبة</t>
  </si>
  <si>
    <t>حدايق المعادي</t>
  </si>
  <si>
    <t>مونيكا أشرف جمال</t>
  </si>
  <si>
    <t>219 ramses دور السابع</t>
  </si>
  <si>
    <t>القاهرة الجديدة</t>
  </si>
  <si>
    <t>تريفينا ادور</t>
  </si>
  <si>
    <t>84 جسر فوق جمله ماركه واتصالات واورانج</t>
  </si>
  <si>
    <t>د.سلفيا جوزيف وهبة</t>
  </si>
  <si>
    <t>7 شارع الغزاوي متفرع من شارع متفرع من تقسيم الصفا امام محطه مترو عمر بن الخطاب</t>
  </si>
  <si>
    <t>بيشوى صدقى عبد المسيح</t>
  </si>
  <si>
    <t>يوسف كامل زكي</t>
  </si>
  <si>
    <t>العياط</t>
  </si>
  <si>
    <t>المتانيا شارع السوق عند عمليه الميه</t>
  </si>
  <si>
    <t>ثناء موسي نسيم</t>
  </si>
  <si>
    <t>43 ش دمشق</t>
  </si>
  <si>
    <t>ان نبيل</t>
  </si>
  <si>
    <t>سامح نصيف</t>
  </si>
  <si>
    <t>01281274086</t>
  </si>
  <si>
    <t>بافلي بخيت</t>
  </si>
  <si>
    <t>مينا جورج</t>
  </si>
  <si>
    <t>عند مارينا</t>
  </si>
  <si>
    <t>Kerolos</t>
  </si>
  <si>
    <t>Abona Daniel</t>
  </si>
  <si>
    <t>بيشوي جورج</t>
  </si>
  <si>
    <t>instapay</t>
  </si>
  <si>
    <t>فرج ميلاد</t>
  </si>
  <si>
    <t>مريم زخاري</t>
  </si>
  <si>
    <t>01225238343</t>
  </si>
  <si>
    <t>KKKK</t>
  </si>
  <si>
    <t>مينا وحيد</t>
  </si>
  <si>
    <t>Postaa</t>
  </si>
  <si>
    <t>عوض توماس</t>
  </si>
  <si>
    <t>01207708844</t>
  </si>
  <si>
    <t>Last</t>
  </si>
  <si>
    <t>هيلانة اشرف</t>
  </si>
  <si>
    <t>هدرا نجاح</t>
  </si>
  <si>
    <t>نادر رفعت</t>
  </si>
  <si>
    <t>Marina</t>
  </si>
  <si>
    <t>01275822147</t>
  </si>
  <si>
    <t>remaining</t>
  </si>
  <si>
    <t>George</t>
  </si>
  <si>
    <t>Warsha</t>
  </si>
  <si>
    <t>Expenses</t>
  </si>
  <si>
    <t>Note</t>
  </si>
  <si>
    <t>Abona</t>
  </si>
  <si>
    <t>Box Warsha</t>
  </si>
  <si>
    <t>عزيز ناصر</t>
  </si>
  <si>
    <t>ابانوب ظريف</t>
  </si>
  <si>
    <t>01223760341</t>
  </si>
  <si>
    <t>W</t>
  </si>
  <si>
    <t>نادي مفيد</t>
  </si>
  <si>
    <t>01289239777</t>
  </si>
  <si>
    <t>يوستينا باسم</t>
  </si>
  <si>
    <t>Visa post</t>
  </si>
  <si>
    <t>حساب جورج</t>
  </si>
  <si>
    <t>كيرلس مرقس</t>
  </si>
  <si>
    <t>روف الكنيسة</t>
  </si>
  <si>
    <t>سحب</t>
  </si>
  <si>
    <t>كاش</t>
  </si>
  <si>
    <t>حساب براند الورش</t>
  </si>
  <si>
    <t>مصاريف إدارية</t>
  </si>
  <si>
    <t>مرقس رمسيس</t>
  </si>
  <si>
    <t>ميرا</t>
  </si>
  <si>
    <t xml:space="preserve">Instapay </t>
  </si>
  <si>
    <t>اسفار</t>
  </si>
  <si>
    <t>فلير اسبوع الالام</t>
  </si>
  <si>
    <t>شحن</t>
  </si>
  <si>
    <t>منال لحظي</t>
  </si>
  <si>
    <t>Dalilah</t>
  </si>
  <si>
    <t>6+6+6+20+10</t>
  </si>
  <si>
    <t>ورشة الملوك</t>
  </si>
  <si>
    <t>Tracker</t>
  </si>
  <si>
    <t>تغليف</t>
  </si>
  <si>
    <t>فلير خيمة الاجتماع</t>
  </si>
  <si>
    <t>اماني عدلي</t>
  </si>
  <si>
    <t>باقي حساب</t>
  </si>
  <si>
    <t>استيكر</t>
  </si>
  <si>
    <t>فلير العهد القديم</t>
  </si>
  <si>
    <t>فليرات</t>
  </si>
  <si>
    <t>براند نوت</t>
  </si>
  <si>
    <t>هاني صبحي</t>
  </si>
  <si>
    <t>أظرف</t>
  </si>
  <si>
    <t>8 ورش لميرنا</t>
  </si>
  <si>
    <t>باركود شحن</t>
  </si>
  <si>
    <t>300+21</t>
  </si>
  <si>
    <t>مادونا ثروت</t>
  </si>
  <si>
    <t>01228048884</t>
  </si>
  <si>
    <t>مجات</t>
  </si>
  <si>
    <t>شنط</t>
  </si>
  <si>
    <t>باقي حساب سالي</t>
  </si>
  <si>
    <t xml:space="preserve"> تقطيع استيكر</t>
  </si>
  <si>
    <t>اقلام</t>
  </si>
  <si>
    <t>سامح فيكتور</t>
  </si>
  <si>
    <t>موصلات</t>
  </si>
  <si>
    <t>Xpress</t>
  </si>
  <si>
    <t>14 ربع استيكر</t>
  </si>
  <si>
    <t>بوسطة</t>
  </si>
  <si>
    <t>كوبيات 380</t>
  </si>
  <si>
    <t>توماس جودت</t>
  </si>
  <si>
    <t>مصاريف</t>
  </si>
  <si>
    <t>17 ورشة</t>
  </si>
  <si>
    <t>ستان ولزق 450</t>
  </si>
  <si>
    <t>اكواد</t>
  </si>
  <si>
    <t>دليله</t>
  </si>
  <si>
    <t>01280754754</t>
  </si>
  <si>
    <t>10 اظرف</t>
  </si>
  <si>
    <t>مناديل 135</t>
  </si>
  <si>
    <t>كيرلس ماكين</t>
  </si>
  <si>
    <t>مواصلات</t>
  </si>
  <si>
    <t>27 ربع</t>
  </si>
  <si>
    <t>لزق تي ب 30</t>
  </si>
  <si>
    <t>ميرنا اكرام</t>
  </si>
  <si>
    <t>شحن نت</t>
  </si>
  <si>
    <t xml:space="preserve">14 استيكر </t>
  </si>
  <si>
    <t>معطر وكيس زباله 109</t>
  </si>
  <si>
    <t>نانسي جاد</t>
  </si>
  <si>
    <t>01226706207</t>
  </si>
  <si>
    <t>20 ظرف</t>
  </si>
  <si>
    <t>بابلز 200</t>
  </si>
  <si>
    <t>ماريو فوزي</t>
  </si>
  <si>
    <t>51 ربع</t>
  </si>
  <si>
    <t>لازق نقاشه 90</t>
  </si>
  <si>
    <t xml:space="preserve"> توكتوك</t>
  </si>
  <si>
    <t>مريم مكرم</t>
  </si>
  <si>
    <t>26 استيكر</t>
  </si>
  <si>
    <t>طابا 150</t>
  </si>
  <si>
    <t>اوردر رجع</t>
  </si>
  <si>
    <t>01227655783</t>
  </si>
  <si>
    <t>مارينا عماد</t>
  </si>
  <si>
    <t>18ربع</t>
  </si>
  <si>
    <t>وصله 200</t>
  </si>
  <si>
    <t>2ربع استيكر</t>
  </si>
  <si>
    <t>هدايا 710</t>
  </si>
  <si>
    <t xml:space="preserve"> شحن</t>
  </si>
  <si>
    <t>هناء يوسف</t>
  </si>
  <si>
    <t>20ربع</t>
  </si>
  <si>
    <t>توكتوك 50</t>
  </si>
  <si>
    <t>مارك</t>
  </si>
  <si>
    <t>01276684599</t>
  </si>
  <si>
    <t>5اربع</t>
  </si>
  <si>
    <t>ورشة ابراهيم</t>
  </si>
  <si>
    <t xml:space="preserve"> باقي اوردر</t>
  </si>
  <si>
    <t>نواقص</t>
  </si>
  <si>
    <t>5 اظرف</t>
  </si>
  <si>
    <t>ورشة خيمة الاجتماع  a5</t>
  </si>
  <si>
    <t>4ربع استيكر</t>
  </si>
  <si>
    <t>سامية زاهر</t>
  </si>
  <si>
    <t>لوجو الحكاية ابتدائي</t>
  </si>
  <si>
    <t>مرتجع</t>
  </si>
  <si>
    <t>50ربع القيامة</t>
  </si>
  <si>
    <t>01091587701</t>
  </si>
  <si>
    <t xml:space="preserve">بداية الخدمة </t>
  </si>
  <si>
    <t>15 استيكر</t>
  </si>
  <si>
    <t xml:space="preserve">الخدمة الاولى </t>
  </si>
  <si>
    <t>مارتينا برزي</t>
  </si>
  <si>
    <t>استيكر شحن</t>
  </si>
  <si>
    <t>استيكر النوتة</t>
  </si>
  <si>
    <t>بدل تالف شركة الشحن</t>
  </si>
  <si>
    <t>10 اسبوع الالام</t>
  </si>
  <si>
    <t>جدول شروط الاستيكر</t>
  </si>
  <si>
    <t>فيبي حبيب</t>
  </si>
  <si>
    <t>دليلة</t>
  </si>
  <si>
    <t>5 استيكر</t>
  </si>
  <si>
    <t>01211981639</t>
  </si>
  <si>
    <t>A4 300جرام</t>
  </si>
  <si>
    <t>ميرنا نصحي</t>
  </si>
  <si>
    <t>150 ورشة</t>
  </si>
  <si>
    <t>اسماء استيكر</t>
  </si>
  <si>
    <t>كيرلس كرم</t>
  </si>
  <si>
    <t>النوتة</t>
  </si>
  <si>
    <t>ويب سايت</t>
  </si>
  <si>
    <t>10 استيكر</t>
  </si>
  <si>
    <t>dolar 100</t>
  </si>
  <si>
    <t xml:space="preserve">ice cream </t>
  </si>
  <si>
    <t>01227620985</t>
  </si>
  <si>
    <t>ابانوب نادر</t>
  </si>
  <si>
    <t>100 ربع</t>
  </si>
  <si>
    <t xml:space="preserve">طباعه 25 ورقه اللوان </t>
  </si>
  <si>
    <t xml:space="preserve">ستان </t>
  </si>
  <si>
    <t>نورا ميلاد</t>
  </si>
  <si>
    <t>31 استيكر</t>
  </si>
  <si>
    <t xml:space="preserve">طباعه ورقه A4 + تغليف بلاستك </t>
  </si>
  <si>
    <t xml:space="preserve">كيلو شمع كبير </t>
  </si>
  <si>
    <t>80ربع</t>
  </si>
  <si>
    <t xml:space="preserve">طباعه ورقه A3  + تغليف بلاستك </t>
  </si>
  <si>
    <t>فيوليت مجدي</t>
  </si>
  <si>
    <t xml:space="preserve">مقصين ب </t>
  </si>
  <si>
    <t>01226194522</t>
  </si>
  <si>
    <t xml:space="preserve">عدد ( 5 ) امير  </t>
  </si>
  <si>
    <t xml:space="preserve">لازق </t>
  </si>
  <si>
    <t>فيرينا ماجد</t>
  </si>
  <si>
    <t>100ربع</t>
  </si>
  <si>
    <t>ورق جلوسي</t>
  </si>
  <si>
    <t xml:space="preserve">كوبيات </t>
  </si>
  <si>
    <t>34 استيكر</t>
  </si>
  <si>
    <t>مارينا سعيد</t>
  </si>
  <si>
    <t>ورش خيمه الاجتماع تغليف بلاستك</t>
  </si>
  <si>
    <t xml:space="preserve">بلالين </t>
  </si>
  <si>
    <t>38ربع</t>
  </si>
  <si>
    <t>استيكر  ورشه خيمه الاجتماع</t>
  </si>
  <si>
    <t>ج بسكويت</t>
  </si>
  <si>
    <t>مونيكا لطيف</t>
  </si>
  <si>
    <t>01201685116</t>
  </si>
  <si>
    <t>لوج الورشه</t>
  </si>
  <si>
    <t>قلب كلون</t>
  </si>
  <si>
    <t>عاطف صبري</t>
  </si>
  <si>
    <t>طباعه الرحله التبشيرية A4</t>
  </si>
  <si>
    <t>ايناس ناصر</t>
  </si>
  <si>
    <t>فلاير خيمه الاجتماع</t>
  </si>
  <si>
    <t xml:space="preserve"> لزق نقاشة</t>
  </si>
  <si>
    <t xml:space="preserve">عزبة النخل </t>
  </si>
  <si>
    <t>50ربع</t>
  </si>
  <si>
    <t>طباعه رحله التبشيرية الاولى و التانية A5</t>
  </si>
  <si>
    <t>01006035757</t>
  </si>
  <si>
    <t>عصير لابتدائي</t>
  </si>
  <si>
    <t>مريم عماد</t>
  </si>
  <si>
    <t xml:space="preserve">حدائق اكتوبر </t>
  </si>
  <si>
    <t>باسبور</t>
  </si>
  <si>
    <t>عصام</t>
  </si>
  <si>
    <t>دميانة صلاح</t>
  </si>
  <si>
    <t>012 81796942</t>
  </si>
  <si>
    <t xml:space="preserve">المقطم </t>
  </si>
  <si>
    <t>نسكافيه</t>
  </si>
  <si>
    <t>ابانوب مجدي ابراهيم</t>
  </si>
  <si>
    <t>ربع فرخ استيكر + تشريح</t>
  </si>
  <si>
    <t>لاصق</t>
  </si>
  <si>
    <t>01281079785</t>
  </si>
  <si>
    <t xml:space="preserve">الاقصر </t>
  </si>
  <si>
    <t>50 ورشة فر</t>
  </si>
  <si>
    <t>تين+توكتوك</t>
  </si>
  <si>
    <t>مريم ميخائيل</t>
  </si>
  <si>
    <t>باقي الورش</t>
  </si>
  <si>
    <t>طباعة ورق عادى</t>
  </si>
  <si>
    <t>مقصات</t>
  </si>
  <si>
    <t xml:space="preserve">المنيا </t>
  </si>
  <si>
    <t>30ورشة</t>
  </si>
  <si>
    <t>كروت كيرلس ابراهيم</t>
  </si>
  <si>
    <t>عوض عزيز</t>
  </si>
  <si>
    <t>23ربع</t>
  </si>
  <si>
    <t>ربع فرخ كوشية</t>
  </si>
  <si>
    <t>مارينا كرم</t>
  </si>
  <si>
    <t xml:space="preserve">المعادي </t>
  </si>
  <si>
    <t>8 استيكر</t>
  </si>
  <si>
    <t>تاسوني بوتامينا</t>
  </si>
  <si>
    <t>01277114313</t>
  </si>
  <si>
    <t>٢٠ ربع</t>
  </si>
  <si>
    <t>بافلي</t>
  </si>
  <si>
    <t xml:space="preserve">المطرية </t>
  </si>
  <si>
    <t>٨ استيكر</t>
  </si>
  <si>
    <t>رنا رفيق</t>
  </si>
  <si>
    <t>012 27570930</t>
  </si>
  <si>
    <t>٥ ربع</t>
  </si>
  <si>
    <t>نيفين</t>
  </si>
  <si>
    <t>٢ استيكر</t>
  </si>
  <si>
    <t>نيفين مينا عريان</t>
  </si>
  <si>
    <t xml:space="preserve">ابو زعبل </t>
  </si>
  <si>
    <t>01274743727</t>
  </si>
  <si>
    <t>6استيكر</t>
  </si>
  <si>
    <t>مارينا ناصرر</t>
  </si>
  <si>
    <t xml:space="preserve">مدينة نصر </t>
  </si>
  <si>
    <t>10ورش</t>
  </si>
  <si>
    <t>مارينا سامي عزيز</t>
  </si>
  <si>
    <t>14استيكر</t>
  </si>
  <si>
    <t>ميلينا</t>
  </si>
  <si>
    <t>01221568644</t>
  </si>
  <si>
    <t>ايات خشب</t>
  </si>
  <si>
    <t>ميلينا ماجد</t>
  </si>
  <si>
    <t xml:space="preserve">القليوبية </t>
  </si>
  <si>
    <t>11 ربع</t>
  </si>
  <si>
    <t>مينا محسن</t>
  </si>
  <si>
    <t>٥ استيكر</t>
  </si>
  <si>
    <t>01205644171</t>
  </si>
  <si>
    <t>ماجدة يسري</t>
  </si>
  <si>
    <t>١٨ بولس خشب</t>
  </si>
  <si>
    <t>شيرين نيروز</t>
  </si>
  <si>
    <t>0 12 07459466</t>
  </si>
  <si>
    <t>كروت و ختم</t>
  </si>
  <si>
    <t xml:space="preserve">المنوفية </t>
  </si>
  <si>
    <t>فادي ناجي</t>
  </si>
  <si>
    <t>01226614950</t>
  </si>
  <si>
    <t xml:space="preserve">دمنهور </t>
  </si>
  <si>
    <t>25 ريع</t>
  </si>
  <si>
    <t>ماري جرحس</t>
  </si>
  <si>
    <t>5ورش بولس  خشب</t>
  </si>
  <si>
    <t>فيليب فوزي</t>
  </si>
  <si>
    <t>01285165676</t>
  </si>
  <si>
    <t>10 ورش بولس ورق</t>
  </si>
  <si>
    <t>مريم اشرف</t>
  </si>
  <si>
    <t xml:space="preserve">مصر الجديدة </t>
  </si>
  <si>
    <t>6ورش بولس  خشب</t>
  </si>
  <si>
    <t>انجي</t>
  </si>
  <si>
    <t xml:space="preserve">الجيزة </t>
  </si>
  <si>
    <t>6 اختام الرؤيا</t>
  </si>
  <si>
    <t>يوستينا عدلي</t>
  </si>
  <si>
    <t xml:space="preserve">شبرا </t>
  </si>
  <si>
    <t>3 خماسين</t>
  </si>
  <si>
    <t>01273952562</t>
  </si>
  <si>
    <t>عماد انور</t>
  </si>
  <si>
    <t>10 احاد</t>
  </si>
  <si>
    <t xml:space="preserve">اسيوط </t>
  </si>
  <si>
    <t>5بولس ورق</t>
  </si>
  <si>
    <t>مس نبيلة</t>
  </si>
  <si>
    <t xml:space="preserve">استلام من الكنيسة </t>
  </si>
  <si>
    <t>مارينا لورانسً</t>
  </si>
  <si>
    <t>بولا</t>
  </si>
  <si>
    <t>مكابين 10</t>
  </si>
  <si>
    <t>لعبة الشخصيات</t>
  </si>
  <si>
    <t>بولا جرجس</t>
  </si>
  <si>
    <t xml:space="preserve">السويس </t>
  </si>
  <si>
    <t>35كوشيه  11 ربع</t>
  </si>
  <si>
    <t>بيشوي عادل</t>
  </si>
  <si>
    <t>روماني حسيب  عادي</t>
  </si>
  <si>
    <t>01228780841</t>
  </si>
  <si>
    <t xml:space="preserve">رمسيس </t>
  </si>
  <si>
    <t>10 الرؤيا</t>
  </si>
  <si>
    <t>10 بولس خشب</t>
  </si>
  <si>
    <t>مريم اسحق</t>
  </si>
  <si>
    <t>20 الرؤيا</t>
  </si>
  <si>
    <t>فيفيان محسن</t>
  </si>
  <si>
    <t>10 اسوع الالام</t>
  </si>
  <si>
    <t xml:space="preserve">التجمع </t>
  </si>
  <si>
    <t>01221252594</t>
  </si>
  <si>
    <t>20خروج</t>
  </si>
  <si>
    <t>مريم ابراهيم</t>
  </si>
  <si>
    <t xml:space="preserve">اسوان </t>
  </si>
  <si>
    <t>10 خيمة الاجتماع</t>
  </si>
  <si>
    <t>ماريان ماهر</t>
  </si>
  <si>
    <t xml:space="preserve">جيزة </t>
  </si>
  <si>
    <t>10 الروح القدس</t>
  </si>
  <si>
    <t>10 خرايط</t>
  </si>
  <si>
    <t>ماريان</t>
  </si>
  <si>
    <t>‪0121265 0566‬</t>
  </si>
  <si>
    <t>10 قضاه</t>
  </si>
  <si>
    <t>روڤلا ابراهيم</t>
  </si>
  <si>
    <t xml:space="preserve">الوراق </t>
  </si>
  <si>
    <t>10 اعمال الرسل</t>
  </si>
  <si>
    <t>توني ضاحي</t>
  </si>
  <si>
    <t>20 الروح القدس</t>
  </si>
  <si>
    <t xml:space="preserve">النزهة </t>
  </si>
  <si>
    <t>01229541796</t>
  </si>
  <si>
    <t>ممدوح شوقي ارنست</t>
  </si>
  <si>
    <t>20 خيمة الاجتماع</t>
  </si>
  <si>
    <t>20 رؤيا</t>
  </si>
  <si>
    <t>حنان راضي</t>
  </si>
  <si>
    <t>20 قضاه</t>
  </si>
  <si>
    <t>مارسيل طلعت</t>
  </si>
  <si>
    <t>10 خروج</t>
  </si>
  <si>
    <t>10 خماسيين</t>
  </si>
  <si>
    <t>مارثا جرجس</t>
  </si>
  <si>
    <t>10 قيامة شباب</t>
  </si>
  <si>
    <t>ديانا</t>
  </si>
  <si>
    <t>20 بولس خشب</t>
  </si>
  <si>
    <t>ديانا عماد</t>
  </si>
  <si>
    <t xml:space="preserve">٦ اكتوبر </t>
  </si>
  <si>
    <t>10 الاسفار خشب</t>
  </si>
  <si>
    <t>جينا حاتم</t>
  </si>
  <si>
    <t xml:space="preserve">اسكندرية </t>
  </si>
  <si>
    <t>50 ورشة خيمة الاجتماع</t>
  </si>
  <si>
    <t>50 ورشة رؤية</t>
  </si>
  <si>
    <t>القمص يوسف</t>
  </si>
  <si>
    <t>Uber</t>
  </si>
  <si>
    <t>50 ورشة قضاه</t>
  </si>
  <si>
    <t>جورج يوسف</t>
  </si>
  <si>
    <t>50 ورشة خروج</t>
  </si>
  <si>
    <t xml:space="preserve">حدايق الاهرام </t>
  </si>
  <si>
    <t>50 ورشة روح القدس</t>
  </si>
  <si>
    <t>جوزيف زكري</t>
  </si>
  <si>
    <t xml:space="preserve">الزيتون </t>
  </si>
  <si>
    <t xml:space="preserve">10 ورش ملوك </t>
  </si>
  <si>
    <t>ماري اكرم</t>
  </si>
  <si>
    <t xml:space="preserve">10 ورش ايام الخليقة </t>
  </si>
  <si>
    <t>صمغ</t>
  </si>
  <si>
    <t>ماري جرجس</t>
  </si>
  <si>
    <t>01283577574</t>
  </si>
  <si>
    <t>لعبة ايام الخليقة</t>
  </si>
  <si>
    <t>نيفين سمير</t>
  </si>
  <si>
    <t>50 اعمال الرسل</t>
  </si>
  <si>
    <t>6 بولس خشب</t>
  </si>
  <si>
    <t>ماجدة زكريا</t>
  </si>
  <si>
    <t xml:space="preserve">الشيخ زايد </t>
  </si>
  <si>
    <t>10 البشارة</t>
  </si>
  <si>
    <t>01210013384</t>
  </si>
  <si>
    <t>محسن مجدي</t>
  </si>
  <si>
    <t>14 بولس</t>
  </si>
  <si>
    <t>يوسف نادي</t>
  </si>
  <si>
    <t>علاء ثروت</t>
  </si>
  <si>
    <t>0 12 29775728</t>
  </si>
  <si>
    <t xml:space="preserve">طما </t>
  </si>
  <si>
    <t>چونير جوزيف</t>
  </si>
  <si>
    <t>نيلي صلاح</t>
  </si>
  <si>
    <t>خيمة الاجتماع فردية</t>
  </si>
  <si>
    <t>01228871067</t>
  </si>
  <si>
    <t>320.00</t>
  </si>
  <si>
    <t>ايام الخليقة</t>
  </si>
  <si>
    <t>مارلين حلمي</t>
  </si>
  <si>
    <t xml:space="preserve">الهرم </t>
  </si>
  <si>
    <t>منال هارون</t>
  </si>
  <si>
    <t xml:space="preserve">حلوان </t>
  </si>
  <si>
    <t>حامل الايقونات  فردية</t>
  </si>
  <si>
    <t>01227030663</t>
  </si>
  <si>
    <t>خليقة ابتدائى</t>
  </si>
  <si>
    <t>فيبي القس ميخائيل</t>
  </si>
  <si>
    <t xml:space="preserve">الضاهر </t>
  </si>
  <si>
    <t>بولا رأفت</t>
  </si>
  <si>
    <t xml:space="preserve">جسر السويس </t>
  </si>
  <si>
    <t>01225492366</t>
  </si>
  <si>
    <t>ريمون مجدي</t>
  </si>
  <si>
    <t>مينا اسحق</t>
  </si>
  <si>
    <t xml:space="preserve">بني سويف </t>
  </si>
  <si>
    <t>باسم خيري</t>
  </si>
  <si>
    <t>عدد 150 كارت 10×5 سم</t>
  </si>
  <si>
    <t xml:space="preserve">سوهاج </t>
  </si>
  <si>
    <t>طباعه فلاير A5 وش و ظهر</t>
  </si>
  <si>
    <t>بولا نبيل</t>
  </si>
  <si>
    <t>برليسلت</t>
  </si>
  <si>
    <t>شيري الفي</t>
  </si>
  <si>
    <t>ورق A4  اللوان 70 جرام</t>
  </si>
  <si>
    <t xml:space="preserve">القاهرة </t>
  </si>
  <si>
    <t>طباع شكل خاتم ورق كوشية  + تقطيع</t>
  </si>
  <si>
    <t>يسلفيا جوزيف</t>
  </si>
  <si>
    <t>01220404460</t>
  </si>
  <si>
    <t>ورقة كوشية + تفريغ</t>
  </si>
  <si>
    <t>سلفيا جوزيف</t>
  </si>
  <si>
    <t>عدد ( 2 ) امير</t>
  </si>
  <si>
    <t>استيكر بولس ورق</t>
  </si>
  <si>
    <t>رامي طلعت</t>
  </si>
  <si>
    <t xml:space="preserve">الطالبية </t>
  </si>
  <si>
    <t>فريمات صغيرة ورشة اسفار خشب</t>
  </si>
  <si>
    <t>01559032118</t>
  </si>
  <si>
    <t>مريم سامي</t>
  </si>
  <si>
    <t xml:space="preserve">قليوب </t>
  </si>
  <si>
    <t>ماجد بشرى</t>
  </si>
  <si>
    <t xml:space="preserve">الف مسكن </t>
  </si>
  <si>
    <t>خيمة الاجتماع A5</t>
  </si>
  <si>
    <t>مارينا سرجيوس</t>
  </si>
  <si>
    <t xml:space="preserve">العباسية </t>
  </si>
  <si>
    <t>راندا فكري</t>
  </si>
  <si>
    <t>01281114059</t>
  </si>
  <si>
    <t>رحلة يعقوب</t>
  </si>
  <si>
    <t>ايريني فهمي</t>
  </si>
  <si>
    <t>راندا</t>
  </si>
  <si>
    <t>راندا رفعت</t>
  </si>
  <si>
    <t>رامي نعيم</t>
  </si>
  <si>
    <t xml:space="preserve">قنا </t>
  </si>
  <si>
    <t>رامي رفعت  سريع</t>
  </si>
  <si>
    <t>01202400501</t>
  </si>
  <si>
    <t>رأفت سمير</t>
  </si>
  <si>
    <t>مينا حلمي</t>
  </si>
  <si>
    <t>اشرف كميل</t>
  </si>
  <si>
    <t>اميرة ورد</t>
  </si>
  <si>
    <t xml:space="preserve">جيرة </t>
  </si>
  <si>
    <t>01278219701</t>
  </si>
  <si>
    <t>سالي منير</t>
  </si>
  <si>
    <t>جورج عاطف</t>
  </si>
  <si>
    <t>مبرنا خليل</t>
  </si>
  <si>
    <t>عدد( 1050 ) كرت</t>
  </si>
  <si>
    <t>01211099136</t>
  </si>
  <si>
    <t>ميرنا خليل</t>
  </si>
  <si>
    <t>ختم صغير</t>
  </si>
  <si>
    <t>دينا فكري</t>
  </si>
  <si>
    <t>عدد 25 كارت</t>
  </si>
  <si>
    <t>بيتر ناجي</t>
  </si>
  <si>
    <t>عدد 100 كارت</t>
  </si>
  <si>
    <t>01289307869</t>
  </si>
  <si>
    <t>جاكلين كرمي</t>
  </si>
  <si>
    <t>سامح</t>
  </si>
  <si>
    <t>0 12 22340354</t>
  </si>
  <si>
    <t>عدد 60  كارت</t>
  </si>
  <si>
    <t>سامح سمير</t>
  </si>
  <si>
    <t xml:space="preserve">المجامع المسكونية </t>
  </si>
  <si>
    <t>عدد 500 كارت</t>
  </si>
  <si>
    <t>01210665337</t>
  </si>
  <si>
    <t>منى نسيم</t>
  </si>
  <si>
    <t xml:space="preserve">الغربية </t>
  </si>
  <si>
    <t>ورشة استير1</t>
  </si>
  <si>
    <t>كيرلس انيس</t>
  </si>
  <si>
    <t>ورشة استير2</t>
  </si>
  <si>
    <t>برليسليت</t>
  </si>
  <si>
    <t>يوستينا</t>
  </si>
  <si>
    <t>ورشة البشارة</t>
  </si>
  <si>
    <t>يوستينا مدحت</t>
  </si>
  <si>
    <t>ورشة  بداية الخدمة</t>
  </si>
  <si>
    <t>ورشة الخدمة الاولي</t>
  </si>
  <si>
    <t>مريم مدحت</t>
  </si>
  <si>
    <t>01225568706</t>
  </si>
  <si>
    <t>كارت االنهضة</t>
  </si>
  <si>
    <t>مريم شكري</t>
  </si>
  <si>
    <t>ورشة ايام الخليقة</t>
  </si>
  <si>
    <t>1000كارت جدول</t>
  </si>
  <si>
    <t>ميخائيل نوح</t>
  </si>
  <si>
    <t xml:space="preserve">الإسكندرية </t>
  </si>
  <si>
    <t>01271994748</t>
  </si>
  <si>
    <t>بيشوي</t>
  </si>
  <si>
    <t>عدد 580 كارت</t>
  </si>
  <si>
    <t>لعبة الكروت</t>
  </si>
  <si>
    <t>عزيز مكرم  عادي</t>
  </si>
  <si>
    <t>01278338577</t>
  </si>
  <si>
    <t>عدد 300 كارت</t>
  </si>
  <si>
    <t>01201385598</t>
  </si>
  <si>
    <t>عدد 25 كارت طويل</t>
  </si>
  <si>
    <t>عدد 500 كارت نهضة العذراء</t>
  </si>
  <si>
    <t>01210909235</t>
  </si>
  <si>
    <t>01553197595</t>
  </si>
  <si>
    <t>01285879384</t>
  </si>
  <si>
    <t>01285130625</t>
  </si>
  <si>
    <t>01000550089</t>
  </si>
  <si>
    <t>01208360169</t>
  </si>
  <si>
    <t>01282897816</t>
  </si>
  <si>
    <t>01210898866</t>
  </si>
  <si>
    <t>0122 800 0206</t>
  </si>
  <si>
    <t>01274752927</t>
  </si>
  <si>
    <t>0 12 00799390</t>
  </si>
  <si>
    <t>نظام إدارة علاقات العملاء (CRM Dashboard)</t>
  </si>
  <si>
    <t>إجمالي العملاء</t>
  </si>
  <si>
    <t>إجمالي الطلبات</t>
  </si>
  <si>
    <t>المستحقات المتبقية</t>
  </si>
  <si>
    <t>01222836492</t>
  </si>
  <si>
    <t>مبيعات الورشة (Workshop)</t>
  </si>
  <si>
    <t>مبيعات البراند (Brand)</t>
  </si>
  <si>
    <t>المبيعات الرقمية (Digital)</t>
  </si>
  <si>
    <t>البحث عن العميل (Customer Search &amp; Card)</t>
  </si>
  <si>
    <t>01270170345</t>
  </si>
  <si>
    <t>اسم العميل:</t>
  </si>
  <si>
    <t>كود العميل (ClientID)</t>
  </si>
  <si>
    <t>رقم الهاتف (Phone)</t>
  </si>
  <si>
    <t>العنوان (Address)</t>
  </si>
  <si>
    <t>عدد الطلبات (Total Orders)</t>
  </si>
  <si>
    <t>إجمالي المبيعات (Total Spend)</t>
  </si>
  <si>
    <t>المستحقات المتبقية (Balance Rest)</t>
  </si>
  <si>
    <t>سجل الطلبات الأخير للعميل (Client Recent Order History)</t>
  </si>
  <si>
    <t>كود الطلب (OrderID)</t>
  </si>
  <si>
    <t>التاريخ (Date)</t>
  </si>
  <si>
    <t>المنتج (Product)</t>
  </si>
  <si>
    <t>الكمية (Qty)</t>
  </si>
  <si>
    <t>الإجمالي (Total)</t>
  </si>
  <si>
    <t>المتبقي (Balance)</t>
  </si>
  <si>
    <t>01272397677</t>
  </si>
  <si>
    <t>01554450769</t>
  </si>
  <si>
    <t>01226603170</t>
  </si>
  <si>
    <t>01224233512</t>
  </si>
  <si>
    <t>01224327593</t>
  </si>
  <si>
    <t>01287356549</t>
  </si>
  <si>
    <t>01287289231</t>
  </si>
  <si>
    <t>01227231701</t>
  </si>
  <si>
    <t>01206954776</t>
  </si>
  <si>
    <t>01225380901</t>
  </si>
  <si>
    <t>01281213583</t>
  </si>
  <si>
    <t>01220047490</t>
  </si>
  <si>
    <t>01222386635</t>
  </si>
  <si>
    <t>01277336697</t>
  </si>
  <si>
    <t>01280186381</t>
  </si>
  <si>
    <t>01222212804</t>
  </si>
  <si>
    <t>01146826891</t>
  </si>
  <si>
    <t>01221835605</t>
  </si>
  <si>
    <t>01225276756</t>
  </si>
  <si>
    <t>01225577036</t>
  </si>
  <si>
    <t>01007076232</t>
  </si>
  <si>
    <t>01283068152</t>
  </si>
  <si>
    <t>01275566961</t>
  </si>
  <si>
    <t>01225395359</t>
  </si>
  <si>
    <t>01222865561</t>
  </si>
  <si>
    <t>01276039193</t>
  </si>
  <si>
    <t>01278638302</t>
  </si>
  <si>
    <t>01225059966</t>
  </si>
  <si>
    <t>ملخص المبيعات</t>
  </si>
  <si>
    <t>لوحة التحكم المالية</t>
  </si>
  <si>
    <t>01227049459</t>
  </si>
  <si>
    <t>إجمالي المحصل</t>
  </si>
  <si>
    <t>إجمالي المتبقي</t>
  </si>
  <si>
    <t>طرق الدفع</t>
  </si>
  <si>
    <t>in</t>
  </si>
  <si>
    <t>out</t>
  </si>
  <si>
    <t>abona</t>
  </si>
  <si>
    <t>Box</t>
  </si>
  <si>
    <t>Vodafone Cash</t>
  </si>
  <si>
    <t>Visa / Post</t>
  </si>
  <si>
    <t>01228744173</t>
  </si>
  <si>
    <t>التكاليف والمصروفات</t>
  </si>
  <si>
    <t>المصروفات العامة</t>
  </si>
  <si>
    <t>مصروفات إدارية</t>
  </si>
  <si>
    <t>تكلفة العمالة</t>
  </si>
  <si>
    <t>تكلفة الخامات</t>
  </si>
  <si>
    <t>01228744174</t>
  </si>
  <si>
    <t>01285117747</t>
  </si>
  <si>
    <t>01066542381</t>
  </si>
  <si>
    <t>الصنف</t>
  </si>
  <si>
    <t>الكمية</t>
  </si>
  <si>
    <t>سعر التكلفة</t>
  </si>
  <si>
    <t>سعر البيع</t>
  </si>
  <si>
    <t>إجمالي التكلفة</t>
  </si>
  <si>
    <t>إجمالي قيمة البيع</t>
  </si>
  <si>
    <t>01223610513</t>
  </si>
  <si>
    <t>01285809383</t>
  </si>
  <si>
    <t>01280182868</t>
  </si>
  <si>
    <t>01223681927</t>
  </si>
  <si>
    <t>01283946493</t>
  </si>
  <si>
    <t>01276487681</t>
  </si>
  <si>
    <t>01288835563</t>
  </si>
  <si>
    <t>01285175611</t>
  </si>
  <si>
    <t>01274541584</t>
  </si>
  <si>
    <t>01285251725</t>
  </si>
  <si>
    <t>01022637568</t>
  </si>
  <si>
    <t>01210095586</t>
  </si>
  <si>
    <t>01013785972</t>
  </si>
  <si>
    <t>01201363346</t>
  </si>
  <si>
    <t>01283286552</t>
  </si>
  <si>
    <t>01226558122</t>
  </si>
  <si>
    <t>01061823414</t>
  </si>
  <si>
    <t>01282703280</t>
  </si>
  <si>
    <t>01552472885</t>
  </si>
  <si>
    <t>01223412309</t>
  </si>
  <si>
    <t>01284884390</t>
  </si>
  <si>
    <t>01142570510</t>
  </si>
  <si>
    <t>01272727208</t>
  </si>
  <si>
    <t>01220471589</t>
  </si>
  <si>
    <t>01205500703</t>
  </si>
  <si>
    <t>01278055444</t>
  </si>
  <si>
    <t>0120404460</t>
  </si>
  <si>
    <t>01229663070</t>
  </si>
  <si>
    <t>٠١٢٢٢٢٧٧٤٢٥</t>
  </si>
  <si>
    <t>THOMAS</t>
  </si>
  <si>
    <t>01224213009</t>
  </si>
  <si>
    <t>٠١٠٦١٩٤٣٠٣٠</t>
  </si>
  <si>
    <t>012 23882684</t>
  </si>
  <si>
    <t>01220492762</t>
  </si>
  <si>
    <t>٠١٥٥٨٠٩٩٢٣٨</t>
  </si>
  <si>
    <t>01159190191</t>
  </si>
  <si>
    <t>01271089006</t>
  </si>
  <si>
    <t>٠١٢٢٢٤٠٣٢٦٣</t>
  </si>
  <si>
    <t>01222279129</t>
  </si>
  <si>
    <t>01004414789</t>
  </si>
  <si>
    <t>٠١٢٢٩٥٥٠٧٤٩</t>
  </si>
  <si>
    <t>01002474525</t>
  </si>
  <si>
    <t>٠١٢٨٢٨٩٧٨١٦</t>
  </si>
  <si>
    <t>01210266998</t>
  </si>
  <si>
    <t>01270250995</t>
  </si>
  <si>
    <t>00000000</t>
  </si>
  <si>
    <t>Online</t>
  </si>
  <si>
    <t>01224245001</t>
  </si>
  <si>
    <t>01222213881</t>
  </si>
  <si>
    <t>01276793231</t>
  </si>
  <si>
    <t>01278226872</t>
  </si>
  <si>
    <t>0122 065 0555</t>
  </si>
  <si>
    <t>2026/06/08</t>
  </si>
  <si>
    <t>01201644424</t>
  </si>
  <si>
    <t>٠١٢٠١٦٠٥٦٨٢</t>
  </si>
  <si>
    <t>٠١٢٧٦١٦١٣٥٧</t>
  </si>
  <si>
    <t>٠١٢٢٤١٥٧٢٠٠</t>
  </si>
  <si>
    <t>01282431447</t>
  </si>
  <si>
    <t>01276446121</t>
  </si>
  <si>
    <t>01272288892</t>
  </si>
  <si>
    <t>01224722613</t>
  </si>
  <si>
    <t>01277192123</t>
  </si>
  <si>
    <t>01100030657</t>
  </si>
  <si>
    <t>٠١٢٢٤٠٥٤٨٣١</t>
  </si>
  <si>
    <t>01008175944</t>
  </si>
  <si>
    <t>01280054022</t>
  </si>
  <si>
    <t>01221529199</t>
  </si>
  <si>
    <t>01001917805</t>
  </si>
  <si>
    <t>01205649925</t>
  </si>
  <si>
    <t>01008000147</t>
  </si>
  <si>
    <t>01284343934</t>
  </si>
  <si>
    <t>01283003185</t>
  </si>
  <si>
    <t>01275586881</t>
  </si>
  <si>
    <t>٠١٢٢٥٦٨٨٤١٧</t>
  </si>
  <si>
    <t>01143839151</t>
  </si>
  <si>
    <t>01208244280</t>
  </si>
  <si>
    <t>01121763563</t>
  </si>
  <si>
    <t>01200009195</t>
  </si>
  <si>
    <t>01002432340</t>
  </si>
  <si>
    <t>01278443951</t>
  </si>
  <si>
    <t>01282955771</t>
  </si>
  <si>
    <t>ا01227939778</t>
  </si>
  <si>
    <t>01200526235</t>
  </si>
  <si>
    <t>01274724992</t>
  </si>
  <si>
    <t>01015057250</t>
  </si>
  <si>
    <t>01223191710</t>
  </si>
  <si>
    <t>٠١٢٢٠٤١٣١٠٠</t>
  </si>
  <si>
    <t>٠١٢٧٥٧٥٧٩٦٤</t>
  </si>
  <si>
    <t>01001751095</t>
  </si>
  <si>
    <t>01226269442</t>
  </si>
  <si>
    <t>٠١٢١١٢٤٦٦٦٨</t>
  </si>
  <si>
    <t>01270668892</t>
  </si>
  <si>
    <t>01279489526</t>
  </si>
  <si>
    <t>٠١٢٧٨٤٩٨١١٤</t>
  </si>
  <si>
    <t>01211098386</t>
  </si>
  <si>
    <t>1020149364</t>
  </si>
  <si>
    <t>1228256668</t>
  </si>
  <si>
    <t>1287393031</t>
  </si>
  <si>
    <t>01279406075</t>
  </si>
  <si>
    <t>٠١٢٢٩٦٢٠٠٠٩</t>
  </si>
  <si>
    <t>01227112120</t>
  </si>
  <si>
    <t>01099686586</t>
  </si>
  <si>
    <t>٠١٢٢٢٢٤٥٦٩٤</t>
  </si>
  <si>
    <t>1201178823</t>
  </si>
  <si>
    <t>01284451453</t>
  </si>
  <si>
    <t>0000000</t>
  </si>
  <si>
    <t>1283138470</t>
  </si>
  <si>
    <t>01288201186</t>
  </si>
  <si>
    <t>1205980164</t>
  </si>
  <si>
    <t>01205980164</t>
  </si>
  <si>
    <t>1278953752</t>
  </si>
  <si>
    <t>1286660250</t>
  </si>
  <si>
    <t>1286829437</t>
  </si>
  <si>
    <t>1276513616</t>
  </si>
  <si>
    <t>٠١٢٧٦٥١٣٦١٦</t>
  </si>
  <si>
    <t>1280864411</t>
  </si>
  <si>
    <t>1090707425</t>
  </si>
  <si>
    <t>01090707425</t>
  </si>
  <si>
    <t>1228798939</t>
  </si>
  <si>
    <t>1280080079</t>
  </si>
  <si>
    <t>1202439821</t>
  </si>
  <si>
    <t>1142570510</t>
  </si>
  <si>
    <t>1276294332</t>
  </si>
  <si>
    <t>1273502351</t>
  </si>
  <si>
    <t>01273502351</t>
  </si>
  <si>
    <t>1222662946</t>
  </si>
  <si>
    <t>01227492016</t>
  </si>
  <si>
    <t>01283276404</t>
  </si>
  <si>
    <t xml:space="preserve">مريم اشرف </t>
  </si>
  <si>
    <t xml:space="preserve">انجي </t>
  </si>
  <si>
    <t>01223035422</t>
  </si>
  <si>
    <t xml:space="preserve">يوستينا عدلي </t>
  </si>
  <si>
    <t>٠١٢٧٧٢٢١٨١٤</t>
  </si>
  <si>
    <t xml:space="preserve">عماد انور </t>
  </si>
  <si>
    <t>01276792881</t>
  </si>
  <si>
    <t>1068358873</t>
  </si>
  <si>
    <t xml:space="preserve">ابو تشت </t>
  </si>
  <si>
    <t>InstaPay</t>
  </si>
  <si>
    <t>1211982488</t>
  </si>
  <si>
    <t>٠١٢١١٩٨٢٤٨٨</t>
  </si>
  <si>
    <t xml:space="preserve">بولا جرجس </t>
  </si>
  <si>
    <t>01221964646</t>
  </si>
  <si>
    <t xml:space="preserve">بيشوي عادل </t>
  </si>
  <si>
    <t>1285045140</t>
  </si>
  <si>
    <t>01285045140</t>
  </si>
  <si>
    <t xml:space="preserve">مريم اسحق </t>
  </si>
  <si>
    <t>01229789580</t>
  </si>
  <si>
    <t xml:space="preserve">فيفيان محسن </t>
  </si>
  <si>
    <t>01211003999</t>
  </si>
  <si>
    <t xml:space="preserve">مريم ابراهيم </t>
  </si>
  <si>
    <t>1276573824</t>
  </si>
  <si>
    <t>٠١٢٧٦٥٧٣٨٢٤</t>
  </si>
  <si>
    <t xml:space="preserve">ماريان ماهر </t>
  </si>
  <si>
    <t>1200614408</t>
  </si>
  <si>
    <t>01200614408</t>
  </si>
  <si>
    <t xml:space="preserve">مارينا كرم </t>
  </si>
  <si>
    <t xml:space="preserve">روڤلا ابراهيم </t>
  </si>
  <si>
    <t>01206400509</t>
  </si>
  <si>
    <t xml:space="preserve">توني ضاحي </t>
  </si>
  <si>
    <t>01205854980</t>
  </si>
  <si>
    <t xml:space="preserve">ممدوح شوقي ارنست </t>
  </si>
  <si>
    <t>1229689064</t>
  </si>
  <si>
    <t>01229689064</t>
  </si>
  <si>
    <t xml:space="preserve">حنان راضي </t>
  </si>
  <si>
    <t>01224158064</t>
  </si>
  <si>
    <t xml:space="preserve">مارسيل طلعت </t>
  </si>
  <si>
    <t>01004880409</t>
  </si>
  <si>
    <t xml:space="preserve">مارثا جرجس </t>
  </si>
  <si>
    <t>01226727302</t>
  </si>
  <si>
    <t xml:space="preserve">ديانا عماد </t>
  </si>
  <si>
    <t>01202440208</t>
  </si>
  <si>
    <t xml:space="preserve">جينا حاتم </t>
  </si>
  <si>
    <t>01273555752</t>
  </si>
  <si>
    <t xml:space="preserve">القمص يوسف </t>
  </si>
  <si>
    <t>1221456551</t>
  </si>
  <si>
    <t>٠١٢٢١٤٥٦٥٥١</t>
  </si>
  <si>
    <t xml:space="preserve">جورج يوسف </t>
  </si>
  <si>
    <t>1202002267</t>
  </si>
  <si>
    <t>٠١٢٠٢٠٠٢٢٦٧</t>
  </si>
  <si>
    <t>1286442201</t>
  </si>
  <si>
    <t>1276034231</t>
  </si>
  <si>
    <t>1272141188</t>
  </si>
  <si>
    <t>1227203630</t>
  </si>
  <si>
    <t>كيرلس سامي</t>
  </si>
  <si>
    <t>01200093605</t>
  </si>
  <si>
    <t>القناطر الخيرية</t>
  </si>
  <si>
    <t>1224446884</t>
  </si>
  <si>
    <t>1206904512</t>
  </si>
  <si>
    <t>01206904512</t>
  </si>
  <si>
    <t xml:space="preserve">علاء ثروت </t>
  </si>
  <si>
    <t xml:space="preserve">چونير جوزيف </t>
  </si>
  <si>
    <t>1006033662</t>
  </si>
  <si>
    <t>٠١٠٠٦٠٣٣٦٦٢</t>
  </si>
  <si>
    <t xml:space="preserve">نيلي صلاح </t>
  </si>
  <si>
    <t>01224382874</t>
  </si>
  <si>
    <t xml:space="preserve">مارلين حلمي </t>
  </si>
  <si>
    <t>1274841748</t>
  </si>
  <si>
    <t>01274841748</t>
  </si>
  <si>
    <t xml:space="preserve">منال هارون </t>
  </si>
  <si>
    <t>1272850540</t>
  </si>
  <si>
    <t xml:space="preserve">فيبي القس ميخائيل </t>
  </si>
  <si>
    <t>1223909649</t>
  </si>
  <si>
    <t>٠١٢٢٣٩٠٩٦٤٩</t>
  </si>
  <si>
    <t xml:space="preserve">بولا رأفت </t>
  </si>
  <si>
    <t>01205307869</t>
  </si>
  <si>
    <t xml:space="preserve">ريمون مجدي </t>
  </si>
  <si>
    <t>1092585718</t>
  </si>
  <si>
    <t>01092585718</t>
  </si>
  <si>
    <t xml:space="preserve">مينا اسحق </t>
  </si>
  <si>
    <t>01224865342</t>
  </si>
  <si>
    <t xml:space="preserve">باسم خيري </t>
  </si>
  <si>
    <t>1206099448</t>
  </si>
  <si>
    <t>01206099448</t>
  </si>
  <si>
    <t xml:space="preserve">بولا نبيل </t>
  </si>
  <si>
    <t>01203767596</t>
  </si>
  <si>
    <t xml:space="preserve">شيري الفي </t>
  </si>
  <si>
    <t>01226820428</t>
  </si>
  <si>
    <t xml:space="preserve">سلفيا جوزيف </t>
  </si>
  <si>
    <t>01065655881</t>
  </si>
  <si>
    <t>1229620009</t>
  </si>
  <si>
    <t xml:space="preserve">رامي طلعت </t>
  </si>
  <si>
    <t>٠١٢٧٤٩٧٤٧٩٥</t>
  </si>
  <si>
    <t xml:space="preserve">مريم سامي </t>
  </si>
  <si>
    <t>01273913547</t>
  </si>
  <si>
    <t xml:space="preserve">ماجد بشرى </t>
  </si>
  <si>
    <t>1200353336</t>
  </si>
  <si>
    <t>٠١٢٠٠٣٥٣٣٣٦</t>
  </si>
  <si>
    <t xml:space="preserve">مارينا سرجيوس </t>
  </si>
  <si>
    <t>1285444292</t>
  </si>
  <si>
    <t>01285444292</t>
  </si>
  <si>
    <t xml:space="preserve">راندا فكري </t>
  </si>
  <si>
    <t>01284891555</t>
  </si>
  <si>
    <t xml:space="preserve">العمرانية </t>
  </si>
  <si>
    <t xml:space="preserve">ايريني فهمي </t>
  </si>
  <si>
    <t>1220307270</t>
  </si>
  <si>
    <t xml:space="preserve">المتحف المصري </t>
  </si>
  <si>
    <t>01220307270</t>
  </si>
  <si>
    <t xml:space="preserve">راندا رفعت </t>
  </si>
  <si>
    <t>1270119897</t>
  </si>
  <si>
    <t xml:space="preserve">رامي نعيم </t>
  </si>
  <si>
    <t>01068358873</t>
  </si>
  <si>
    <t xml:space="preserve">رأفت سمير </t>
  </si>
  <si>
    <t>01226906865</t>
  </si>
  <si>
    <t xml:space="preserve">حدايق اكتوبر </t>
  </si>
  <si>
    <t xml:space="preserve">مينا حلمي </t>
  </si>
  <si>
    <t>01276918689</t>
  </si>
  <si>
    <t xml:space="preserve">دير مواس </t>
  </si>
  <si>
    <t xml:space="preserve">اشرف كميل </t>
  </si>
  <si>
    <t>01204303095</t>
  </si>
  <si>
    <t xml:space="preserve">مس فيبي </t>
  </si>
  <si>
    <t xml:space="preserve">اميرة ورد </t>
  </si>
  <si>
    <t>1281177810</t>
  </si>
  <si>
    <t>01281177810</t>
  </si>
  <si>
    <t xml:space="preserve">سالي منير </t>
  </si>
  <si>
    <t>01012546299</t>
  </si>
  <si>
    <t xml:space="preserve">جورج عاطف </t>
  </si>
  <si>
    <t>01225254582</t>
  </si>
  <si>
    <t xml:space="preserve">الدقي </t>
  </si>
  <si>
    <t>1288682578</t>
  </si>
  <si>
    <t>٠١٢٨٨٦٨٢٥٧٨</t>
  </si>
  <si>
    <t xml:space="preserve">دينا فكري </t>
  </si>
  <si>
    <t>٠١٢٧٥٥٧٣١٩٢</t>
  </si>
  <si>
    <t xml:space="preserve">دريم لاند </t>
  </si>
  <si>
    <t xml:space="preserve">بيتر ناجي </t>
  </si>
  <si>
    <t>1500077498</t>
  </si>
  <si>
    <t xml:space="preserve">سمالوط </t>
  </si>
  <si>
    <t xml:space="preserve">جاكلين كرمي </t>
  </si>
  <si>
    <t>01275477954</t>
  </si>
  <si>
    <t xml:space="preserve">سامح سمير </t>
  </si>
  <si>
    <t xml:space="preserve">منى نسيم </t>
  </si>
  <si>
    <t>٠١٢٢٢١٠٥٦٩٤</t>
  </si>
  <si>
    <t xml:space="preserve">طنطا </t>
  </si>
  <si>
    <t>1229385164</t>
  </si>
  <si>
    <t>01229385164</t>
  </si>
  <si>
    <t>1210013384</t>
  </si>
  <si>
    <t xml:space="preserve">يوستينا مدحت </t>
  </si>
  <si>
    <t>01033901039</t>
  </si>
  <si>
    <t xml:space="preserve">هرم </t>
  </si>
  <si>
    <t xml:space="preserve">مريم شكري </t>
  </si>
  <si>
    <t>01224819962</t>
  </si>
  <si>
    <t xml:space="preserve">السلام </t>
  </si>
  <si>
    <t xml:space="preserve">ميخائيل نوح </t>
  </si>
  <si>
    <t>01278715174</t>
  </si>
  <si>
    <t xml:space="preserve">المعمورة </t>
  </si>
  <si>
    <t xml:space="preserve">بيشوي </t>
  </si>
  <si>
    <t>01205998807</t>
  </si>
  <si>
    <t xml:space="preserve">بهتيم </t>
  </si>
  <si>
    <t xml:space="preserve">عاطف رياض </t>
  </si>
  <si>
    <t>٠١٢٢٥٠٥٩٩٦٦</t>
  </si>
  <si>
    <t xml:space="preserve">نيفين ميلاد </t>
  </si>
  <si>
    <t>01285635779</t>
  </si>
  <si>
    <t xml:space="preserve">عادل وديع </t>
  </si>
  <si>
    <t>01207810584</t>
  </si>
  <si>
    <t xml:space="preserve">الشرقية </t>
  </si>
  <si>
    <t xml:space="preserve">الزقازيق </t>
  </si>
  <si>
    <t xml:space="preserve">فادي اشرف </t>
  </si>
  <si>
    <t>01200315677</t>
  </si>
  <si>
    <t xml:space="preserve">مينا شاكر </t>
  </si>
  <si>
    <t>٠١٢٠٠٩٦٩٧٠٧</t>
  </si>
  <si>
    <t xml:space="preserve">بورسعيد </t>
  </si>
  <si>
    <t xml:space="preserve">د/ميشيل </t>
  </si>
  <si>
    <t>٠١١١٨٧٥١١٩١</t>
  </si>
  <si>
    <t xml:space="preserve">ريهام ناصر </t>
  </si>
  <si>
    <t>01228617170</t>
  </si>
  <si>
    <t xml:space="preserve">الخصوص </t>
  </si>
  <si>
    <t xml:space="preserve">مجدي عطية </t>
  </si>
  <si>
    <t>01271507475</t>
  </si>
  <si>
    <t xml:space="preserve">كريستين نجيب </t>
  </si>
  <si>
    <t>01205444553</t>
  </si>
  <si>
    <t xml:space="preserve">بنها </t>
  </si>
  <si>
    <t xml:space="preserve">نرمين نبيل </t>
  </si>
  <si>
    <t>01228431414</t>
  </si>
  <si>
    <t xml:space="preserve">الليبيني هرم </t>
  </si>
  <si>
    <t xml:space="preserve">مريم عماد </t>
  </si>
  <si>
    <t>01272541393</t>
  </si>
  <si>
    <t xml:space="preserve">العاشر من رمضان </t>
  </si>
  <si>
    <t xml:space="preserve">ميري مرشد </t>
  </si>
  <si>
    <t>01274718571</t>
  </si>
  <si>
    <t xml:space="preserve">مارك شريف </t>
  </si>
  <si>
    <t>01207625449</t>
  </si>
  <si>
    <t xml:space="preserve">ملوي </t>
  </si>
  <si>
    <t xml:space="preserve">مريم رامي </t>
  </si>
  <si>
    <t>01207333581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</si>
</sst>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yyyy/MM/dd"/>
    <numFmt numFmtId="165" formatCode="00000000000"/>
    <numFmt numFmtId="166" formatCode="d mmmm"/>
    <numFmt numFmtId="167" formatCode="mm-dd"/>
    <numFmt numFmtId="168" formatCode="m-d"/>
    <numFmt numFmtId="169" formatCode="m&quot;/&quot;d&quot;/&quot;yy"/>
    <numFmt numFmtId="170" formatCode="yyyy-mm"/>
    <numFmt numFmtId="171" formatCode="M/d/yyyy"/>
    <numFmt numFmtId="172" formatCode="h:mm:ss am/pm"/>
    <numFmt numFmtId="173" formatCode="h:mm am/pm"/>
    <numFmt numFmtId="174" formatCode="yyyy-mm-dd"/>
    <numFmt numFmtId="175" formatCode="mm/dd"/>
    <numFmt numFmtId="176" formatCode="0.0"/>
    <numFmt numFmtId="177" formatCode="[$£]#,##0"/>
  </numFmts>
  <fonts count="76">
    <font>
      <sz val="10.0"/>
      <color rgb="FF000000"/>
      <name val="Arial"/>
      <scheme val="minor"/>
    </font>
    <font>
      <sz val="11.0"/>
      <color theme="1"/>
      <name val="Arial"/>
    </font>
    <font/>
    <font>
      <color theme="1"/>
      <name val="Arial"/>
      <scheme val="minor"/>
    </font>
    <font>
      <sz val="13.0"/>
      <color rgb="FFFFFFFF"/>
      <name val="Arial"/>
      <scheme val="minor"/>
    </font>
    <font>
      <b/>
      <sz val="13.0"/>
      <color rgb="FFFFFFFF"/>
      <name val="Arial"/>
    </font>
    <font>
      <b/>
      <sz val="12.0"/>
      <color rgb="FFFFFFFF"/>
      <name val="Roboto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sz val="12.0"/>
      <color rgb="FF434343"/>
      <name val="Roboto"/>
    </font>
    <font>
      <sz val="12.0"/>
      <color rgb="FF2A3243"/>
      <name val="Roboto"/>
    </font>
    <font>
      <b/>
      <sz val="14.0"/>
      <color rgb="FF000000"/>
      <name val="Arial"/>
    </font>
    <font>
      <sz val="12.0"/>
      <color rgb="FF434343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b/>
      <sz val="14.0"/>
      <color rgb="FFFF0000"/>
      <name val="Arial"/>
    </font>
    <font>
      <b/>
      <sz val="14.0"/>
      <color rgb="FF00FF00"/>
      <name val="Arial"/>
    </font>
    <font>
      <sz val="12.0"/>
      <color theme="1"/>
      <name val="Arial"/>
      <scheme val="minor"/>
    </font>
    <font>
      <sz val="11.0"/>
      <color rgb="FF000000"/>
      <name val="Arial"/>
    </font>
    <font>
      <b/>
      <sz val="14.0"/>
      <color rgb="FF000000"/>
      <name val="Roboto"/>
    </font>
    <font>
      <sz val="12.0"/>
      <color rgb="FFFF0000"/>
      <name val="Arial"/>
      <scheme val="minor"/>
    </font>
    <font>
      <sz val="15.0"/>
      <color rgb="FF000000"/>
      <name val="Arial"/>
      <scheme val="minor"/>
    </font>
    <font>
      <sz val="13.0"/>
      <color rgb="FF000000"/>
      <name val="Arial"/>
      <scheme val="minor"/>
    </font>
    <font>
      <sz val="12.0"/>
      <color rgb="FF000000"/>
      <name val="Arial"/>
      <scheme val="minor"/>
    </font>
    <font>
      <sz val="20.0"/>
      <color rgb="FFFF0000"/>
      <name val="Arial"/>
      <scheme val="minor"/>
    </font>
    <font>
      <b/>
      <sz val="14.0"/>
      <color theme="1"/>
      <name val="Roboto"/>
    </font>
    <font>
      <sz val="14.0"/>
      <color rgb="FF000000"/>
      <name val="Arial"/>
      <scheme val="minor"/>
    </font>
    <font>
      <sz val="15.0"/>
      <color theme="1"/>
      <name val="Roboto"/>
    </font>
    <font>
      <sz val="10.0"/>
      <color rgb="FF171C1F"/>
      <name val="Roboto"/>
    </font>
    <font>
      <sz val="10.0"/>
      <color theme="1"/>
      <name val="Roboto"/>
    </font>
    <font>
      <sz val="15.0"/>
      <color theme="1"/>
      <name val="Arial"/>
      <scheme val="minor"/>
    </font>
    <font>
      <sz val="15.0"/>
      <color rgb="FF171C1F"/>
      <name val="Roboto"/>
    </font>
    <font>
      <sz val="21.0"/>
      <color theme="1"/>
      <name val="Arial"/>
      <scheme val="minor"/>
    </font>
    <font>
      <sz val="17.0"/>
      <color rgb="FF171C1F"/>
      <name val="Roboto"/>
    </font>
    <font>
      <sz val="17.0"/>
      <color theme="1"/>
      <name val="Arial"/>
      <scheme val="minor"/>
    </font>
    <font>
      <sz val="18.0"/>
      <color theme="1"/>
      <name val="Arial"/>
      <scheme val="minor"/>
    </font>
    <font>
      <sz val="17.0"/>
      <color rgb="FFCFE2F3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7.0"/>
      <color rgb="FFFF0000"/>
      <name val="Roboto"/>
    </font>
    <font>
      <b/>
      <sz val="14.0"/>
      <color rgb="FFFF0000"/>
      <name val="Roboto"/>
    </font>
    <font>
      <sz val="13.0"/>
      <color theme="1"/>
      <name val="Arial"/>
    </font>
    <font>
      <sz val="15.0"/>
      <color rgb="FFFF0000"/>
      <name val="Arial"/>
      <scheme val="minor"/>
    </font>
    <font>
      <color theme="0"/>
      <name val="Arial"/>
      <scheme val="minor"/>
    </font>
    <font>
      <sz val="14.0"/>
      <color rgb="FFFF0000"/>
      <name val="Arial"/>
      <scheme val="minor"/>
    </font>
    <font>
      <sz val="14.0"/>
      <color rgb="FFFF00FF"/>
      <name val="Arial"/>
      <scheme val="minor"/>
    </font>
    <font>
      <sz val="14.0"/>
      <color rgb="FF274E13"/>
      <name val="Arial"/>
      <scheme val="minor"/>
    </font>
    <font>
      <b/>
      <sz val="14.0"/>
      <color rgb="FF0000FF"/>
      <name val="Arial"/>
      <scheme val="minor"/>
    </font>
    <font>
      <color rgb="FF000000"/>
      <name val="Arial"/>
      <scheme val="minor"/>
    </font>
    <font>
      <sz val="13.0"/>
      <color rgb="FF0B8043"/>
      <name val="Arial"/>
      <scheme val="minor"/>
    </font>
    <font>
      <sz val="13.0"/>
      <color rgb="FFFF00FF"/>
      <name val="Arial"/>
      <scheme val="minor"/>
    </font>
    <font>
      <sz val="13.0"/>
      <color rgb="FFFF0000"/>
      <name val="Arial"/>
      <scheme val="minor"/>
    </font>
    <font>
      <sz val="13.0"/>
      <color rgb="FF0000FF"/>
      <name val="Arial"/>
      <scheme val="minor"/>
    </font>
    <font>
      <sz val="13.0"/>
      <color rgb="FF274E13"/>
      <name val="Arial"/>
      <scheme val="minor"/>
    </font>
    <font>
      <sz val="11.0"/>
      <color rgb="FFFF00FF"/>
      <name val="Arial"/>
      <scheme val="minor"/>
    </font>
    <font>
      <sz val="11.0"/>
      <color rgb="FF000000"/>
      <name val="Arial"/>
      <scheme val="minor"/>
    </font>
    <font>
      <b/>
      <sz val="13.0"/>
      <color rgb="FFFF0000"/>
      <name val="Arial"/>
      <scheme val="minor"/>
    </font>
    <font>
      <color theme="1"/>
      <name val="Arial"/>
    </font>
    <font>
      <color theme="0"/>
      <name val="Arial"/>
    </font>
    <font>
      <sz val="10.0"/>
      <color theme="1"/>
      <name val="Arial"/>
      <scheme val="minor"/>
    </font>
    <font>
      <sz val="10.0"/>
      <color rgb="FF000000"/>
      <name val="Roboto"/>
    </font>
    <font>
      <b/>
      <sz val="14.0"/>
      <color rgb="FF0000FF"/>
      <name val="Roboto"/>
    </font>
    <font>
      <b/>
      <sz val="14.0"/>
      <color rgb="FF00FF00"/>
      <name val="Roboto"/>
    </font>
    <font>
      <b/>
      <sz val="14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4.0"/>
      <color rgb="FFFFFFFF"/>
      <name val="Roboto"/>
    </font>
    <font>
      <color rgb="FF1A1B1F"/>
      <name val="Roboto"/>
    </font>
    <font>
      <b/>
      <sz val="24.0"/>
      <color rgb="FFFFFFFF"/>
      <name val="Roboto"/>
    </font>
    <font>
      <sz val="16.0"/>
      <color theme="1"/>
      <name val="Arial"/>
      <scheme val="minor"/>
    </font>
    <font>
      <color rgb="FFFF0000"/>
      <name val="Arial"/>
      <scheme val="minor"/>
    </font>
    <font>
      <b/>
      <sz val="11.0"/>
      <color rgb="FFFFFFFF"/>
      <name val="Arial"/>
      <scheme val="minor"/>
    </font>
    <font>
      <b/>
      <sz val="11.0"/>
      <color rgb="FF3B4757"/>
      <name val="Arial"/>
      <scheme val="minor"/>
    </font>
    <font>
      <sz val="14.0"/>
      <color rgb="FF000000"/>
      <name val="Roboto"/>
    </font>
    <font>
      <sz val="14.0"/>
      <color theme="1"/>
      <name val="Roboto"/>
    </font>
  </fonts>
  <fills count="3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8E7CC3"/>
        <bgColor rgb="FF8E7CC3"/>
      </patternFill>
    </fill>
    <fill>
      <patternFill patternType="solid">
        <fgColor rgb="FFCC0000"/>
        <bgColor rgb="FFCC0000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1C4587"/>
        <bgColor rgb="FF1C4587"/>
      </patternFill>
    </fill>
    <fill>
      <patternFill patternType="solid">
        <fgColor rgb="FF274E13"/>
        <bgColor rgb="FF274E13"/>
      </patternFill>
    </fill>
    <fill>
      <patternFill patternType="solid">
        <fgColor rgb="FFF8F8FF"/>
        <bgColor rgb="FFF8F8FF"/>
      </patternFill>
    </fill>
    <fill>
      <patternFill patternType="solid">
        <fgColor rgb="FF435E91"/>
        <bgColor rgb="FF435E91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385F8E"/>
        <bgColor rgb="FF385F8E"/>
      </patternFill>
    </fill>
    <fill>
      <patternFill patternType="solid">
        <fgColor rgb="FFD6E2F7"/>
        <bgColor rgb="FFD6E2F7"/>
      </patternFill>
    </fill>
    <fill>
      <patternFill patternType="solid">
        <fgColor rgb="FFFF9900"/>
        <bgColor rgb="FFFF9900"/>
      </patternFill>
    </fill>
  </fills>
  <borders count="4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2" fontId="1" numFmtId="0" xfId="0" applyAlignment="1" applyBorder="1" applyFill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3" fontId="1" numFmtId="0" xfId="0" applyAlignment="1" applyBorder="1" applyFill="1" applyFont="1">
      <alignment horizontal="center" readingOrder="0" vertical="center"/>
    </xf>
    <xf borderId="8" fillId="3" fontId="1" numFmtId="0" xfId="0" applyAlignment="1" applyBorder="1" applyFont="1">
      <alignment horizontal="center" readingOrder="0" vertical="center"/>
    </xf>
    <xf borderId="9" fillId="3" fontId="1" numFmtId="164" xfId="0" applyAlignment="1" applyBorder="1" applyFont="1" applyNumberFormat="1">
      <alignment horizontal="center" readingOrder="0" vertical="center"/>
    </xf>
    <xf borderId="10" fillId="3" fontId="1" numFmtId="0" xfId="0" applyAlignment="1" applyBorder="1" applyFont="1">
      <alignment horizontal="center" readingOrder="0" vertical="center"/>
    </xf>
    <xf borderId="11" fillId="3" fontId="1" numFmtId="0" xfId="0" applyAlignment="1" applyBorder="1" applyFont="1">
      <alignment horizontal="center" readingOrder="0" vertical="center"/>
    </xf>
    <xf borderId="12" fillId="3" fontId="1" numFmtId="164" xfId="0" applyAlignment="1" applyBorder="1" applyFont="1" applyNumberFormat="1">
      <alignment horizontal="center" readingOrder="0" vertical="center"/>
    </xf>
    <xf borderId="11" fillId="0" fontId="4" numFmtId="0" xfId="0" applyAlignment="1" applyBorder="1" applyFont="1">
      <alignment horizontal="center" readingOrder="0" shrinkToFit="0" vertical="center" wrapText="0"/>
    </xf>
    <xf borderId="11" fillId="0" fontId="4" numFmtId="0" xfId="0" applyAlignment="1" applyBorder="1" applyFont="1">
      <alignment horizontal="center" readingOrder="0" shrinkToFit="0" vertical="center" wrapText="0"/>
    </xf>
    <xf borderId="12" fillId="3" fontId="1" numFmtId="164" xfId="0" applyAlignment="1" applyBorder="1" applyFont="1" applyNumberFormat="1">
      <alignment horizontal="center" vertical="center"/>
    </xf>
    <xf borderId="11" fillId="4" fontId="4" numFmtId="0" xfId="0" applyAlignment="1" applyBorder="1" applyFill="1" applyFont="1">
      <alignment horizontal="center" readingOrder="0" shrinkToFit="0" vertical="center" wrapText="0"/>
    </xf>
    <xf borderId="11" fillId="4" fontId="5" numFmtId="0" xfId="0" applyAlignment="1" applyBorder="1" applyFont="1">
      <alignment horizontal="center" readingOrder="0"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11" fillId="0" fontId="8" numFmtId="0" xfId="0" applyAlignment="1" applyBorder="1" applyFont="1">
      <alignment horizontal="center" readingOrder="0" vertical="center"/>
    </xf>
    <xf borderId="11" fillId="0" fontId="6" numFmtId="49" xfId="0" applyAlignment="1" applyBorder="1" applyFont="1" applyNumberFormat="1">
      <alignment horizontal="center" readingOrder="0" shrinkToFit="0" vertical="center" wrapText="0"/>
    </xf>
    <xf borderId="11" fillId="5" fontId="9" numFmtId="0" xfId="0" applyAlignment="1" applyBorder="1" applyFill="1" applyFont="1">
      <alignment horizontal="center" shrinkToFit="0" vertical="center" wrapText="0"/>
    </xf>
    <xf borderId="11" fillId="5" fontId="10" numFmtId="0" xfId="0" applyAlignment="1" applyBorder="1" applyFont="1">
      <alignment horizontal="center" shrinkToFit="0" vertical="center" wrapText="0"/>
    </xf>
    <xf borderId="11" fillId="5" fontId="9" numFmtId="0" xfId="0" applyAlignment="1" applyBorder="1" applyFont="1">
      <alignment horizontal="center" shrinkToFit="0" vertical="center" wrapText="0"/>
    </xf>
    <xf borderId="11" fillId="3" fontId="6" numFmtId="49" xfId="0" applyAlignment="1" applyBorder="1" applyFont="1" applyNumberForma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1" fillId="5" fontId="12" numFmtId="0" xfId="0" applyAlignment="1" applyBorder="1" applyFont="1">
      <alignment horizontal="center" shrinkToFit="0" vertical="center" wrapText="0"/>
    </xf>
    <xf borderId="11" fillId="0" fontId="11" numFmtId="164" xfId="0" applyAlignment="1" applyBorder="1" applyFont="1" applyNumberFormat="1">
      <alignment horizontal="center" readingOrder="0" shrinkToFit="0" vertical="center" wrapText="0"/>
    </xf>
    <xf borderId="11" fillId="5" fontId="12" numFmtId="0" xfId="0" applyAlignment="1" applyBorder="1" applyFont="1">
      <alignment horizontal="center" shrinkToFit="0" vertical="center" wrapText="0"/>
    </xf>
    <xf borderId="12" fillId="3" fontId="1" numFmtId="0" xfId="0" applyAlignment="1" applyBorder="1" applyFont="1">
      <alignment horizontal="center" readingOrder="0" vertical="center"/>
    </xf>
    <xf borderId="11" fillId="0" fontId="11" numFmtId="49" xfId="0" applyAlignment="1" applyBorder="1" applyFont="1" applyNumberFormat="1">
      <alignment horizontal="center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2" fontId="13" numFmtId="0" xfId="0" applyAlignment="1" applyBorder="1" applyFont="1">
      <alignment horizontal="center" shrinkToFit="0" vertical="center" wrapText="0"/>
    </xf>
    <xf borderId="11" fillId="3" fontId="1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0" fillId="3" fontId="3" numFmtId="0" xfId="0" applyAlignment="1" applyBorder="1" applyFont="1">
      <alignment horizontal="center" readingOrder="0"/>
    </xf>
    <xf borderId="11" fillId="3" fontId="3" numFmtId="0" xfId="0" applyAlignment="1" applyBorder="1" applyFont="1">
      <alignment horizontal="center" readingOrder="0"/>
    </xf>
    <xf borderId="12" fillId="3" fontId="3" numFmtId="0" xfId="0" applyAlignment="1" applyBorder="1" applyFont="1">
      <alignment horizontal="center"/>
    </xf>
    <xf borderId="11" fillId="0" fontId="14" numFmtId="0" xfId="0" applyAlignment="1" applyBorder="1" applyFont="1">
      <alignment horizontal="center" readingOrder="0" shrinkToFit="0" vertical="center" wrapText="0"/>
    </xf>
    <xf borderId="11" fillId="6" fontId="9" numFmtId="0" xfId="0" applyAlignment="1" applyBorder="1" applyFill="1" applyFont="1">
      <alignment horizontal="center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1" fillId="6" fontId="10" numFmtId="0" xfId="0" applyAlignment="1" applyBorder="1" applyFont="1">
      <alignment horizontal="center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1" fillId="0" fontId="15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3" fontId="15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2" fontId="13" numFmtId="0" xfId="0" applyAlignment="1" applyBorder="1" applyFont="1">
      <alignment horizontal="center" shrinkToFit="0" vertical="center" wrapText="0"/>
    </xf>
    <xf borderId="11" fillId="0" fontId="16" numFmtId="0" xfId="0" applyAlignment="1" applyBorder="1" applyFont="1">
      <alignment horizontal="center" readingOrder="0" shrinkToFit="0" vertical="center" wrapText="0"/>
    </xf>
    <xf borderId="11" fillId="0" fontId="17" numFmtId="0" xfId="0" applyAlignment="1" applyBorder="1" applyFont="1">
      <alignment horizontal="center" readingOrder="0" shrinkToFit="0" vertical="center" wrapText="0"/>
    </xf>
    <xf borderId="11" fillId="5" fontId="18" numFmtId="0" xfId="0" applyAlignment="1" applyBorder="1" applyFont="1">
      <alignment horizontal="center" readingOrder="0" shrinkToFit="0" vertical="center" wrapText="0"/>
    </xf>
    <xf borderId="11" fillId="5" fontId="18" numFmtId="0" xfId="0" applyAlignment="1" applyBorder="1" applyFont="1">
      <alignment horizontal="center" readingOrder="0" shrinkToFit="0" vertical="center" wrapText="0"/>
    </xf>
    <xf borderId="11" fillId="5" fontId="18" numFmtId="0" xfId="0" applyAlignment="1" applyBorder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readingOrder="0" shrinkToFit="0" vertical="center" wrapText="0"/>
    </xf>
    <xf borderId="11" fillId="0" fontId="17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5" fontId="13" numFmtId="0" xfId="0" applyAlignment="1" applyBorder="1" applyFont="1">
      <alignment horizontal="center" shrinkToFit="0" vertical="center" wrapText="0"/>
    </xf>
    <xf borderId="11" fillId="0" fontId="14" numFmtId="0" xfId="0" applyAlignment="1" applyBorder="1" applyFont="1">
      <alignment horizontal="center" shrinkToFit="0" vertical="center" wrapText="0"/>
    </xf>
    <xf borderId="11" fillId="5" fontId="13" numFmtId="0" xfId="0" applyAlignment="1" applyBorder="1" applyFont="1">
      <alignment horizontal="center" readingOrder="0" shrinkToFit="0" vertical="center" wrapText="0"/>
    </xf>
    <xf borderId="11" fillId="0" fontId="11" numFmtId="0" xfId="0" applyAlignment="1" applyBorder="1" applyFont="1">
      <alignment horizontal="center" shrinkToFit="0" vertical="center" wrapText="0"/>
    </xf>
    <xf borderId="11" fillId="0" fontId="14" numFmtId="0" xfId="0" applyAlignment="1" applyBorder="1" applyFont="1">
      <alignment horizontal="center" shrinkToFit="0" vertical="center" wrapText="0"/>
    </xf>
    <xf borderId="12" fillId="3" fontId="19" numFmtId="164" xfId="0" applyAlignment="1" applyBorder="1" applyFont="1" applyNumberFormat="1">
      <alignment horizontal="center" vertical="center"/>
    </xf>
    <xf borderId="10" fillId="2" fontId="1" numFmtId="0" xfId="0" applyAlignment="1" applyBorder="1" applyFont="1">
      <alignment horizontal="center" readingOrder="0" vertical="center"/>
    </xf>
    <xf borderId="11" fillId="2" fontId="1" numFmtId="0" xfId="0" applyAlignment="1" applyBorder="1" applyFont="1">
      <alignment horizontal="center" readingOrder="0" vertical="center"/>
    </xf>
    <xf borderId="12" fillId="2" fontId="19" numFmtId="164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shrinkToFit="0" vertical="center" wrapText="0"/>
    </xf>
    <xf borderId="10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readingOrder="0" shrinkToFit="0" vertical="center" wrapText="0"/>
    </xf>
    <xf borderId="11" fillId="0" fontId="20" numFmtId="0" xfId="0" applyAlignment="1" applyBorder="1" applyFont="1">
      <alignment horizontal="center" readingOrder="0" shrinkToFit="0" vertical="center" wrapText="0"/>
    </xf>
    <xf borderId="13" fillId="2" fontId="1" numFmtId="0" xfId="0" applyAlignment="1" applyBorder="1" applyFont="1">
      <alignment horizontal="center" vertical="center"/>
    </xf>
    <xf borderId="11" fillId="6" fontId="18" numFmtId="0" xfId="0" applyAlignment="1" applyBorder="1" applyFont="1">
      <alignment horizontal="center" readingOrder="0" shrinkToFit="0" vertical="center" wrapText="0"/>
    </xf>
    <xf borderId="14" fillId="2" fontId="1" numFmtId="0" xfId="0" applyAlignment="1" applyBorder="1" applyFont="1">
      <alignment horizontal="center" vertical="center"/>
    </xf>
    <xf borderId="11" fillId="6" fontId="18" numFmtId="0" xfId="0" applyAlignment="1" applyBorder="1" applyFont="1">
      <alignment horizontal="center" readingOrder="0" shrinkToFit="0" vertical="center" wrapText="0"/>
    </xf>
    <xf borderId="15" fillId="2" fontId="19" numFmtId="164" xfId="0" applyAlignment="1" applyBorder="1" applyFont="1" applyNumberFormat="1">
      <alignment horizontal="center" vertical="center"/>
    </xf>
    <xf borderId="11" fillId="6" fontId="18" numFmtId="0" xfId="0" applyAlignment="1" applyBorder="1" applyFont="1">
      <alignment horizontal="center" readingOrder="0" shrinkToFit="0" vertical="center" wrapText="0"/>
    </xf>
    <xf borderId="11" fillId="6" fontId="13" numFmtId="0" xfId="0" applyAlignment="1" applyBorder="1" applyFont="1">
      <alignment horizontal="center" shrinkToFit="0" vertical="center" wrapText="0"/>
    </xf>
    <xf borderId="11" fillId="6" fontId="13" numFmtId="0" xfId="0" applyAlignment="1" applyBorder="1" applyFont="1">
      <alignment horizontal="center" readingOrder="0" shrinkToFit="0" vertical="center" wrapText="0"/>
    </xf>
    <xf quotePrefix="1" borderId="11" fillId="0" fontId="3" numFmtId="166" xfId="0" applyAlignment="1" applyBorder="1" applyFont="1" applyNumberFormat="1">
      <alignment horizontal="center" readingOrder="0" shrinkToFit="0" vertical="center" wrapText="0"/>
    </xf>
    <xf borderId="11" fillId="2" fontId="13" numFmtId="0" xfId="0" applyAlignment="1" applyBorder="1" applyFont="1">
      <alignment horizontal="center" readingOrder="0" shrinkToFit="0" vertical="center" wrapText="0"/>
    </xf>
    <xf borderId="11" fillId="2" fontId="9" numFmtId="0" xfId="0" applyAlignment="1" applyBorder="1" applyFont="1">
      <alignment horizontal="center" shrinkToFit="0" vertical="center" wrapText="0"/>
    </xf>
    <xf borderId="11" fillId="2" fontId="10" numFmtId="0" xfId="0" applyAlignment="1" applyBorder="1" applyFont="1">
      <alignment horizontal="center" shrinkToFit="0" vertical="center" wrapText="0"/>
    </xf>
    <xf borderId="11" fillId="2" fontId="11" numFmtId="0" xfId="0" applyAlignment="1" applyBorder="1" applyFont="1">
      <alignment horizontal="center" readingOrder="0" shrinkToFit="0" vertical="center" wrapText="0"/>
    </xf>
    <xf borderId="11" fillId="2" fontId="11" numFmtId="49" xfId="0" applyAlignment="1" applyBorder="1" applyFont="1" applyNumberFormat="1">
      <alignment horizontal="center" shrinkToFit="0" vertical="center" wrapText="0"/>
    </xf>
    <xf borderId="11" fillId="2" fontId="11" numFmtId="0" xfId="0" applyAlignment="1" applyBorder="1" applyFont="1">
      <alignment horizontal="center" readingOrder="0" shrinkToFit="0" vertical="center" wrapText="0"/>
    </xf>
    <xf borderId="11" fillId="2" fontId="11" numFmtId="0" xfId="0" applyAlignment="1" applyBorder="1" applyFont="1">
      <alignment horizontal="center" readingOrder="0" shrinkToFit="0" vertical="center" wrapText="0"/>
    </xf>
    <xf borderId="11" fillId="2" fontId="14" numFmtId="0" xfId="0" applyAlignment="1" applyBorder="1" applyFont="1">
      <alignment horizontal="center" shrinkToFit="0" vertical="center" wrapText="0"/>
    </xf>
    <xf borderId="11" fillId="2" fontId="11" numFmtId="0" xfId="0" applyAlignment="1" applyBorder="1" applyFont="1">
      <alignment horizontal="center" readingOrder="0" shrinkToFit="0" vertical="center" wrapText="0"/>
    </xf>
    <xf borderId="11" fillId="2" fontId="15" numFmtId="0" xfId="0" applyAlignment="1" applyBorder="1" applyFont="1">
      <alignment horizontal="center" readingOrder="0" shrinkToFit="0" vertical="center" wrapText="0"/>
    </xf>
    <xf borderId="11" fillId="2" fontId="16" numFmtId="0" xfId="0" applyAlignment="1" applyBorder="1" applyFont="1">
      <alignment horizontal="center" readingOrder="0" shrinkToFit="0" vertical="center" wrapText="0"/>
    </xf>
    <xf borderId="11" fillId="2" fontId="17" numFmtId="0" xfId="0" applyAlignment="1" applyBorder="1" applyFont="1">
      <alignment horizontal="center" readingOrder="0" shrinkToFit="0" vertical="center" wrapText="0"/>
    </xf>
    <xf borderId="11" fillId="2" fontId="14" numFmtId="0" xfId="0" applyAlignment="1" applyBorder="1" applyFont="1">
      <alignment horizontal="center" readingOrder="0" shrinkToFit="0" vertical="center" wrapText="0"/>
    </xf>
    <xf borderId="11" fillId="2" fontId="14" numFmtId="0" xfId="0" applyAlignment="1" applyBorder="1" applyFont="1">
      <alignment horizontal="center" readingOrder="0" shrinkToFit="0" vertical="center" wrapText="0"/>
    </xf>
    <xf borderId="11" fillId="2" fontId="17" numFmtId="0" xfId="0" applyAlignment="1" applyBorder="1" applyFont="1">
      <alignment horizontal="center" shrinkToFit="0" vertical="center" wrapText="0"/>
    </xf>
    <xf borderId="11" fillId="2" fontId="11" numFmtId="0" xfId="0" applyAlignment="1" applyBorder="1" applyFont="1">
      <alignment horizontal="center" shrinkToFit="0" vertical="center" wrapText="0"/>
    </xf>
    <xf borderId="11" fillId="2" fontId="14" numFmtId="0" xfId="0" applyAlignment="1" applyBorder="1" applyFont="1">
      <alignment horizontal="center" shrinkToFit="0" vertical="center" wrapText="0"/>
    </xf>
    <xf borderId="11" fillId="2" fontId="14" numFmtId="0" xfId="0" applyAlignment="1" applyBorder="1" applyFont="1">
      <alignment horizontal="center" readingOrder="0" shrinkToFit="0" vertical="center" wrapText="0"/>
    </xf>
    <xf borderId="11" fillId="2" fontId="14" numFmtId="0" xfId="0" applyAlignment="1" applyBorder="1" applyFon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1" fillId="2" fontId="14" numFmtId="0" xfId="0" applyAlignment="1" applyBorder="1" applyFont="1">
      <alignment horizontal="center" shrinkToFit="0" vertical="center" wrapText="0"/>
    </xf>
    <xf borderId="11" fillId="0" fontId="17" numFmtId="0" xfId="0" applyAlignment="1" applyBorder="1" applyFont="1">
      <alignment horizontal="center" shrinkToFit="0" vertical="center" wrapText="0"/>
    </xf>
    <xf borderId="11" fillId="0" fontId="14" numFmtId="0" xfId="0" applyAlignment="1" applyBorder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readingOrder="0" shrinkToFit="0" vertical="center" wrapText="0"/>
    </xf>
    <xf borderId="11" fillId="2" fontId="11" numFmtId="164" xfId="0" applyAlignment="1" applyBorder="1" applyFont="1" applyNumberFormat="1">
      <alignment horizontal="center" readingOrder="0" shrinkToFit="0" vertical="center" wrapText="0"/>
    </xf>
    <xf borderId="11" fillId="0" fontId="3" numFmtId="165" xfId="0" applyAlignment="1" applyBorder="1" applyFont="1" applyNumberFormat="1">
      <alignment horizontal="center" readingOrder="0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2" fontId="18" numFmtId="0" xfId="0" applyAlignment="1" applyBorder="1" applyFont="1">
      <alignment horizontal="center" readingOrder="0" shrinkToFit="0" vertical="center" wrapText="0"/>
    </xf>
    <xf borderId="11" fillId="2" fontId="18" numFmtId="0" xfId="0" applyAlignment="1" applyBorder="1" applyFont="1">
      <alignment horizontal="center" readingOrder="0" shrinkToFit="0" vertical="center" wrapText="0"/>
    </xf>
    <xf borderId="0" fillId="0" fontId="21" numFmtId="0" xfId="0" applyAlignment="1" applyFont="1">
      <alignment horizontal="center" vertical="center"/>
    </xf>
    <xf borderId="11" fillId="0" fontId="20" numFmtId="0" xfId="0" applyAlignment="1" applyBorder="1" applyFont="1">
      <alignment horizontal="center" readingOrder="0" shrinkToFit="0" vertical="center" wrapText="0"/>
    </xf>
    <xf borderId="0" fillId="7" fontId="22" numFmtId="0" xfId="0" applyAlignment="1" applyFill="1" applyFont="1">
      <alignment horizontal="center" readingOrder="0"/>
    </xf>
    <xf borderId="0" fillId="7" fontId="23" numFmtId="0" xfId="0" applyAlignment="1" applyFont="1">
      <alignment horizontal="center" readingOrder="0"/>
    </xf>
    <xf borderId="0" fillId="7" fontId="23" numFmtId="0" xfId="0" applyAlignment="1" applyFont="1">
      <alignment horizontal="center" readingOrder="0"/>
    </xf>
    <xf borderId="16" fillId="0" fontId="22" numFmtId="0" xfId="0" applyAlignment="1" applyBorder="1" applyFont="1">
      <alignment horizontal="center" readingOrder="0"/>
    </xf>
    <xf borderId="17" fillId="0" fontId="2" numFmtId="0" xfId="0" applyBorder="1" applyFont="1"/>
    <xf borderId="16" fillId="0" fontId="23" numFmtId="0" xfId="0" applyAlignment="1" applyBorder="1" applyFont="1">
      <alignment horizontal="center" readingOrder="0"/>
    </xf>
    <xf borderId="16" fillId="0" fontId="23" numFmtId="0" xfId="0" applyAlignment="1" applyBorder="1" applyFont="1">
      <alignment horizontal="center" readingOrder="0"/>
    </xf>
    <xf borderId="0" fillId="7" fontId="24" numFmtId="0" xfId="0" applyAlignment="1" applyFont="1">
      <alignment horizontal="center" readingOrder="0"/>
    </xf>
    <xf borderId="18" fillId="0" fontId="24" numFmtId="0" xfId="0" applyAlignment="1" applyBorder="1" applyFont="1">
      <alignment horizontal="center" readingOrder="0"/>
    </xf>
    <xf borderId="19" fillId="0" fontId="24" numFmtId="0" xfId="0" applyAlignment="1" applyBorder="1" applyFont="1">
      <alignment horizontal="center" readingOrder="0"/>
    </xf>
    <xf borderId="7" fillId="0" fontId="24" numFmtId="0" xfId="0" applyAlignment="1" applyBorder="1" applyFont="1">
      <alignment horizontal="center" readingOrder="0"/>
    </xf>
    <xf borderId="9" fillId="0" fontId="24" numFmtId="167" xfId="0" applyAlignment="1" applyBorder="1" applyFont="1" applyNumberFormat="1">
      <alignment horizontal="center" readingOrder="0"/>
    </xf>
    <xf borderId="12" fillId="0" fontId="24" numFmtId="167" xfId="0" applyAlignment="1" applyBorder="1" applyFont="1" applyNumberFormat="1">
      <alignment horizontal="center" readingOrder="0"/>
    </xf>
    <xf borderId="10" fillId="0" fontId="24" numFmtId="0" xfId="0" applyAlignment="1" applyBorder="1" applyFont="1">
      <alignment horizontal="center" readingOrder="0"/>
    </xf>
    <xf borderId="10" fillId="0" fontId="24" numFmtId="0" xfId="0" applyAlignment="1" applyBorder="1" applyFont="1">
      <alignment horizontal="center"/>
    </xf>
    <xf borderId="12" fillId="0" fontId="24" numFmtId="0" xfId="0" applyAlignment="1" applyBorder="1" applyFont="1">
      <alignment horizontal="center"/>
    </xf>
    <xf borderId="12" fillId="0" fontId="24" numFmtId="168" xfId="0" applyAlignment="1" applyBorder="1" applyFont="1" applyNumberFormat="1">
      <alignment horizontal="center" readingOrder="0"/>
    </xf>
    <xf borderId="20" fillId="0" fontId="24" numFmtId="0" xfId="0" applyAlignment="1" applyBorder="1" applyFont="1">
      <alignment horizontal="center"/>
    </xf>
    <xf borderId="21" fillId="0" fontId="24" numFmtId="0" xfId="0" applyAlignment="1" applyBorder="1" applyFont="1">
      <alignment horizontal="center"/>
    </xf>
    <xf borderId="11" fillId="2" fontId="20" numFmtId="0" xfId="0" applyAlignment="1" applyBorder="1" applyFont="1">
      <alignment horizontal="center" readingOrder="0" shrinkToFit="0" vertical="center" wrapText="0"/>
    </xf>
    <xf borderId="1" fillId="0" fontId="25" numFmtId="0" xfId="0" applyAlignment="1" applyBorder="1" applyFont="1">
      <alignment horizontal="center" vertical="center"/>
    </xf>
    <xf borderId="11" fillId="0" fontId="26" numFmtId="0" xfId="0" applyAlignment="1" applyBorder="1" applyFont="1">
      <alignment horizontal="center" readingOrder="0" shrinkToFit="0" vertical="center" wrapText="0"/>
    </xf>
    <xf borderId="22" fillId="0" fontId="2" numFmtId="0" xfId="0" applyBorder="1" applyFont="1"/>
    <xf borderId="23" fillId="0" fontId="2" numFmtId="0" xfId="0" applyBorder="1" applyFont="1"/>
    <xf borderId="0" fillId="7" fontId="24" numFmtId="0" xfId="0" applyAlignment="1" applyFont="1">
      <alignment horizontal="center"/>
    </xf>
    <xf borderId="16" fillId="0" fontId="22" numFmtId="0" xfId="0" applyAlignment="1" applyBorder="1" applyFont="1">
      <alignment horizontal="center" readingOrder="0"/>
    </xf>
    <xf borderId="24" fillId="0" fontId="24" numFmtId="0" xfId="0" applyAlignment="1" applyBorder="1" applyFont="1">
      <alignment horizontal="center" readingOrder="0"/>
    </xf>
    <xf borderId="25" fillId="0" fontId="24" numFmtId="0" xfId="0" applyAlignment="1" applyBorder="1" applyFont="1">
      <alignment horizontal="center" readingOrder="0"/>
    </xf>
    <xf borderId="12" fillId="0" fontId="24" numFmtId="169" xfId="0" applyAlignment="1" applyBorder="1" applyFont="1" applyNumberFormat="1">
      <alignment horizontal="center" readingOrder="0"/>
    </xf>
    <xf borderId="12" fillId="0" fontId="24" numFmtId="169" xfId="0" applyAlignment="1" applyBorder="1" applyFont="1" applyNumberFormat="1">
      <alignment horizontal="center"/>
    </xf>
    <xf borderId="16" fillId="0" fontId="27" numFmtId="0" xfId="0" applyAlignment="1" applyBorder="1" applyFont="1">
      <alignment horizontal="center" readingOrder="0"/>
    </xf>
    <xf borderId="16" fillId="2" fontId="28" numFmtId="0" xfId="0" applyAlignment="1" applyBorder="1" applyFont="1">
      <alignment horizontal="center" readingOrder="0" shrinkToFit="0" vertical="bottom" wrapText="0"/>
    </xf>
    <xf borderId="9" fillId="0" fontId="24" numFmtId="168" xfId="0" applyAlignment="1" applyBorder="1" applyFont="1" applyNumberFormat="1">
      <alignment horizontal="center" readingOrder="0"/>
    </xf>
    <xf borderId="9" fillId="0" fontId="24" numFmtId="0" xfId="0" applyAlignment="1" applyBorder="1" applyFont="1">
      <alignment horizontal="center" readingOrder="0"/>
    </xf>
    <xf borderId="26" fillId="0" fontId="24" numFmtId="0" xfId="0" applyAlignment="1" applyBorder="1" applyFont="1">
      <alignment horizontal="center" readingOrder="0"/>
    </xf>
    <xf borderId="27" fillId="0" fontId="24" numFmtId="167" xfId="0" applyAlignment="1" applyBorder="1" applyFont="1" applyNumberFormat="1">
      <alignment horizontal="center" readingOrder="0"/>
    </xf>
    <xf borderId="27" fillId="0" fontId="24" numFmtId="168" xfId="0" applyAlignment="1" applyBorder="1" applyFont="1" applyNumberFormat="1">
      <alignment horizontal="center" readingOrder="0"/>
    </xf>
    <xf borderId="12" fillId="0" fontId="24" numFmtId="0" xfId="0" applyAlignment="1" applyBorder="1" applyFont="1">
      <alignment horizontal="center" readingOrder="0"/>
    </xf>
    <xf borderId="16" fillId="0" fontId="27" numFmtId="0" xfId="0" applyAlignment="1" applyBorder="1" applyFont="1">
      <alignment horizontal="center" readingOrder="0"/>
    </xf>
    <xf borderId="11" fillId="2" fontId="26" numFmtId="0" xfId="0" applyAlignment="1" applyBorder="1" applyFont="1">
      <alignment horizontal="center" readingOrder="0" shrinkToFit="0" vertical="center" wrapText="0"/>
    </xf>
    <xf borderId="11" fillId="2" fontId="11" numFmtId="0" xfId="0" applyAlignment="1" applyBorder="1" applyFont="1">
      <alignment horizontal="center" readingOrder="0" shrinkToFit="0" vertical="center" wrapText="0"/>
    </xf>
    <xf borderId="12" fillId="0" fontId="24" numFmtId="167" xfId="0" applyAlignment="1" applyBorder="1" applyFont="1" applyNumberFormat="1">
      <alignment horizontal="center" readingOrder="0"/>
    </xf>
    <xf borderId="12" fillId="0" fontId="24" numFmtId="0" xfId="0" applyAlignment="1" applyBorder="1" applyFont="1">
      <alignment horizontal="center"/>
    </xf>
    <xf borderId="11" fillId="2" fontId="20" numFmtId="0" xfId="0" applyAlignment="1" applyBorder="1" applyFont="1">
      <alignment horizontal="center" readingOrder="0" shrinkToFit="0" vertical="center" wrapText="0"/>
    </xf>
    <xf borderId="11" fillId="0" fontId="3" numFmtId="165" xfId="0" applyAlignment="1" applyBorder="1" applyFont="1" applyNumberFormat="1">
      <alignment horizontal="center" readingOrder="0" shrinkToFit="0" vertical="center" wrapText="0"/>
    </xf>
    <xf borderId="0" fillId="0" fontId="25" numFmtId="0" xfId="0" applyAlignment="1" applyFont="1">
      <alignment horizontal="center" vertical="center"/>
    </xf>
    <xf borderId="11" fillId="2" fontId="14" numFmtId="0" xfId="0" applyAlignment="1" applyBorder="1" applyFont="1">
      <alignment horizontal="center" readingOrder="0" shrinkToFit="0" vertical="center" wrapText="0"/>
    </xf>
    <xf borderId="11" fillId="2" fontId="14" numFmtId="0" xfId="0" applyAlignment="1" applyBorder="1" applyFont="1">
      <alignment horizontal="center" readingOrder="0" shrinkToFit="0" vertical="center" wrapText="0"/>
    </xf>
    <xf borderId="0" fillId="0" fontId="29" numFmtId="0" xfId="0" applyAlignment="1" applyFont="1">
      <alignment horizontal="center" vertical="center"/>
    </xf>
    <xf borderId="0" fillId="0" fontId="29" numFmtId="3" xfId="0" applyAlignment="1" applyFont="1" applyNumberFormat="1">
      <alignment horizontal="center" vertical="center"/>
    </xf>
    <xf borderId="11" fillId="0" fontId="30" numFmtId="0" xfId="0" applyAlignment="1" applyBorder="1" applyFont="1">
      <alignment horizontal="center" readingOrder="0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0" fontId="29" numFmtId="3" xfId="0" applyAlignment="1" applyBorder="1" applyFont="1" applyNumberFormat="1">
      <alignment horizontal="center" shrinkToFit="0" vertical="center" wrapText="0"/>
    </xf>
    <xf borderId="11" fillId="0" fontId="3" numFmtId="170" xfId="0" applyAlignment="1" applyBorder="1" applyFont="1" applyNumberFormat="1">
      <alignment horizontal="center" readingOrder="0" shrinkToFit="0" vertical="center" wrapText="0"/>
    </xf>
    <xf borderId="11" fillId="0" fontId="3" numFmtId="3" xfId="0" applyAlignment="1" applyBorder="1" applyFont="1" applyNumberFormat="1">
      <alignment horizontal="center" shrinkToFit="0" vertical="center" wrapText="0"/>
    </xf>
    <xf borderId="11" fillId="0" fontId="29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0" numFmtId="3" xfId="0" applyAlignment="1" applyBorder="1" applyFont="1" applyNumberFormat="1">
      <alignment horizontal="center" readingOrder="0" shrinkToFit="0" vertical="center" wrapText="0"/>
    </xf>
    <xf borderId="0" fillId="2" fontId="18" numFmtId="0" xfId="0" applyAlignment="1" applyFont="1">
      <alignment horizontal="center" readingOrder="0" vertical="center"/>
    </xf>
    <xf borderId="11" fillId="0" fontId="3" numFmtId="3" xfId="0" applyAlignment="1" applyBorder="1" applyFont="1" applyNumberFormat="1">
      <alignment horizontal="center" readingOrder="0" shrinkToFit="0" vertical="center" wrapText="0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2" fontId="3" numFmtId="171" xfId="0" applyAlignment="1" applyFont="1" applyNumberFormat="1">
      <alignment horizontal="center" readingOrder="0" vertical="center"/>
    </xf>
    <xf borderId="11" fillId="2" fontId="11" numFmtId="0" xfId="0" applyAlignment="1" applyBorder="1" applyFont="1">
      <alignment horizontal="center" shrinkToFit="0" vertical="center" wrapText="0"/>
    </xf>
    <xf borderId="0" fillId="0" fontId="29" numFmtId="3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29" numFmtId="3" xfId="0" applyAlignment="1" applyFont="1" applyNumberFormat="1">
      <alignment horizontal="center" vertical="center"/>
    </xf>
    <xf borderId="0" fillId="2" fontId="3" numFmtId="168" xfId="0" applyAlignment="1" applyFont="1" applyNumberFormat="1">
      <alignment horizontal="center" readingOrder="0" vertical="center"/>
    </xf>
    <xf borderId="0" fillId="0" fontId="29" numFmtId="3" xfId="0" applyAlignment="1" applyFont="1" applyNumberFormat="1">
      <alignment horizontal="center" readingOrder="0" vertical="center"/>
    </xf>
    <xf borderId="0" fillId="2" fontId="3" numFmtId="167" xfId="0" applyAlignment="1" applyFont="1" applyNumberFormat="1">
      <alignment horizontal="center" readingOrder="0" vertical="center"/>
    </xf>
    <xf borderId="11" fillId="0" fontId="28" numFmtId="0" xfId="0" applyAlignment="1" applyBorder="1" applyFont="1">
      <alignment horizontal="center" readingOrder="0" shrinkToFit="0" vertical="center" wrapText="0"/>
    </xf>
    <xf borderId="11" fillId="0" fontId="31" numFmtId="0" xfId="0" applyAlignment="1" applyBorder="1" applyFont="1">
      <alignment horizontal="center" readingOrder="0" shrinkToFit="0" vertical="center" wrapText="0"/>
    </xf>
    <xf borderId="11" fillId="0" fontId="31" numFmtId="3" xfId="0" applyAlignment="1" applyBorder="1" applyFont="1" applyNumberFormat="1">
      <alignment horizontal="center" readingOrder="0" shrinkToFit="0" vertical="center" wrapText="0"/>
    </xf>
    <xf borderId="11" fillId="2" fontId="32" numFmtId="170" xfId="0" applyAlignment="1" applyBorder="1" applyFont="1" applyNumberFormat="1">
      <alignment horizontal="center" readingOrder="0" shrinkToFit="0" vertical="center" wrapText="0"/>
    </xf>
    <xf borderId="11" fillId="2" fontId="32" numFmtId="3" xfId="0" applyAlignment="1" applyBorder="1" applyFont="1" applyNumberFormat="1">
      <alignment horizontal="center" shrinkToFit="0" vertical="center" wrapText="0"/>
    </xf>
    <xf borderId="11" fillId="2" fontId="31" numFmtId="3" xfId="0" applyAlignment="1" applyBorder="1" applyFont="1" applyNumberFormat="1">
      <alignment horizontal="center" readingOrder="0" shrinkToFit="0" vertical="center" wrapText="0"/>
    </xf>
    <xf borderId="11" fillId="2" fontId="31" numFmtId="3" xfId="0" applyAlignment="1" applyBorder="1" applyFont="1" applyNumberFormat="1">
      <alignment horizontal="center" shrinkToFit="0" vertical="center" wrapText="0"/>
    </xf>
    <xf borderId="11" fillId="2" fontId="31" numFmtId="0" xfId="0" applyAlignment="1" applyBorder="1" applyFont="1">
      <alignment horizontal="center" readingOrder="0" shrinkToFit="0" vertical="center" wrapText="0"/>
    </xf>
    <xf borderId="11" fillId="2" fontId="31" numFmtId="3" xfId="0" applyAlignment="1" applyBorder="1" applyFont="1" applyNumberFormat="1">
      <alignment horizontal="center" readingOrder="0" shrinkToFit="0" vertical="center" wrapText="0"/>
    </xf>
    <xf borderId="11" fillId="8" fontId="32" numFmtId="170" xfId="0" applyAlignment="1" applyBorder="1" applyFill="1" applyFont="1" applyNumberFormat="1">
      <alignment horizontal="center" readingOrder="0" shrinkToFit="0" vertical="center" wrapText="0"/>
    </xf>
    <xf borderId="11" fillId="8" fontId="32" numFmtId="3" xfId="0" applyAlignment="1" applyBorder="1" applyFont="1" applyNumberFormat="1">
      <alignment horizontal="center" shrinkToFit="0" vertical="center" wrapText="0"/>
    </xf>
    <xf borderId="11" fillId="8" fontId="31" numFmtId="3" xfId="0" applyAlignment="1" applyBorder="1" applyFont="1" applyNumberFormat="1">
      <alignment horizontal="center" readingOrder="0" shrinkToFit="0" vertical="center" wrapText="0"/>
    </xf>
    <xf borderId="11" fillId="8" fontId="31" numFmtId="3" xfId="0" applyAlignment="1" applyBorder="1" applyFont="1" applyNumberFormat="1">
      <alignment horizontal="center" shrinkToFit="0" vertical="center" wrapText="0"/>
    </xf>
    <xf borderId="11" fillId="8" fontId="31" numFmtId="0" xfId="0" applyAlignment="1" applyBorder="1" applyFont="1">
      <alignment horizontal="center" readingOrder="0" shrinkToFit="0" vertical="center" wrapText="0"/>
    </xf>
    <xf borderId="11" fillId="8" fontId="31" numFmtId="3" xfId="0" applyAlignment="1" applyBorder="1" applyFont="1" applyNumberFormat="1">
      <alignment horizontal="center" readingOrder="0" shrinkToFit="0" vertical="center" wrapText="0"/>
    </xf>
    <xf borderId="11" fillId="2" fontId="32" numFmtId="3" xfId="0" applyAlignment="1" applyBorder="1" applyFont="1" applyNumberFormat="1">
      <alignment horizontal="center" readingOrder="0" shrinkToFit="0" vertical="center" wrapText="0"/>
    </xf>
    <xf borderId="0" fillId="0" fontId="3" numFmtId="3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6" fillId="2" fontId="33" numFmtId="0" xfId="0" applyAlignment="1" applyBorder="1" applyFont="1">
      <alignment horizontal="center" readingOrder="0" vertical="center"/>
    </xf>
    <xf borderId="28" fillId="0" fontId="2" numFmtId="0" xfId="0" applyBorder="1" applyFont="1"/>
    <xf borderId="29" fillId="0" fontId="34" numFmtId="3" xfId="0" applyAlignment="1" applyBorder="1" applyFont="1" applyNumberFormat="1">
      <alignment horizontal="center" vertical="center"/>
    </xf>
    <xf borderId="17" fillId="0" fontId="35" numFmtId="0" xfId="0" applyAlignment="1" applyBorder="1" applyFont="1">
      <alignment horizontal="center" readingOrder="0" vertical="center"/>
    </xf>
    <xf borderId="28" fillId="9" fontId="36" numFmtId="0" xfId="0" applyAlignment="1" applyBorder="1" applyFill="1" applyFont="1">
      <alignment horizontal="center" readingOrder="0" vertical="center"/>
    </xf>
    <xf borderId="17" fillId="10" fontId="36" numFmtId="0" xfId="0" applyAlignment="1" applyBorder="1" applyFill="1" applyFont="1">
      <alignment horizontal="center" readingOrder="0" vertical="center"/>
    </xf>
    <xf borderId="28" fillId="0" fontId="35" numFmtId="0" xfId="0" applyAlignment="1" applyBorder="1" applyFont="1">
      <alignment horizontal="center" readingOrder="0" vertical="center"/>
    </xf>
    <xf borderId="29" fillId="0" fontId="35" numFmtId="0" xfId="0" applyAlignment="1" applyBorder="1" applyFont="1">
      <alignment horizontal="center" readingOrder="0" vertical="center"/>
    </xf>
    <xf borderId="29" fillId="8" fontId="35" numFmtId="0" xfId="0" applyAlignment="1" applyBorder="1" applyFont="1">
      <alignment horizontal="center" vertical="center"/>
    </xf>
    <xf borderId="17" fillId="11" fontId="37" numFmtId="9" xfId="0" applyAlignment="1" applyBorder="1" applyFill="1" applyFont="1" applyNumberFormat="1">
      <alignment horizontal="center" readingOrder="0" vertical="center"/>
    </xf>
    <xf borderId="30" fillId="9" fontId="35" numFmtId="9" xfId="0" applyAlignment="1" applyBorder="1" applyFont="1" applyNumberFormat="1">
      <alignment horizontal="center" readingOrder="0" vertical="center"/>
    </xf>
    <xf borderId="5" fillId="9" fontId="35" numFmtId="3" xfId="0" applyAlignment="1" applyBorder="1" applyFont="1" applyNumberFormat="1">
      <alignment horizontal="center" readingOrder="0" vertical="center"/>
    </xf>
    <xf borderId="31" fillId="9" fontId="34" numFmtId="3" xfId="0" applyAlignment="1" applyBorder="1" applyFont="1" applyNumberFormat="1">
      <alignment horizontal="center" readingOrder="0" vertical="center"/>
    </xf>
    <xf borderId="17" fillId="10" fontId="35" numFmtId="9" xfId="0" applyAlignment="1" applyBorder="1" applyFont="1" applyNumberFormat="1">
      <alignment horizontal="center" readingOrder="0" vertical="center"/>
    </xf>
    <xf borderId="28" fillId="11" fontId="35" numFmtId="9" xfId="0" applyAlignment="1" applyBorder="1" applyFont="1" applyNumberFormat="1">
      <alignment horizontal="center" readingOrder="0" vertical="center"/>
    </xf>
    <xf borderId="29" fillId="11" fontId="35" numFmtId="9" xfId="0" applyAlignment="1" applyBorder="1" applyFont="1" applyNumberFormat="1">
      <alignment horizontal="center" readingOrder="0" vertical="center"/>
    </xf>
    <xf borderId="32" fillId="2" fontId="34" numFmtId="170" xfId="0" applyAlignment="1" applyBorder="1" applyFont="1" applyNumberFormat="1">
      <alignment horizontal="center" readingOrder="0" vertical="center"/>
    </xf>
    <xf borderId="33" fillId="2" fontId="34" numFmtId="1" xfId="0" applyAlignment="1" applyBorder="1" applyFont="1" applyNumberFormat="1">
      <alignment horizontal="center" vertical="center"/>
    </xf>
    <xf borderId="34" fillId="9" fontId="34" numFmtId="1" xfId="0" applyAlignment="1" applyBorder="1" applyFont="1" applyNumberFormat="1">
      <alignment horizontal="center" readingOrder="0" vertical="center"/>
    </xf>
    <xf borderId="35" fillId="9" fontId="35" numFmtId="1" xfId="0" applyAlignment="1" applyBorder="1" applyFont="1" applyNumberFormat="1">
      <alignment horizontal="center" readingOrder="0" vertical="center"/>
    </xf>
    <xf borderId="27" fillId="9" fontId="34" numFmtId="1" xfId="0" applyAlignment="1" applyBorder="1" applyFont="1" applyNumberFormat="1">
      <alignment horizontal="center" vertical="center"/>
    </xf>
    <xf borderId="33" fillId="10" fontId="34" numFmtId="1" xfId="0" applyAlignment="1" applyBorder="1" applyFont="1" applyNumberFormat="1">
      <alignment horizontal="center" readingOrder="0" vertical="center"/>
    </xf>
    <xf borderId="36" fillId="2" fontId="34" numFmtId="1" xfId="0" applyAlignment="1" applyBorder="1" applyFont="1" applyNumberFormat="1">
      <alignment horizontal="center" readingOrder="0" vertical="center"/>
    </xf>
    <xf borderId="32" fillId="5" fontId="34" numFmtId="1" xfId="0" applyAlignment="1" applyBorder="1" applyFont="1" applyNumberFormat="1">
      <alignment horizontal="center" vertical="center"/>
    </xf>
    <xf borderId="36" fillId="5" fontId="34" numFmtId="1" xfId="0" applyAlignment="1" applyBorder="1" applyFont="1" applyNumberFormat="1">
      <alignment horizontal="center" vertical="center"/>
    </xf>
    <xf borderId="37" fillId="8" fontId="34" numFmtId="170" xfId="0" applyAlignment="1" applyBorder="1" applyFont="1" applyNumberFormat="1">
      <alignment horizontal="center" readingOrder="0" vertical="center"/>
    </xf>
    <xf borderId="38" fillId="2" fontId="34" numFmtId="1" xfId="0" applyAlignment="1" applyBorder="1" applyFont="1" applyNumberFormat="1">
      <alignment horizontal="center" vertical="center"/>
    </xf>
    <xf borderId="39" fillId="9" fontId="34" numFmtId="1" xfId="0" applyAlignment="1" applyBorder="1" applyFont="1" applyNumberFormat="1">
      <alignment horizontal="center" readingOrder="0" vertical="center"/>
    </xf>
    <xf borderId="11" fillId="9" fontId="35" numFmtId="1" xfId="0" applyAlignment="1" applyBorder="1" applyFont="1" applyNumberFormat="1">
      <alignment horizontal="center" readingOrder="0" vertical="center"/>
    </xf>
    <xf borderId="12" fillId="9" fontId="34" numFmtId="1" xfId="0" applyAlignment="1" applyBorder="1" applyFont="1" applyNumberFormat="1">
      <alignment horizontal="center" vertical="center"/>
    </xf>
    <xf borderId="40" fillId="8" fontId="34" numFmtId="1" xfId="0" applyAlignment="1" applyBorder="1" applyFont="1" applyNumberFormat="1">
      <alignment horizontal="center" readingOrder="0" vertical="center"/>
    </xf>
    <xf borderId="37" fillId="8" fontId="34" numFmtId="1" xfId="0" applyAlignment="1" applyBorder="1" applyFont="1" applyNumberFormat="1">
      <alignment horizontal="center" vertical="center"/>
    </xf>
    <xf borderId="40" fillId="8" fontId="34" numFmtId="1" xfId="0" applyAlignment="1" applyBorder="1" applyFont="1" applyNumberFormat="1">
      <alignment horizontal="center" vertical="center"/>
    </xf>
    <xf borderId="37" fillId="2" fontId="34" numFmtId="170" xfId="0" applyAlignment="1" applyBorder="1" applyFont="1" applyNumberFormat="1">
      <alignment horizontal="center" readingOrder="0" vertical="center"/>
    </xf>
    <xf borderId="40" fillId="2" fontId="34" numFmtId="1" xfId="0" applyAlignment="1" applyBorder="1" applyFont="1" applyNumberFormat="1">
      <alignment horizontal="center" readingOrder="0" vertical="center"/>
    </xf>
    <xf borderId="37" fillId="5" fontId="34" numFmtId="1" xfId="0" applyAlignment="1" applyBorder="1" applyFont="1" applyNumberFormat="1">
      <alignment horizontal="center" vertical="center"/>
    </xf>
    <xf borderId="40" fillId="5" fontId="34" numFmtId="1" xfId="0" applyAlignment="1" applyBorder="1" applyFont="1" applyNumberFormat="1">
      <alignment horizontal="center" vertical="center"/>
    </xf>
    <xf borderId="38" fillId="2" fontId="34" numFmtId="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11" fillId="0" fontId="38" numFmtId="0" xfId="0" applyAlignment="1" applyBorder="1" applyFont="1">
      <alignment horizontal="center" readingOrder="0" shrinkToFit="0" vertical="center" wrapText="0"/>
    </xf>
    <xf borderId="41" fillId="8" fontId="34" numFmtId="170" xfId="0" applyAlignment="1" applyBorder="1" applyFont="1" applyNumberFormat="1">
      <alignment horizontal="center" readingOrder="0" vertical="center"/>
    </xf>
    <xf borderId="42" fillId="2" fontId="34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right" readingOrder="2" shrinkToFit="0" vertical="center" wrapText="0"/>
    </xf>
    <xf borderId="43" fillId="9" fontId="34" numFmtId="1" xfId="0" applyAlignment="1" applyBorder="1" applyFont="1" applyNumberFormat="1">
      <alignment horizontal="center" readingOrder="0" vertical="center"/>
    </xf>
    <xf borderId="14" fillId="9" fontId="35" numFmtId="1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shrinkToFit="0" vertical="center" wrapText="0"/>
    </xf>
    <xf borderId="15" fillId="9" fontId="34" numFmtId="1" xfId="0" applyAlignment="1" applyBorder="1" applyFont="1" applyNumberFormat="1">
      <alignment horizontal="center" vertical="center"/>
    </xf>
    <xf borderId="11" fillId="0" fontId="39" numFmtId="0" xfId="0" applyAlignment="1" applyBorder="1" applyFont="1">
      <alignment horizontal="center" readingOrder="0" shrinkToFit="0" vertical="center" wrapText="0"/>
    </xf>
    <xf borderId="29" fillId="12" fontId="40" numFmtId="170" xfId="0" applyAlignment="1" applyBorder="1" applyFill="1" applyFont="1" applyNumberFormat="1">
      <alignment horizontal="center" readingOrder="0" vertical="center"/>
    </xf>
    <xf borderId="11" fillId="0" fontId="39" numFmtId="0" xfId="0" applyAlignment="1" applyBorder="1" applyFont="1">
      <alignment horizontal="center" readingOrder="0" shrinkToFit="0" vertical="center" wrapText="0"/>
    </xf>
    <xf borderId="29" fillId="12" fontId="40" numFmtId="1" xfId="0" applyAlignment="1" applyBorder="1" applyFont="1" applyNumberFormat="1">
      <alignment horizontal="center" vertical="center"/>
    </xf>
    <xf borderId="29" fillId="9" fontId="41" numFmtId="1" xfId="0" applyAlignment="1" applyBorder="1" applyFont="1" applyNumberFormat="1">
      <alignment horizontal="center" vertical="center"/>
    </xf>
    <xf borderId="29" fillId="5" fontId="40" numFmtId="1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vertical="center" wrapText="0"/>
    </xf>
    <xf borderId="11" fillId="0" fontId="7" numFmtId="170" xfId="0" applyAlignment="1" applyBorder="1" applyFont="1" applyNumberFormat="1">
      <alignment horizontal="center" readingOrder="0" vertical="center"/>
    </xf>
    <xf borderId="11" fillId="2" fontId="7" numFmtId="0" xfId="0" applyAlignment="1" applyBorder="1" applyFont="1">
      <alignment horizontal="center" readingOrder="0" vertical="center"/>
    </xf>
    <xf borderId="11" fillId="2" fontId="42" numFmtId="0" xfId="0" applyAlignment="1" applyBorder="1" applyFont="1">
      <alignment horizontal="center" vertical="center"/>
    </xf>
    <xf borderId="11" fillId="2" fontId="7" numFmtId="167" xfId="0" applyAlignment="1" applyBorder="1" applyFont="1" applyNumberForma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readingOrder="0" vertical="center"/>
    </xf>
    <xf borderId="11" fillId="0" fontId="39" numFmtId="0" xfId="0" applyAlignment="1" applyBorder="1" applyFont="1">
      <alignment horizontal="center" readingOrder="0" shrinkToFit="0" vertical="center" wrapText="0"/>
    </xf>
    <xf borderId="11" fillId="0" fontId="43" numFmtId="0" xfId="0" applyAlignment="1" applyBorder="1" applyFont="1">
      <alignment horizontal="center" readingOrder="0" vertical="center"/>
    </xf>
    <xf borderId="11" fillId="0" fontId="43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right" shrinkToFit="0" wrapText="1"/>
    </xf>
    <xf borderId="11" fillId="0" fontId="39" numFmtId="0" xfId="0" applyAlignment="1" applyBorder="1" applyFont="1">
      <alignment horizontal="center" shrinkToFit="0" vertical="center" wrapText="0"/>
    </xf>
    <xf borderId="11" fillId="0" fontId="11" numFmtId="49" xfId="0" applyAlignment="1" applyBorder="1" applyFont="1" applyNumberForma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165" xfId="0" applyAlignment="1" applyBorder="1" applyFont="1" applyNumberFormat="1">
      <alignment horizontal="center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11" fillId="0" fontId="3" numFmtId="0" xfId="0" applyAlignment="1" applyBorder="1" applyFont="1">
      <alignment horizontal="center" readingOrder="0" shrinkToFit="0" vertical="center" wrapText="0"/>
    </xf>
    <xf borderId="11" fillId="0" fontId="3" numFmtId="0" xfId="0" applyAlignment="1" applyBorder="1" applyFont="1">
      <alignment horizontal="center" shrinkToFit="0" vertical="center" wrapText="0"/>
    </xf>
    <xf borderId="44" fillId="2" fontId="39" numFmtId="0" xfId="0" applyAlignment="1" applyBorder="1" applyFont="1">
      <alignment horizontal="center" readingOrder="0" vertical="center"/>
    </xf>
    <xf borderId="39" fillId="0" fontId="2" numFmtId="0" xfId="0" applyBorder="1" applyFont="1"/>
    <xf borderId="44" fillId="0" fontId="39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44" fillId="0" fontId="18" numFmtId="0" xfId="0" applyAlignment="1" applyBorder="1" applyFont="1">
      <alignment horizontal="center" readingOrder="0" vertical="center"/>
    </xf>
    <xf borderId="44" fillId="0" fontId="7" numFmtId="0" xfId="0" applyAlignment="1" applyBorder="1" applyFont="1">
      <alignment horizontal="center" readingOrder="0" vertical="center"/>
    </xf>
    <xf borderId="40" fillId="0" fontId="2" numFmtId="0" xfId="0" applyBorder="1" applyFont="1"/>
    <xf borderId="11" fillId="0" fontId="39" numFmtId="0" xfId="0" applyAlignment="1" applyBorder="1" applyFont="1">
      <alignment horizontal="center" readingOrder="0" vertical="center"/>
    </xf>
    <xf borderId="11" fillId="13" fontId="39" numFmtId="0" xfId="0" applyAlignment="1" applyBorder="1" applyFill="1" applyFont="1">
      <alignment horizontal="center" readingOrder="0" vertical="center"/>
    </xf>
    <xf borderId="11" fillId="0" fontId="18" numFmtId="0" xfId="0" applyAlignment="1" applyBorder="1" applyFont="1">
      <alignment horizontal="center" vertical="center"/>
    </xf>
    <xf borderId="11" fillId="0" fontId="24" numFmtId="0" xfId="0" applyAlignment="1" applyBorder="1" applyFont="1">
      <alignment horizontal="center" readingOrder="0" vertical="center"/>
    </xf>
    <xf borderId="11" fillId="0" fontId="23" numFmtId="172" xfId="0" applyAlignment="1" applyBorder="1" applyFont="1" applyNumberFormat="1">
      <alignment horizontal="center" readingOrder="0" vertical="center"/>
    </xf>
    <xf borderId="11" fillId="0" fontId="23" numFmtId="171" xfId="0" applyAlignment="1" applyBorder="1" applyFont="1" applyNumberFormat="1">
      <alignment horizontal="center" readingOrder="0" vertical="center"/>
    </xf>
    <xf borderId="11" fillId="14" fontId="39" numFmtId="0" xfId="0" applyAlignment="1" applyBorder="1" applyFill="1" applyFont="1">
      <alignment horizontal="center" readingOrder="0" vertical="center"/>
    </xf>
    <xf borderId="11" fillId="0" fontId="23" numFmtId="0" xfId="0" applyAlignment="1" applyBorder="1" applyFont="1">
      <alignment horizontal="center" readingOrder="0" vertical="center"/>
    </xf>
    <xf borderId="11" fillId="15" fontId="39" numFmtId="0" xfId="0" applyAlignment="1" applyBorder="1" applyFill="1" applyFont="1">
      <alignment horizontal="center" readingOrder="0" vertical="center"/>
    </xf>
    <xf borderId="11" fillId="16" fontId="3" numFmtId="0" xfId="0" applyAlignment="1" applyBorder="1" applyFill="1" applyFont="1">
      <alignment horizontal="center" readingOrder="0" vertical="center"/>
    </xf>
    <xf borderId="11" fillId="0" fontId="23" numFmtId="172" xfId="0" applyAlignment="1" applyBorder="1" applyFont="1" applyNumberFormat="1">
      <alignment horizontal="center" vertical="center"/>
    </xf>
    <xf borderId="11" fillId="0" fontId="23" numFmtId="171" xfId="0" applyAlignment="1" applyBorder="1" applyFont="1" applyNumberFormat="1">
      <alignment horizontal="center" vertical="center"/>
    </xf>
    <xf borderId="11" fillId="17" fontId="3" numFmtId="0" xfId="0" applyAlignment="1" applyBorder="1" applyFill="1" applyFont="1">
      <alignment horizontal="center" readingOrder="0" vertical="center"/>
    </xf>
    <xf borderId="11" fillId="18" fontId="44" numFmtId="0" xfId="0" applyAlignment="1" applyBorder="1" applyFill="1" applyFont="1">
      <alignment horizontal="center" readingOrder="0" vertical="center"/>
    </xf>
    <xf borderId="0" fillId="0" fontId="4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0" fillId="0" fontId="47" numFmtId="0" xfId="0" applyAlignment="1" applyFont="1">
      <alignment horizontal="center" readingOrder="0" vertical="center"/>
    </xf>
    <xf borderId="0" fillId="0" fontId="8" numFmtId="173" xfId="0" applyAlignment="1" applyFont="1" applyNumberFormat="1">
      <alignment horizontal="center" readingOrder="0" vertical="center"/>
    </xf>
    <xf borderId="44" fillId="10" fontId="48" numFmtId="0" xfId="0" applyAlignment="1" applyBorder="1" applyFont="1">
      <alignment horizontal="center" vertical="center"/>
    </xf>
    <xf borderId="0" fillId="0" fontId="49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11" fillId="2" fontId="50" numFmtId="0" xfId="0" applyAlignment="1" applyBorder="1" applyFont="1">
      <alignment horizontal="center" readingOrder="0" vertical="center"/>
    </xf>
    <xf borderId="11" fillId="0" fontId="50" numFmtId="0" xfId="0" applyAlignment="1" applyBorder="1" applyFont="1">
      <alignment horizontal="center" readingOrder="0" vertical="center"/>
    </xf>
    <xf borderId="11" fillId="0" fontId="51" numFmtId="0" xfId="0" applyAlignment="1" applyBorder="1" applyFont="1">
      <alignment horizontal="center" readingOrder="0" vertical="center"/>
    </xf>
    <xf borderId="11" fillId="0" fontId="52" numFmtId="0" xfId="0" applyAlignment="1" applyBorder="1" applyFont="1">
      <alignment horizontal="center" readingOrder="0" vertical="center"/>
    </xf>
    <xf borderId="11" fillId="0" fontId="53" numFmtId="0" xfId="0" applyAlignment="1" applyBorder="1" applyFont="1">
      <alignment horizontal="center" readingOrder="0" vertical="center"/>
    </xf>
    <xf borderId="11" fillId="0" fontId="7" numFmtId="3" xfId="0" applyAlignment="1" applyBorder="1" applyFont="1" applyNumberFormat="1">
      <alignment horizontal="center" vertical="center"/>
    </xf>
    <xf borderId="11" fillId="0" fontId="50" numFmtId="3" xfId="0" applyAlignment="1" applyBorder="1" applyFont="1" applyNumberFormat="1">
      <alignment horizontal="center" vertical="center"/>
    </xf>
    <xf borderId="11" fillId="0" fontId="51" numFmtId="3" xfId="0" applyAlignment="1" applyBorder="1" applyFont="1" applyNumberFormat="1">
      <alignment horizontal="center" vertical="center"/>
    </xf>
    <xf borderId="11" fillId="0" fontId="52" numFmtId="3" xfId="0" applyAlignment="1" applyBorder="1" applyFont="1" applyNumberFormat="1">
      <alignment horizontal="center" vertical="center"/>
    </xf>
    <xf borderId="11" fillId="0" fontId="54" numFmtId="3" xfId="0" applyAlignment="1" applyBorder="1" applyFont="1" applyNumberFormat="1">
      <alignment horizontal="center" readingOrder="0" vertical="center"/>
    </xf>
    <xf borderId="11" fillId="0" fontId="53" numFmtId="3" xfId="0" applyAlignment="1" applyBorder="1" applyFont="1" applyNumberFormat="1">
      <alignment horizontal="center" readingOrder="0" vertical="center"/>
    </xf>
    <xf borderId="0" fillId="0" fontId="55" numFmtId="3" xfId="0" applyAlignment="1" applyFont="1" applyNumberFormat="1">
      <alignment horizontal="center" vertical="center"/>
    </xf>
    <xf borderId="0" fillId="2" fontId="49" numFmtId="0" xfId="0" applyAlignment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2" fontId="56" numFmtId="0" xfId="0" applyAlignment="1" applyFont="1">
      <alignment horizontal="center" vertical="center"/>
    </xf>
    <xf borderId="0" fillId="2" fontId="49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11" fillId="0" fontId="57" numFmtId="3" xfId="0" applyAlignment="1" applyBorder="1" applyFont="1" applyNumberFormat="1">
      <alignment horizontal="center" vertical="center"/>
    </xf>
    <xf borderId="16" fillId="19" fontId="3" numFmtId="0" xfId="0" applyAlignment="1" applyBorder="1" applyFill="1" applyFont="1">
      <alignment horizontal="center" readingOrder="0" vertical="center"/>
    </xf>
    <xf borderId="16" fillId="20" fontId="3" numFmtId="0" xfId="0" applyAlignment="1" applyBorder="1" applyFill="1" applyFont="1">
      <alignment horizontal="center" readingOrder="0" vertical="center"/>
    </xf>
    <xf borderId="1" fillId="15" fontId="3" numFmtId="0" xfId="0" applyAlignment="1" applyBorder="1" applyFont="1">
      <alignment horizontal="center" readingOrder="0" vertical="center"/>
    </xf>
    <xf borderId="45" fillId="16" fontId="58" numFmtId="0" xfId="0" applyAlignment="1" applyBorder="1" applyFont="1">
      <alignment horizontal="center" readingOrder="0" vertical="center"/>
    </xf>
    <xf borderId="45" fillId="0" fontId="2" numFmtId="0" xfId="0" applyBorder="1" applyFont="1"/>
    <xf borderId="42" fillId="0" fontId="2" numFmtId="0" xfId="0" applyBorder="1" applyFont="1"/>
    <xf borderId="45" fillId="17" fontId="58" numFmtId="0" xfId="0" applyAlignment="1" applyBorder="1" applyFont="1">
      <alignment horizontal="center" readingOrder="0" vertical="center"/>
    </xf>
    <xf borderId="45" fillId="18" fontId="59" numFmtId="0" xfId="0" applyAlignment="1" applyBorder="1" applyFont="1">
      <alignment horizontal="center" readingOrder="0" vertical="center"/>
    </xf>
    <xf borderId="44" fillId="0" fontId="18" numFmtId="0" xfId="0" applyAlignment="1" applyBorder="1" applyFont="1">
      <alignment horizontal="center" readingOrder="0" vertical="center"/>
    </xf>
    <xf borderId="26" fillId="0" fontId="3" numFmtId="0" xfId="0" applyAlignment="1" applyBorder="1" applyFont="1">
      <alignment horizontal="center" readingOrder="0" vertical="center"/>
    </xf>
    <xf borderId="35" fillId="0" fontId="3" numFmtId="172" xfId="0" applyAlignment="1" applyBorder="1" applyFont="1" applyNumberFormat="1">
      <alignment horizontal="center" readingOrder="0" vertical="center"/>
    </xf>
    <xf borderId="27" fillId="0" fontId="3" numFmtId="171" xfId="0" applyAlignment="1" applyBorder="1" applyFont="1" applyNumberFormat="1">
      <alignment horizontal="center" readingOrder="0" vertical="center"/>
    </xf>
    <xf borderId="7" fillId="0" fontId="3" numFmtId="0" xfId="0" applyAlignment="1" applyBorder="1" applyFont="1">
      <alignment horizontal="center" readingOrder="0" vertical="center"/>
    </xf>
    <xf borderId="8" fillId="0" fontId="3" numFmtId="172" xfId="0" applyAlignment="1" applyBorder="1" applyFont="1" applyNumberFormat="1">
      <alignment horizontal="center" readingOrder="0" vertical="center"/>
    </xf>
    <xf borderId="9" fillId="0" fontId="3" numFmtId="171" xfId="0" applyAlignment="1" applyBorder="1" applyFont="1" applyNumberForma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2" fillId="0" fontId="3" numFmtId="171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11" fillId="0" fontId="60" numFmtId="0" xfId="0" applyAlignment="1" applyBorder="1" applyFont="1">
      <alignment horizontal="center" readingOrder="0" vertical="center"/>
    </xf>
    <xf borderId="11" fillId="0" fontId="3" numFmtId="172" xfId="0" applyAlignment="1" applyBorder="1" applyFont="1" applyNumberFormat="1">
      <alignment horizontal="center" readingOrder="0" vertical="center"/>
    </xf>
    <xf borderId="11" fillId="10" fontId="3" numFmtId="1" xfId="0" applyAlignment="1" applyBorder="1" applyFont="1" applyNumberFormat="1">
      <alignment horizontal="center" readingOrder="0" vertical="center"/>
    </xf>
    <xf borderId="11" fillId="10" fontId="3" numFmtId="0" xfId="0" applyAlignment="1" applyBorder="1" applyFont="1">
      <alignment horizontal="center" readingOrder="0" vertical="center"/>
    </xf>
    <xf borderId="11" fillId="10" fontId="3" numFmtId="171" xfId="0" applyAlignment="1" applyBorder="1" applyFont="1" applyNumberFormat="1">
      <alignment horizontal="center" readingOrder="0" vertical="center"/>
    </xf>
    <xf borderId="11" fillId="10" fontId="3" numFmtId="0" xfId="0" applyAlignment="1" applyBorder="1" applyFont="1">
      <alignment horizontal="center" readingOrder="0" vertical="center"/>
    </xf>
    <xf borderId="11" fillId="10" fontId="61" numFmtId="0" xfId="0" applyAlignment="1" applyBorder="1" applyFont="1">
      <alignment horizontal="center" readingOrder="0" shrinkToFit="0" wrapText="0"/>
    </xf>
    <xf borderId="11" fillId="0" fontId="3" numFmtId="172" xfId="0" applyAlignment="1" applyBorder="1" applyFont="1" applyNumberFormat="1">
      <alignment horizontal="center" vertical="center"/>
    </xf>
    <xf borderId="12" fillId="0" fontId="3" numFmtId="171" xfId="0" applyAlignment="1" applyBorder="1" applyFont="1" applyNumberFormat="1">
      <alignment horizontal="center" vertical="center"/>
    </xf>
    <xf borderId="11" fillId="15" fontId="3" numFmtId="0" xfId="0" applyAlignment="1" applyBorder="1" applyFont="1">
      <alignment horizontal="center" readingOrder="0" vertical="center"/>
    </xf>
    <xf borderId="11" fillId="15" fontId="3" numFmtId="0" xfId="0" applyAlignment="1" applyBorder="1" applyFont="1">
      <alignment horizontal="center" readingOrder="0" vertical="center"/>
    </xf>
    <xf borderId="11" fillId="15" fontId="3" numFmtId="171" xfId="0" applyAlignment="1" applyBorder="1" applyFont="1" applyNumberForma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12" fillId="2" fontId="3" numFmtId="171" xfId="0" applyAlignment="1" applyBorder="1" applyFont="1" applyNumberFormat="1">
      <alignment horizontal="center" readingOrder="0" vertical="center"/>
    </xf>
    <xf borderId="11" fillId="2" fontId="3" numFmtId="171" xfId="0" applyAlignment="1" applyBorder="1" applyFont="1" applyNumberFormat="1">
      <alignment horizontal="center" readingOrder="0" vertical="center"/>
    </xf>
    <xf borderId="11" fillId="21" fontId="11" numFmtId="0" xfId="0" applyAlignment="1" applyBorder="1" applyFill="1" applyFont="1">
      <alignment horizontal="center" readingOrder="0" shrinkToFit="0" vertical="center" wrapText="0"/>
    </xf>
    <xf borderId="11" fillId="10" fontId="3" numFmtId="168" xfId="0" applyAlignment="1" applyBorder="1" applyFont="1" applyNumberFormat="1">
      <alignment horizontal="center" readingOrder="0" vertical="center"/>
    </xf>
    <xf borderId="11" fillId="0" fontId="3" numFmtId="171" xfId="0" applyAlignment="1" applyBorder="1" applyFont="1" applyNumberFormat="1">
      <alignment horizontal="center" readingOrder="0" vertical="center"/>
    </xf>
    <xf borderId="11" fillId="10" fontId="3" numFmtId="167" xfId="0" applyAlignment="1" applyBorder="1" applyFont="1" applyNumberFormat="1">
      <alignment horizontal="center" readingOrder="0" vertical="center"/>
    </xf>
    <xf borderId="12" fillId="0" fontId="3" numFmtId="167" xfId="0" applyAlignment="1" applyBorder="1" applyFont="1" applyNumberFormat="1">
      <alignment horizontal="center" readingOrder="0" vertical="center"/>
    </xf>
    <xf borderId="21" fillId="0" fontId="3" numFmtId="171" xfId="0" applyAlignment="1" applyBorder="1" applyFont="1" applyNumberFormat="1">
      <alignment horizontal="center" readingOrder="0" vertical="center"/>
    </xf>
    <xf borderId="11" fillId="10" fontId="58" numFmtId="0" xfId="0" applyAlignment="1" applyBorder="1" applyFont="1">
      <alignment horizontal="center"/>
    </xf>
    <xf borderId="11" fillId="10" fontId="58" numFmtId="0" xfId="0" applyAlignment="1" applyBorder="1" applyFont="1">
      <alignment horizontal="center"/>
    </xf>
    <xf borderId="11" fillId="0" fontId="26" numFmtId="0" xfId="0" applyAlignment="1" applyBorder="1" applyFont="1">
      <alignment horizontal="center" readingOrder="0" shrinkToFit="0" vertical="center" wrapText="0"/>
    </xf>
    <xf borderId="11" fillId="10" fontId="3" numFmtId="174" xfId="0" applyAlignment="1" applyBorder="1" applyFont="1" applyNumberForma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46" fillId="0" fontId="3" numFmtId="172" xfId="0" applyAlignment="1" applyBorder="1" applyFont="1" applyNumberFormat="1">
      <alignment horizontal="center" readingOrder="0" vertical="center"/>
    </xf>
    <xf borderId="11" fillId="0" fontId="3" numFmtId="165" xfId="0" applyAlignment="1" applyBorder="1" applyFont="1" applyNumberFormat="1">
      <alignment horizontal="center" readingOrder="0" shrinkToFit="0" vertical="center" wrapText="0"/>
    </xf>
    <xf borderId="11" fillId="22" fontId="11" numFmtId="0" xfId="0" applyAlignment="1" applyBorder="1" applyFill="1" applyFont="1">
      <alignment horizontal="center" readingOrder="0" shrinkToFit="0" vertical="center" wrapText="0"/>
    </xf>
    <xf borderId="11" fillId="10" fontId="3" numFmtId="175" xfId="0" applyAlignment="1" applyBorder="1" applyFont="1" applyNumberFormat="1">
      <alignment horizontal="center" readingOrder="0" vertical="center"/>
    </xf>
    <xf borderId="11" fillId="10" fontId="58" numFmtId="1" xfId="0" applyAlignment="1" applyBorder="1" applyFont="1" applyNumberFormat="1">
      <alignment horizontal="center"/>
    </xf>
    <xf borderId="11" fillId="10" fontId="58" numFmtId="171" xfId="0" applyAlignment="1" applyBorder="1" applyFont="1" applyNumberFormat="1">
      <alignment horizontal="center"/>
    </xf>
    <xf borderId="11" fillId="10" fontId="1" numFmtId="0" xfId="0" applyAlignment="1" applyBorder="1" applyFont="1">
      <alignment horizontal="center" readingOrder="0"/>
    </xf>
    <xf borderId="11" fillId="10" fontId="1" numFmtId="0" xfId="0" applyAlignment="1" applyBorder="1" applyFont="1">
      <alignment horizontal="center" readingOrder="0"/>
    </xf>
    <xf borderId="11" fillId="5" fontId="1" numFmtId="0" xfId="0" applyAlignment="1" applyBorder="1" applyFont="1">
      <alignment horizontal="center"/>
    </xf>
    <xf borderId="11" fillId="0" fontId="3" numFmtId="171" xfId="0" applyAlignment="1" applyBorder="1" applyFont="1" applyNumberFormat="1">
      <alignment horizontal="center" vertical="center"/>
    </xf>
    <xf borderId="11" fillId="0" fontId="3" numFmtId="167" xfId="0" applyAlignment="1" applyBorder="1" applyFont="1" applyNumberFormat="1">
      <alignment horizontal="center" readingOrder="0" vertical="center"/>
    </xf>
    <xf borderId="11" fillId="0" fontId="20" numFmtId="164" xfId="0" applyAlignment="1" applyBorder="1" applyFont="1" applyNumberFormat="1">
      <alignment horizontal="center" readingOrder="0" shrinkToFit="0" vertical="center" wrapText="0"/>
    </xf>
    <xf borderId="11" fillId="0" fontId="20" numFmtId="49" xfId="0" applyAlignment="1" applyBorder="1" applyFont="1" applyNumberFormat="1">
      <alignment horizontal="center" readingOrder="0" shrinkToFit="0" vertical="center" wrapText="0"/>
    </xf>
    <xf borderId="11" fillId="0" fontId="20" numFmtId="0" xfId="0" applyAlignment="1" applyBorder="1" applyFont="1">
      <alignment horizontal="center" readingOrder="0" shrinkToFit="0" vertical="center" wrapText="0"/>
    </xf>
    <xf borderId="11" fillId="0" fontId="62" numFmtId="0" xfId="0" applyAlignment="1" applyBorder="1" applyFont="1">
      <alignment horizontal="center" readingOrder="0" shrinkToFit="0" vertical="center" wrapText="0"/>
    </xf>
    <xf borderId="11" fillId="0" fontId="63" numFmtId="0" xfId="0" applyAlignment="1" applyBorder="1" applyFont="1">
      <alignment horizontal="center" readingOrder="0" shrinkToFit="0" vertical="center" wrapText="0"/>
    </xf>
    <xf borderId="11" fillId="0" fontId="26" numFmtId="0" xfId="0" applyAlignment="1" applyBorder="1" applyFont="1">
      <alignment horizontal="center" readingOrder="0" shrinkToFit="0" vertical="center" wrapText="0"/>
    </xf>
    <xf borderId="20" fillId="0" fontId="3" numFmtId="0" xfId="0" applyAlignment="1" applyBorder="1" applyFont="1">
      <alignment horizontal="center" vertical="center"/>
    </xf>
    <xf borderId="46" fillId="0" fontId="3" numFmtId="172" xfId="0" applyAlignment="1" applyBorder="1" applyFont="1" applyNumberFormat="1">
      <alignment horizontal="center" vertical="center"/>
    </xf>
    <xf borderId="11" fillId="0" fontId="26" numFmtId="0" xfId="0" applyAlignment="1" applyBorder="1" applyFont="1">
      <alignment horizontal="center" readingOrder="0" shrinkToFit="0" vertical="center" wrapText="0"/>
    </xf>
    <xf borderId="21" fillId="0" fontId="3" numFmtId="171" xfId="0" applyAlignment="1" applyBorder="1" applyFont="1" applyNumberFormat="1">
      <alignment horizontal="center" vertical="center"/>
    </xf>
    <xf borderId="11" fillId="22" fontId="20" numFmtId="0" xfId="0" applyAlignment="1" applyBorder="1" applyFont="1">
      <alignment horizontal="center" readingOrder="0" shrinkToFit="0" vertical="center" wrapText="0"/>
    </xf>
    <xf borderId="11" fillId="0" fontId="20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1" fillId="0" fontId="20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1" fillId="10" fontId="3" numFmtId="1" xfId="0" applyAlignment="1" applyBorder="1" applyFont="1" applyNumberFormat="1">
      <alignment horizontal="center" vertical="center"/>
    </xf>
    <xf borderId="11" fillId="23" fontId="20" numFmtId="0" xfId="0" applyAlignment="1" applyBorder="1" applyFill="1" applyFont="1">
      <alignment horizontal="center" readingOrder="0" shrinkToFit="0" vertical="center" wrapText="0"/>
    </xf>
    <xf borderId="0" fillId="0" fontId="3" numFmtId="165" xfId="0" applyFont="1" applyNumberFormat="1"/>
    <xf borderId="11" fillId="0" fontId="64" numFmtId="49" xfId="0" applyAlignment="1" applyBorder="1" applyFont="1" applyNumberFormat="1">
      <alignment horizontal="center" readingOrder="0" shrinkToFit="0" vertical="center" wrapText="0"/>
    </xf>
    <xf borderId="11" fillId="3" fontId="62" numFmtId="0" xfId="0" applyAlignment="1" applyBorder="1" applyFont="1">
      <alignment horizontal="center" readingOrder="0" shrinkToFit="0" vertical="center" wrapText="0"/>
    </xf>
    <xf borderId="11" fillId="0" fontId="3" numFmtId="1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0" fillId="24" fontId="65" numFmtId="0" xfId="0" applyAlignment="1" applyFill="1" applyFont="1">
      <alignment readingOrder="0" shrinkToFit="0" wrapText="1"/>
    </xf>
    <xf borderId="11" fillId="8" fontId="66" numFmtId="0" xfId="0" applyAlignment="1" applyBorder="1" applyFont="1">
      <alignment readingOrder="0" shrinkToFit="0" wrapText="1"/>
    </xf>
    <xf borderId="11" fillId="0" fontId="66" numFmtId="0" xfId="0" applyAlignment="1" applyBorder="1" applyFont="1">
      <alignment shrinkToFit="0" wrapText="1"/>
    </xf>
    <xf borderId="11" fillId="0" fontId="11" numFmtId="0" xfId="0" applyAlignment="1" applyBorder="1" applyFont="1">
      <alignment horizontal="center" readingOrder="0" shrinkToFit="0" vertical="center" wrapText="0"/>
    </xf>
    <xf borderId="0" fillId="25" fontId="65" numFmtId="0" xfId="0" applyAlignment="1" applyFill="1" applyFont="1">
      <alignment readingOrder="0" shrinkToFit="0" wrapText="1"/>
    </xf>
    <xf borderId="0" fillId="0" fontId="66" numFmtId="0" xfId="0" applyAlignment="1" applyFont="1">
      <alignment readingOrder="0" shrinkToFit="0" wrapText="1"/>
    </xf>
    <xf borderId="11" fillId="12" fontId="66" numFmtId="0" xfId="0" applyAlignment="1" applyBorder="1" applyFont="1">
      <alignment readingOrder="0" shrinkToFit="0" wrapText="1"/>
    </xf>
    <xf borderId="11" fillId="24" fontId="65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11" fillId="0" fontId="3" numFmtId="165" xfId="0" applyAlignment="1" applyBorder="1" applyFont="1" applyNumberFormat="1">
      <alignment shrinkToFit="0" wrapText="1"/>
    </xf>
    <xf borderId="11" fillId="0" fontId="3" numFmtId="164" xfId="0" applyAlignment="1" applyBorder="1" applyFont="1" applyNumberFormat="1">
      <alignment shrinkToFit="0" wrapText="1"/>
    </xf>
    <xf borderId="0" fillId="0" fontId="3" numFmtId="0" xfId="0" applyFont="1"/>
    <xf borderId="11" fillId="0" fontId="64" numFmtId="164" xfId="0" applyAlignment="1" applyBorder="1" applyFont="1" applyNumberFormat="1">
      <alignment horizontal="center" readingOrder="0" shrinkToFit="0" vertical="center" wrapText="0"/>
    </xf>
    <xf borderId="0" fillId="0" fontId="3" numFmtId="165" xfId="0" applyFont="1" applyNumberFormat="1"/>
    <xf borderId="11" fillId="0" fontId="67" numFmtId="0" xfId="0" applyAlignment="1" applyBorder="1" applyFont="1">
      <alignment horizontal="center" readingOrder="0" shrinkToFit="0" vertical="center" wrapText="0"/>
    </xf>
    <xf borderId="13" fillId="0" fontId="3" numFmtId="0" xfId="0" applyAlignment="1" applyBorder="1" applyFont="1">
      <alignment horizontal="center" vertical="center"/>
    </xf>
    <xf borderId="14" fillId="0" fontId="3" numFmtId="172" xfId="0" applyAlignment="1" applyBorder="1" applyFont="1" applyNumberFormat="1">
      <alignment horizontal="center" vertical="center"/>
    </xf>
    <xf borderId="15" fillId="0" fontId="3" numFmtId="171" xfId="0" applyAlignment="1" applyBorder="1" applyFont="1" applyNumberForma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0" fillId="0" fontId="3" numFmtId="176" xfId="0" applyAlignment="1" applyFont="1" applyNumberFormat="1">
      <alignment horizontal="center" vertical="center"/>
    </xf>
    <xf borderId="0" fillId="0" fontId="39" numFmtId="1" xfId="0" applyAlignment="1" applyFont="1" applyNumberFormat="1">
      <alignment horizontal="center" vertical="center"/>
    </xf>
    <xf borderId="0" fillId="26" fontId="68" numFmtId="0" xfId="0" applyFill="1" applyFont="1"/>
    <xf borderId="0" fillId="0" fontId="3" numFmtId="0" xfId="0" applyAlignment="1" applyFont="1">
      <alignment readingOrder="0"/>
    </xf>
    <xf borderId="0" fillId="27" fontId="69" numFmtId="0" xfId="0" applyAlignment="1" applyFill="1" applyFont="1">
      <alignment horizontal="center" vertical="center"/>
    </xf>
    <xf borderId="11" fillId="10" fontId="70" numFmtId="0" xfId="0" applyAlignment="1" applyBorder="1" applyFont="1">
      <alignment horizontal="center" vertical="center"/>
    </xf>
    <xf borderId="11" fillId="0" fontId="70" numFmtId="0" xfId="0" applyAlignment="1" applyBorder="1" applyFont="1">
      <alignment horizontal="center" vertical="center"/>
    </xf>
    <xf borderId="11" fillId="9" fontId="70" numFmtId="1" xfId="0" applyAlignment="1" applyBorder="1" applyFont="1" applyNumberFormat="1">
      <alignment horizontal="center" vertical="center"/>
    </xf>
    <xf borderId="11" fillId="28" fontId="70" numFmtId="0" xfId="0" applyAlignment="1" applyBorder="1" applyFill="1" applyFont="1">
      <alignment horizontal="center" vertical="center"/>
    </xf>
    <xf borderId="11" fillId="29" fontId="70" numFmtId="1" xfId="0" applyAlignment="1" applyBorder="1" applyFill="1" applyFont="1" applyNumberFormat="1">
      <alignment horizontal="center" vertical="center"/>
    </xf>
    <xf borderId="0" fillId="0" fontId="3" numFmtId="49" xfId="0" applyFont="1" applyNumberFormat="1"/>
    <xf borderId="11" fillId="10" fontId="70" numFmtId="0" xfId="0" applyAlignment="1" applyBorder="1" applyFont="1">
      <alignment horizontal="center" readingOrder="0" vertical="center"/>
    </xf>
    <xf borderId="11" fillId="9" fontId="70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11" fillId="28" fontId="70" numFmtId="0" xfId="0" applyAlignment="1" applyBorder="1" applyFont="1">
      <alignment horizontal="center" readingOrder="0" vertical="center"/>
    </xf>
    <xf borderId="11" fillId="29" fontId="70" numFmtId="0" xfId="0" applyAlignment="1" applyBorder="1" applyFont="1">
      <alignment horizontal="center" readingOrder="0" vertical="center"/>
    </xf>
    <xf borderId="0" fillId="0" fontId="71" numFmtId="177" xfId="0" applyAlignment="1" applyFont="1" applyNumberFormat="1">
      <alignment horizontal="center" vertical="center"/>
    </xf>
    <xf borderId="0" fillId="0" fontId="3" numFmtId="171" xfId="0" applyFont="1" applyNumberFormat="1"/>
    <xf borderId="0" fillId="0" fontId="31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1" fillId="30" fontId="72" numFmtId="0" xfId="0" applyAlignment="1" applyBorder="1" applyFill="1" applyFont="1">
      <alignment horizontal="center" readingOrder="0" vertical="center"/>
    </xf>
    <xf borderId="11" fillId="31" fontId="73" numFmtId="0" xfId="0" applyAlignment="1" applyBorder="1" applyFill="1" applyFont="1">
      <alignment horizontal="center" readingOrder="0" vertical="center"/>
    </xf>
    <xf borderId="11" fillId="31" fontId="73" numFmtId="0" xfId="0" applyAlignment="1" applyBorder="1" applyFont="1">
      <alignment horizontal="center" vertical="center"/>
    </xf>
    <xf borderId="11" fillId="31" fontId="73" numFmtId="4" xfId="0" applyAlignment="1" applyBorder="1" applyFont="1" applyNumberFormat="1">
      <alignment horizontal="center" vertical="center"/>
    </xf>
    <xf borderId="11" fillId="0" fontId="39" numFmtId="0" xfId="0" applyAlignment="1" applyBorder="1" applyFont="1">
      <alignment horizontal="center" vertical="center"/>
    </xf>
    <xf borderId="11" fillId="0" fontId="39" numFmtId="4" xfId="0" applyAlignment="1" applyBorder="1" applyFont="1" applyNumberFormat="1">
      <alignment horizontal="center" vertical="center"/>
    </xf>
    <xf borderId="0" fillId="0" fontId="3" numFmtId="4" xfId="0" applyFont="1" applyNumberFormat="1"/>
    <xf borderId="11" fillId="29" fontId="26" numFmtId="0" xfId="0" applyAlignment="1" applyBorder="1" applyFont="1">
      <alignment horizontal="center" shrinkToFit="0" vertical="center" wrapText="0"/>
    </xf>
    <xf borderId="11" fillId="29" fontId="26" numFmtId="0" xfId="0" applyAlignment="1" applyBorder="1" applyFont="1">
      <alignment horizontal="center" shrinkToFit="0" vertical="center" wrapText="0"/>
    </xf>
    <xf borderId="11" fillId="0" fontId="20" numFmtId="0" xfId="0" applyAlignment="1" applyBorder="1" applyFont="1">
      <alignment horizontal="center" readingOrder="0" shrinkToFit="0" vertical="center" wrapText="0"/>
    </xf>
    <xf borderId="11" fillId="0" fontId="20" numFmtId="0" xfId="0" applyAlignment="1" applyBorder="1" applyFont="1">
      <alignment horizontal="center" readingOrder="0" shrinkToFit="0" vertical="center" wrapText="0"/>
    </xf>
    <xf borderId="11" fillId="32" fontId="20" numFmtId="0" xfId="0" applyAlignment="1" applyBorder="1" applyFill="1" applyFont="1">
      <alignment horizontal="center" readingOrder="0" shrinkToFit="0" vertical="center" wrapText="0"/>
    </xf>
    <xf borderId="11" fillId="32" fontId="20" numFmtId="164" xfId="0" applyAlignment="1" applyBorder="1" applyFont="1" applyNumberFormat="1">
      <alignment horizontal="center" readingOrder="0" shrinkToFit="0" vertical="center" wrapText="0"/>
    </xf>
    <xf borderId="11" fillId="32" fontId="20" numFmtId="49" xfId="0" applyAlignment="1" applyBorder="1" applyFont="1" applyNumberFormat="1">
      <alignment horizontal="center" readingOrder="0" shrinkToFit="0" vertical="center" wrapText="0"/>
    </xf>
    <xf borderId="11" fillId="32" fontId="20" numFmtId="0" xfId="0" applyAlignment="1" applyBorder="1" applyFont="1">
      <alignment horizontal="center" shrinkToFit="0" vertical="center" wrapText="0"/>
    </xf>
    <xf borderId="11" fillId="32" fontId="26" numFmtId="0" xfId="0" applyAlignment="1" applyBorder="1" applyFont="1">
      <alignment horizontal="center" readingOrder="0" shrinkToFit="0" vertical="center" wrapText="0"/>
    </xf>
    <xf borderId="11" fillId="32" fontId="20" numFmtId="0" xfId="0" applyAlignment="1" applyBorder="1" applyFont="1">
      <alignment horizontal="center" readingOrder="0" shrinkToFit="0" vertical="center" wrapText="0"/>
    </xf>
    <xf borderId="11" fillId="32" fontId="62" numFmtId="0" xfId="0" applyAlignment="1" applyBorder="1" applyFont="1">
      <alignment horizontal="center" readingOrder="0" shrinkToFit="0" vertical="center" wrapText="0"/>
    </xf>
    <xf borderId="11" fillId="32" fontId="63" numFmtId="0" xfId="0" applyAlignment="1" applyBorder="1" applyFont="1">
      <alignment horizontal="center" readingOrder="0" shrinkToFit="0" vertical="center" wrapText="0"/>
    </xf>
    <xf borderId="11" fillId="32" fontId="11" numFmtId="0" xfId="0" applyAlignment="1" applyBorder="1" applyFont="1">
      <alignment horizontal="center" shrinkToFit="0" vertical="center" wrapText="0"/>
    </xf>
    <xf borderId="11" fillId="32" fontId="26" numFmtId="0" xfId="0" applyAlignment="1" applyBorder="1" applyFont="1">
      <alignment horizontal="center" readingOrder="0" shrinkToFit="0" vertical="center" wrapText="0"/>
    </xf>
    <xf borderId="11" fillId="32" fontId="26" numFmtId="0" xfId="0" applyAlignment="1" applyBorder="1" applyFont="1">
      <alignment horizontal="center" readingOrder="0" shrinkToFit="0" vertical="center" wrapText="0"/>
    </xf>
    <xf borderId="11" fillId="0" fontId="26" numFmtId="0" xfId="0" applyAlignment="1" applyBorder="1" applyFont="1">
      <alignment horizontal="center" readingOrder="0" shrinkToFit="0" vertical="center" wrapText="0"/>
    </xf>
    <xf borderId="11" fillId="0" fontId="26" numFmtId="0" xfId="0" applyAlignment="1" applyBorder="1" applyFont="1">
      <alignment horizontal="center" readingOrder="0" shrinkToFit="0" vertical="center" wrapText="0"/>
    </xf>
    <xf borderId="11" fillId="29" fontId="26" numFmtId="0" xfId="0" applyAlignment="1" applyBorder="1" applyFont="1">
      <alignment horizontal="center" readingOrder="0" shrinkToFit="0" vertical="center" wrapText="0"/>
    </xf>
    <xf borderId="11" fillId="29" fontId="26" numFmtId="49" xfId="0" applyAlignment="1" applyBorder="1" applyFont="1" applyNumberFormat="1">
      <alignment horizontal="center" readingOrder="0" shrinkToFit="0" vertical="center" wrapText="0"/>
    </xf>
    <xf borderId="11" fillId="29" fontId="26" numFmtId="0" xfId="0" applyAlignment="1" applyBorder="1" applyFont="1">
      <alignment horizontal="center" readingOrder="0" shrinkToFit="0" vertical="center" wrapText="0"/>
    </xf>
    <xf borderId="11" fillId="29" fontId="26" numFmtId="0" xfId="0" applyAlignment="1" applyBorder="1" applyFont="1">
      <alignment horizontal="center" readingOrder="0" shrinkToFit="0" vertical="center" wrapText="0"/>
    </xf>
    <xf borderId="11" fillId="0" fontId="20" numFmtId="49" xfId="0" applyAlignment="1" applyBorder="1" applyFont="1" applyNumberFormat="1">
      <alignment horizontal="center" readingOrder="0" shrinkToFit="0" vertical="center" wrapText="0"/>
    </xf>
    <xf borderId="11" fillId="0" fontId="8" numFmtId="49" xfId="0" applyAlignment="1" applyBorder="1" applyFont="1" applyNumberFormat="1">
      <alignment horizontal="center" readingOrder="0" shrinkToFit="0" vertical="center" wrapText="0"/>
    </xf>
    <xf borderId="11" fillId="0" fontId="20" numFmtId="49" xfId="0" applyAlignment="1" applyBorder="1" applyFont="1" applyNumberFormat="1">
      <alignment horizontal="center" readingOrder="0" shrinkToFit="0" vertical="center" wrapText="0"/>
    </xf>
    <xf borderId="11" fillId="0" fontId="20" numFmtId="0" xfId="0" applyAlignment="1" applyBorder="1" applyFont="1">
      <alignment horizontal="center" readingOrder="0" shrinkToFit="0" vertical="center" wrapText="0"/>
    </xf>
    <xf borderId="11" fillId="14" fontId="20" numFmtId="0" xfId="0" applyAlignment="1" applyBorder="1" applyFont="1">
      <alignment horizontal="center" readingOrder="0" shrinkToFit="0" vertical="center" wrapText="0"/>
    </xf>
    <xf borderId="11" fillId="14" fontId="20" numFmtId="164" xfId="0" applyAlignment="1" applyBorder="1" applyFont="1" applyNumberFormat="1">
      <alignment horizontal="center" readingOrder="0" shrinkToFit="0" vertical="center" wrapText="0"/>
    </xf>
    <xf borderId="11" fillId="14" fontId="20" numFmtId="49" xfId="0" applyAlignment="1" applyBorder="1" applyFont="1" applyNumberFormat="1">
      <alignment horizontal="center" readingOrder="0" shrinkToFit="0" vertical="center" wrapText="0"/>
    </xf>
    <xf borderId="11" fillId="14" fontId="20" numFmtId="0" xfId="0" applyAlignment="1" applyBorder="1" applyFont="1">
      <alignment horizontal="center" readingOrder="0" shrinkToFit="0" vertical="center" wrapText="0"/>
    </xf>
    <xf borderId="11" fillId="14" fontId="26" numFmtId="0" xfId="0" applyAlignment="1" applyBorder="1" applyFont="1">
      <alignment horizontal="center" readingOrder="0" shrinkToFit="0" vertical="center" wrapText="0"/>
    </xf>
    <xf borderId="11" fillId="14" fontId="20" numFmtId="0" xfId="0" applyAlignment="1" applyBorder="1" applyFont="1">
      <alignment horizontal="center" readingOrder="0" shrinkToFit="0" vertical="center" wrapText="0"/>
    </xf>
    <xf borderId="11" fillId="14" fontId="62" numFmtId="0" xfId="0" applyAlignment="1" applyBorder="1" applyFont="1">
      <alignment horizontal="center" readingOrder="0" shrinkToFit="0" vertical="center" wrapText="0"/>
    </xf>
    <xf borderId="11" fillId="14" fontId="16" numFmtId="0" xfId="0" applyAlignment="1" applyBorder="1" applyFont="1">
      <alignment horizontal="center" readingOrder="0" shrinkToFit="0" vertical="center" wrapText="0"/>
    </xf>
    <xf borderId="11" fillId="14" fontId="63" numFmtId="0" xfId="0" applyAlignment="1" applyBorder="1" applyFont="1">
      <alignment horizontal="center" readingOrder="0" shrinkToFit="0" vertical="center" wrapText="0"/>
    </xf>
    <xf borderId="11" fillId="14" fontId="11" numFmtId="0" xfId="0" applyAlignment="1" applyBorder="1" applyFont="1">
      <alignment horizontal="center" readingOrder="0" shrinkToFit="0" vertical="center" wrapText="0"/>
    </xf>
    <xf borderId="11" fillId="14" fontId="26" numFmtId="0" xfId="0" applyAlignment="1" applyBorder="1" applyFont="1">
      <alignment horizontal="center" readingOrder="0" shrinkToFit="0" vertical="center" wrapText="0"/>
    </xf>
    <xf borderId="11" fillId="14" fontId="11" numFmtId="0" xfId="0" applyAlignment="1" applyBorder="1" applyFont="1">
      <alignment horizontal="center" shrinkToFit="0" vertical="center" wrapText="0"/>
    </xf>
    <xf borderId="11" fillId="14" fontId="26" numFmtId="0" xfId="0" applyAlignment="1" applyBorder="1" applyFont="1">
      <alignment horizontal="center" readingOrder="0" shrinkToFit="0" vertical="center" wrapText="0"/>
    </xf>
    <xf borderId="11" fillId="14" fontId="26" numFmtId="0" xfId="0" applyAlignment="1" applyBorder="1" applyFont="1">
      <alignment horizontal="center" readingOrder="0" shrinkToFit="0" vertical="center" wrapText="0"/>
    </xf>
    <xf borderId="11" fillId="0" fontId="74" numFmtId="0" xfId="0" applyAlignment="1" applyBorder="1" applyFont="1">
      <alignment horizontal="center" readingOrder="0" shrinkToFit="0" vertical="center" wrapText="0"/>
    </xf>
    <xf borderId="11" fillId="0" fontId="7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1"/>
      </font>
      <fill>
        <patternFill patternType="solid">
          <fgColor rgb="FFFABBBE"/>
          <bgColor rgb="FFFABBBE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CC0000"/>
      </font>
      <fill>
        <patternFill patternType="solid">
          <fgColor rgb="FFF3CCCC"/>
          <bgColor rgb="FFF3CCCC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>
        <color rgb="FFBF0000"/>
      </font>
      <fill>
        <patternFill patternType="solid">
          <fgColor rgb="FFFABBBE"/>
          <bgColor rgb="FFFABBBE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B8043"/>
          <bgColor rgb="FF0B8043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6D9EEB"/>
          <bgColor rgb="FF6D9EEB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  <tableStyles count="26">
    <tableStyle count="4" pivot="0" name="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tock-style">
      <tableStyleElement dxfId="3" type="firstRowStripe"/>
      <tableStyleElement dxfId="2" type="secondRowStripe"/>
    </tableStyle>
    <tableStyle count="2" pivot="0" name="Stock-style 2">
      <tableStyleElement dxfId="3" type="firstRowStripe"/>
      <tableStyleElement dxfId="2" type="secondRowStripe"/>
    </tableStyle>
    <tableStyle count="2" pivot="0" name="Stock-style 3">
      <tableStyleElement dxfId="2" type="firstRowStripe"/>
      <tableStyleElement dxfId="3" type="secondRowStripe"/>
    </tableStyle>
    <tableStyle count="2" pivot="0" name="Stock-style 4">
      <tableStyleElement dxfId="3" type="firstRowStripe"/>
      <tableStyleElement dxfId="2" type="secondRowStripe"/>
    </tableStyle>
    <tableStyle count="2" pivot="0" name="Stock-style 5">
      <tableStyleElement dxfId="3" type="firstRowStripe"/>
      <tableStyleElement dxfId="2" type="secondRowStripe"/>
    </tableStyle>
    <tableStyle count="2" pivot="0" name="Stock-style 6">
      <tableStyleElement dxfId="3" type="firstRowStripe"/>
      <tableStyleElement dxfId="2" type="secondRowStripe"/>
    </tableStyle>
    <tableStyle count="2" pivot="0" name="Stock-style 7">
      <tableStyleElement dxfId="3" type="firstRowStripe"/>
      <tableStyleElement dxfId="2" type="secondRowStripe"/>
    </tableStyle>
    <tableStyle count="2" pivot="0" name="Stock-style 8">
      <tableStyleElement dxfId="3" type="firstRowStripe"/>
      <tableStyleElement dxfId="2" type="secondRowStripe"/>
    </tableStyle>
    <tableStyle count="2" pivot="0" name="Stock-style 9">
      <tableStyleElement dxfId="3" type="firstRowStripe"/>
      <tableStyleElement dxfId="2" type="secondRowStripe"/>
    </tableStyle>
    <tableStyle count="2" pivot="0" name="Stock-style 10">
      <tableStyleElement dxfId="3" type="firstRowStripe"/>
      <tableStyleElement dxfId="2" type="secondRowStripe"/>
    </tableStyle>
    <tableStyle count="2" pivot="0" name="Stock-style 11">
      <tableStyleElement dxfId="3" type="firstRowStripe"/>
      <tableStyleElement dxfId="2" type="secondRowStripe"/>
    </tableStyle>
    <tableStyle count="5" pivot="0" name="حسابات شهرية-style">
      <tableStyleElement dxfId="1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5" pivot="0" name="حسابات شهرية-style 2">
      <tableStyleElement dxfId="1" type="headerRow"/>
      <tableStyleElement dxfId="2" type="firstRowStripe"/>
      <tableStyleElement dxfId="3" type="secondRowStripe"/>
      <tableStyleElement dxfId="9" type="totalRow"/>
      <tableStyleElement dxfId="4" size="0" type="wholeTable"/>
    </tableStyle>
    <tableStyle count="4" pivot="0" name="حسابات شهرية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حسابات شهرية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حسابات شهرية-style 5">
      <tableStyleElement dxfId="2" type="firstRowStripe"/>
      <tableStyleElement dxfId="3" type="secondRowStripe"/>
    </tableStyle>
    <tableStyle count="2" pivot="0" name="حسابات شهرية-style 6">
      <tableStyleElement dxfId="2" type="firstRowStripe"/>
      <tableStyleElement dxfId="3" type="secondRowStripe"/>
    </tableStyle>
    <tableStyle count="2" pivot="0" name="حسابات شهرية-style 7">
      <tableStyleElement dxfId="2" type="firstRowStripe"/>
      <tableStyleElement dxfId="3" type="secondRowStripe"/>
    </tableStyle>
    <tableStyle count="4" pivot="0" name="تحليل بيانات مارس-يوليو-style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تحليل بيانات مارس-يوليو-style 2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تحليل بيانات مارس-يوليو-style 3">
      <tableStyleElement dxfId="10" type="headerRow"/>
      <tableStyleElement dxfId="2" type="firstRowStripe"/>
      <tableStyleElement dxfId="3" type="secondRowStripe"/>
      <tableStyleElement dxfId="4" size="0" type="wholeTable"/>
    </tableStyle>
    <tableStyle count="4" pivot="0" name="تحليل بيانات مارس-يوليو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تحليل بيانات مارس-يوليو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أعلى 10 منتجات من حيث المبيعات والإيرادات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'تحليل بيانات مارس-يوليو'!$B$17</c:f>
            </c:strRef>
          </c:tx>
          <c:spPr>
            <a:solidFill>
              <a:srgbClr val="FF7F0E"/>
            </a:solidFill>
            <a:ln cmpd="sng">
              <a:noFill/>
            </a:ln>
          </c:spPr>
          <c:cat>
            <c:strRef>
              <c:f>'تحليل بيانات مارس-يوليو'!$A$18:$A$27</c:f>
            </c:strRef>
          </c:cat>
          <c:val>
            <c:numRef>
              <c:f>'تحليل بيانات مارس-يوليو'!$B$18:$B$27</c:f>
              <c:numCache/>
            </c:numRef>
          </c:val>
        </c:ser>
        <c:axId val="1994927441"/>
        <c:axId val="1912152718"/>
      </c:barChart>
      <c:catAx>
        <c:axId val="19949274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المنتج / الأوردر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152718"/>
      </c:catAx>
      <c:valAx>
        <c:axId val="19121527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إجمالي المبيعات (جنيه)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9274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أعلى 10 مناطق من حيث الإيرادات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'تحليل بيانات مارس-يوليو'!$G$17:$G$18</c:f>
            </c:strRef>
          </c:tx>
          <c:spPr>
            <a:solidFill>
              <a:srgbClr val="2CA02C"/>
            </a:solidFill>
            <a:ln cmpd="sng">
              <a:noFill/>
            </a:ln>
          </c:spPr>
          <c:cat>
            <c:strRef>
              <c:f>'تحليل بيانات مارس-يوليو'!$F$19:$F$27</c:f>
            </c:strRef>
          </c:cat>
          <c:val>
            <c:numRef>
              <c:f>'تحليل بيانات مارس-يوليو'!$G$19:$G$27</c:f>
              <c:numCache/>
            </c:numRef>
          </c:val>
        </c:ser>
        <c:axId val="765070545"/>
        <c:axId val="158590154"/>
      </c:barChart>
      <c:catAx>
        <c:axId val="7650705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المنطقة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90154"/>
      </c:catAx>
      <c:valAx>
        <c:axId val="158590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إجمالي الإيرادات (جنيه)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07054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أعلى 10 محافظات من حيث الإيرادات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'تحليل بيانات مارس-يوليو'!$L$17</c:f>
            </c:strRef>
          </c:tx>
          <c:spPr>
            <a:solidFill>
              <a:srgbClr val="1F77B4"/>
            </a:solidFill>
            <a:ln cmpd="sng">
              <a:noFill/>
            </a:ln>
          </c:spPr>
          <c:cat>
            <c:strRef>
              <c:f>'تحليل بيانات مارس-يوليو'!$K$18:$K$27</c:f>
            </c:strRef>
          </c:cat>
          <c:val>
            <c:numRef>
              <c:f>'تحليل بيانات مارس-يوليو'!$L$18:$L$27</c:f>
              <c:numCache/>
            </c:numRef>
          </c:val>
        </c:ser>
        <c:axId val="1368658013"/>
        <c:axId val="1568448375"/>
      </c:barChart>
      <c:catAx>
        <c:axId val="13686580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المحافظة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448375"/>
      </c:catAx>
      <c:valAx>
        <c:axId val="15684483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إجمالي الإيرادات (جنيه)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6580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المبيعات حسب المنتج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'تحليل بيانات مارس-يوليو'!$Q$17:$Q$50</c:f>
            </c:strRef>
          </c:cat>
          <c:val>
            <c:numRef>
              <c:f>'تحليل بيانات مارس-يوليو'!$R$17:$R$50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المبيعات وعدد الطلبات حسب المحافظة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'تحليل بيانات مارس-يوليو'!$W$17:$W$145</c:f>
            </c:strRef>
          </c:cat>
          <c:val>
            <c:numRef>
              <c:f>'تحليل بيانات مارس-يوليو'!$X$17:$X$145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'تحليل بيانات مارس-يوليو'!$W$17:$W$145</c:f>
            </c:strRef>
          </c:cat>
          <c:val>
            <c:numRef>
              <c:f>'تحليل بيانات مارس-يوليو'!$Y$17:$Y$145</c:f>
              <c:numCache/>
            </c:numRef>
          </c:val>
        </c:ser>
        <c:axId val="747037145"/>
        <c:axId val="2123700220"/>
      </c:barChart>
      <c:catAx>
        <c:axId val="747037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700220"/>
      </c:catAx>
      <c:valAx>
        <c:axId val="2123700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037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توزيع طرق الدفع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'Financial Dashboard'!$J$7:$J$10</c:f>
            </c:strRef>
          </c:cat>
          <c:val>
            <c:numRef>
              <c:f>'Financial Dashboard'!$K$7:$K$10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تفاصيل المصروفات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'Financial Dashboard'!$J$14:$J$17</c:f>
            </c:strRef>
          </c:cat>
          <c:val>
            <c:numRef>
              <c:f>'Financial Dashboard'!$K$14:$K$17</c:f>
              <c:numCache/>
            </c:numRef>
          </c:val>
        </c:ser>
        <c:axId val="452595692"/>
        <c:axId val="165325724"/>
      </c:barChart>
      <c:catAx>
        <c:axId val="452595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25724"/>
      </c:catAx>
      <c:valAx>
        <c:axId val="165325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595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image" Target="../media/Chart7.png"/><Relationship Id="rId3" Type="http://schemas.openxmlformats.org/officeDocument/2006/relationships/image" Target="../media/Chart8.png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1200150</xdr:colOff>
      <xdr:row>0</xdr:row>
      <xdr:rowOff>19050</xdr:rowOff>
    </xdr:from>
    <xdr:ext cx="4762500" cy="2857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1057275</xdr:colOff>
      <xdr:row>0</xdr:row>
      <xdr:rowOff>19050</xdr:rowOff>
    </xdr:from>
    <xdr:ext cx="4762500" cy="2857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247650</xdr:colOff>
      <xdr:row>0</xdr:row>
      <xdr:rowOff>0</xdr:rowOff>
    </xdr:from>
    <xdr:ext cx="5715000" cy="2876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21</xdr:col>
      <xdr:colOff>276225</xdr:colOff>
      <xdr:row>0</xdr:row>
      <xdr:rowOff>19050</xdr:rowOff>
    </xdr:from>
    <xdr:ext cx="6448425" cy="2876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0</xdr:rowOff>
    </xdr:from>
    <xdr:ext cx="2286000" cy="800100"/>
    <xdr:pic>
      <xdr:nvPicPr>
        <xdr:cNvPr id="2020791013" name="Chart6" title="إجمالي المبيعات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286000" cy="800100"/>
    <xdr:pic>
      <xdr:nvPicPr>
        <xdr:cNvPr id="1286367032" name="Chart7" title="إجمالي المحصل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2286000" cy="800100"/>
    <xdr:pic>
      <xdr:nvPicPr>
        <xdr:cNvPr id="646922513" name="Chart8" title="إجمالي المتبقي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3429000" cy="2200275"/>
    <xdr:graphicFrame>
      <xdr:nvGraphicFramePr>
        <xdr:cNvPr id="9" name="Chart 9" title="توزيع طرق الدفع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0</xdr:colOff>
      <xdr:row>9</xdr:row>
      <xdr:rowOff>0</xdr:rowOff>
    </xdr:from>
    <xdr:ext cx="4572000" cy="2200275"/>
    <xdr:graphicFrame>
      <xdr:nvGraphicFramePr>
        <xdr:cNvPr id="10" name="Chart 10" title="تفاصيل المصروفات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750" displayName="Table1" name="Table1" id="3">
  <autoFilter ref="$A$1:$X$750"/>
  <tableColumns count="24">
    <tableColumn name="Client Name" id="1"/>
    <tableColumn name="Date" id="2"/>
    <tableColumn name="Number" id="3"/>
    <tableColumn name="المحافطة" id="4"/>
    <tableColumn name="المنطقة" id="5"/>
    <tableColumn name="Social" id="6"/>
    <tableColumn name="Order Details" id="7"/>
    <tableColumn name="Quantity" id="8"/>
    <tableColumn name="Price" id="9"/>
    <tableColumn name="Discount" id="10"/>
    <tableColumn name="Total" id="11"/>
    <tableColumn name="Deposit" id="12"/>
    <tableColumn name="Deposit Method" id="13"/>
    <tableColumn name="The Rest" id="14"/>
    <tableColumn name="Done" id="15"/>
    <tableColumn name="Processed" id="16"/>
    <tableColumn name="Payed" id="17"/>
    <tableColumn name="Payment Method" id="18"/>
    <tableColumn name="Balance" id="19"/>
    <tableColumn name="Delivery" id="20"/>
    <tableColumn name="Delivery By" id="21"/>
    <tableColumn name="Column 22" id="22"/>
    <tableColumn name="Column 23" id="23"/>
    <tableColumn name="Column 24" id="24"/>
  </tableColumns>
  <tableStyleInfo name="Orders-style" showColumnStripes="0" showFirstColumn="1" showLastColumn="1" showRowStripes="1"/>
</table>
</file>

<file path=xl/tables/table2.xml><?xml version="1.0" encoding="utf-8"?>
<table xmlns="http://schemas.openxmlformats.org/spreadsheetml/2006/main" ref="A1:F414" displayName="جدول_1" name="جدول_1" id="2">
  <tableColumns count="6">
    <tableColumn name="العمود 1" id="1"/>
    <tableColumn name="Phone" id="2"/>
    <tableColumn name="المحافظة" id="3"/>
    <tableColumn name="المنطقة" id="4"/>
    <tableColumn name="العنوان بالتفصيل" id="5"/>
    <tableColumn name="اسم الكنيسة" id="6"/>
  </tableColumns>
  <tableStyleInfo name="Clients-style" showColumnStripes="0" showFirstColumn="1" showLastColumn="1" showRowStripes="1"/>
</table>
</file>

<file path=xl/tables/table3.xml><?xml version="1.0" encoding="utf-8"?>
<table xmlns="http://schemas.openxmlformats.org/spreadsheetml/2006/main" ref="A1:I59" displayName="Table1_2" name="Table1_2" id="1">
  <tableColumns count="9">
    <tableColumn name="ProductName" id="1"/>
    <tableColumn name="Type" id="2"/>
    <tableColumn name="شراء" id="3"/>
    <tableColumn name="بيع" id="4"/>
    <tableColumn name="كوست" id="5"/>
    <tableColumn name="ربح" id="6"/>
    <tableColumn name="الاوردرات" id="7"/>
    <tableColumn name="الوارد" id="8"/>
    <tableColumn name="المخزن" id="9"/>
  </tableColumns>
  <tableStyleInfo name="Products-style" showColumnStripes="0" showFirstColumn="1" showLastColumn="1" showRowStripes="1"/>
</table>
</file>

<file path=xl/tables/table4.xml><?xml version="1.0" encoding="utf-8"?>
<table xmlns="http://schemas.openxmlformats.org/spreadsheetml/2006/main" headerRowCount="0" ref="I62:M77" displayName="Table_1" name="Table_1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-style" showColumnStripes="0" showFirstColumn="1" showLastColumn="1" showRowStripes="1"/>
</table>
</file>

<file path=xl/tables/table5.xml><?xml version="1.0" encoding="utf-8"?>
<table xmlns="http://schemas.openxmlformats.org/spreadsheetml/2006/main" headerRowCount="0" ref="N62:Q77" displayName="Table_2" name="Table_2" id="5">
  <tableColumns count="4">
    <tableColumn name="Column1" id="1"/>
    <tableColumn name="Column2" id="2"/>
    <tableColumn name="Column3" id="3"/>
    <tableColumn name="Column4" id="4"/>
  </tableColumns>
  <tableStyleInfo name="Stock-style 2" showColumnStripes="0" showFirstColumn="1" showLastColumn="1" showRowStripes="1"/>
</table>
</file>

<file path=xl/tables/table6.xml><?xml version="1.0" encoding="utf-8"?>
<table xmlns="http://schemas.openxmlformats.org/spreadsheetml/2006/main" headerRowCount="0" ref="A84" displayName="Table_3" name="Table_3" id="6">
  <tableColumns count="1">
    <tableColumn name="Column1" id="1"/>
  </tableColumns>
  <tableStyleInfo name="Stock-style 3" showColumnStripes="0" showFirstColumn="1" showLastColumn="1" showRowStripes="1"/>
</table>
</file>

<file path=xl/tables/table7.xml><?xml version="1.0" encoding="utf-8"?>
<table xmlns="http://schemas.openxmlformats.org/spreadsheetml/2006/main" headerRowCount="0" ref="I120:M134" displayName="Table_4" name="Table_4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-style 4" showColumnStripes="0" showFirstColumn="1" showLastColumn="1" showRowStripes="1"/>
</table>
</file>

<file path=xl/tables/table8.xml><?xml version="1.0" encoding="utf-8"?>
<table xmlns="http://schemas.openxmlformats.org/spreadsheetml/2006/main" headerRowCount="0" ref="N120:Q134" displayName="Table_5" name="Table_5" id="8">
  <tableColumns count="4">
    <tableColumn name="Column1" id="1"/>
    <tableColumn name="Column2" id="2"/>
    <tableColumn name="Column3" id="3"/>
    <tableColumn name="Column4" id="4"/>
  </tableColumns>
  <tableStyleInfo name="Stock-style 5" showColumnStripes="0" showFirstColumn="1" showLastColumn="1" showRowStripes="1"/>
</table>
</file>

<file path=xl/tables/table9.xml><?xml version="1.0" encoding="utf-8"?>
<table xmlns="http://schemas.openxmlformats.org/spreadsheetml/2006/main" headerRowCount="0" ref="I147:M161" displayName="Table_6" name="Table_6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-style 6" showColumnStripes="0" showFirstColumn="1" showLastColumn="1" showRowStripes="1"/>
</table>
</file>

<file path=xl/tables/table10.xml><?xml version="1.0" encoding="utf-8"?>
<table xmlns="http://schemas.openxmlformats.org/spreadsheetml/2006/main" headerRowCount="0" ref="N147:Q161" displayName="Table_7" name="Table_7" id="10">
  <tableColumns count="4">
    <tableColumn name="Column1" id="1"/>
    <tableColumn name="Column2" id="2"/>
    <tableColumn name="Column3" id="3"/>
    <tableColumn name="Column4" id="4"/>
  </tableColumns>
  <tableStyleInfo name="Stock-style 7" showColumnStripes="0" showFirstColumn="1" showLastColumn="1" showRowStripes="1"/>
</table>
</file>

<file path=xl/tables/table11.xml><?xml version="1.0" encoding="utf-8"?>
<table xmlns="http://schemas.openxmlformats.org/spreadsheetml/2006/main" headerRowCount="0" ref="I174:M188" displayName="Table_8" name="Table_8" id="11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-style 8" showColumnStripes="0" showFirstColumn="1" showLastColumn="1" showRowStripes="1"/>
</table>
</file>

<file path=xl/tables/table12.xml><?xml version="1.0" encoding="utf-8"?>
<table xmlns="http://schemas.openxmlformats.org/spreadsheetml/2006/main" headerRowCount="0" ref="N174:R188" displayName="Table_9" name="Table_9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-style 9" showColumnStripes="0" showFirstColumn="1" showLastColumn="1" showRowStripes="1"/>
</table>
</file>

<file path=xl/tables/table13.xml><?xml version="1.0" encoding="utf-8"?>
<table xmlns="http://schemas.openxmlformats.org/spreadsheetml/2006/main" headerRowCount="0" ref="I201:M215" displayName="Table_10" name="Table_10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Stock-style 10" showColumnStripes="0" showFirstColumn="1" showLastColumn="1" showRowStripes="1"/>
</table>
</file>

<file path=xl/tables/table14.xml><?xml version="1.0" encoding="utf-8"?>
<table xmlns="http://schemas.openxmlformats.org/spreadsheetml/2006/main" headerRowCount="0" ref="N201:Q215" displayName="Table_11" name="Table_11" id="14">
  <tableColumns count="4">
    <tableColumn name="Column1" id="1"/>
    <tableColumn name="Column2" id="2"/>
    <tableColumn name="Column3" id="3"/>
    <tableColumn name="Column4" id="4"/>
  </tableColumns>
  <tableStyleInfo name="Stock-style 11" showColumnStripes="0" showFirstColumn="1" showLastColumn="1" showRowStripes="1"/>
</table>
</file>

<file path=xl/tables/table15.xml><?xml version="1.0" encoding="utf-8"?>
<table xmlns="http://schemas.openxmlformats.org/spreadsheetml/2006/main" totalsRowCount="1" ref="A4:F10" displayName="جدول_2" name="جدول_2" id="15">
  <tableColumns count="6">
    <tableColumn totalsRowLabel="الإجمالي العام" name="الشهر" id="1"/>
    <tableColumn totalsRowFunction="custom" name="المبيعات" id="2"/>
    <tableColumn totalsRowFunction="custom" name="الخصومات" id="3"/>
    <tableColumn totalsRowFunction="custom" name="تكلفة المنتجات" id="4"/>
    <tableColumn totalsRowFunction="custom" name="المصاريف الإدارية" id="5"/>
    <tableColumn totalsRowFunction="custom" name="صافي الربح" id="6"/>
  </tableColumns>
  <tableStyleInfo name="حسابات شهرية-style" showColumnStripes="0" showFirstColumn="1" showLastColumn="1" showRowStripes="1"/>
</table>
</file>

<file path=xl/tables/table16.xml><?xml version="1.0" encoding="utf-8"?>
<table xmlns="http://schemas.openxmlformats.org/spreadsheetml/2006/main" totalsRowCount="1" ref="H4:M10" displayName="جدول_3" name="جدول_3" id="16">
  <tableColumns count="6">
    <tableColumn totalsRowLabel="الإجمالي العام" name="الشهر" id="1"/>
    <tableColumn totalsRowFunction="custom" name="براند الورش" id="2"/>
    <tableColumn totalsRowFunction="custom" name="الورشة" id="3"/>
    <tableColumn totalsRowFunction="custom" name="إدارية عامة" id="4"/>
    <tableColumn totalsRowFunction="custom" name="براند مارينا" id="5"/>
    <tableColumn totalsRowFunction="custom" name="الإجمالي" id="6"/>
  </tableColumns>
  <tableStyleInfo name="حسابات شهرية-style 2" showColumnStripes="0" showFirstColumn="1" showLastColumn="1" showRowStripes="1"/>
</table>
</file>

<file path=xl/tables/table17.xml><?xml version="1.0" encoding="utf-8"?>
<table xmlns="http://schemas.openxmlformats.org/spreadsheetml/2006/main" ref="A15:G19" displayName="جدول_4" name="جدول_4" id="17">
  <tableColumns count="7">
    <tableColumn name="الشهر" id="1"/>
    <tableColumn name="المبيعات" id="2"/>
    <tableColumn name="براند الورش" id="3"/>
    <tableColumn name="إدارية عامة" id="4"/>
    <tableColumn name="صافي الربح" id="5"/>
    <tableColumn name="حساب الورشة" id="6"/>
    <tableColumn name="صافي الربح بدون مصاريف الورشة" id="7"/>
  </tableColumns>
  <tableStyleInfo name="حسابات شهرية-style 3" showColumnStripes="0" showFirstColumn="1" showLastColumn="1" showRowStripes="1"/>
</table>
</file>

<file path=xl/tables/table18.xml><?xml version="1.0" encoding="utf-8"?>
<table xmlns="http://schemas.openxmlformats.org/spreadsheetml/2006/main" ref="B24:J34" displayName="جدول_5" name="جدول_5" id="18">
  <tableColumns count="9">
    <tableColumn name="الشهر" id="1"/>
    <tableColumn name="المبيعات" id="2"/>
    <tableColumn name="الخصومات" id="3"/>
    <tableColumn name="تكلفة المنتجات" id="4"/>
    <tableColumn name="إدارية عامة" id="5"/>
    <tableColumn name="براند النوتات" id="6"/>
    <tableColumn name="صافي الربح بدون_x000a_ مصاريف الورشة" id="7"/>
    <tableColumn name="حساب الورشة_x000a_(كبارواطفال)" id="8"/>
    <tableColumn name="صافي الربح" id="9"/>
  </tableColumns>
  <tableStyleInfo name="حسابات شهرية-style 4" showColumnStripes="0" showFirstColumn="1" showLastColumn="1" showRowStripes="1"/>
</table>
</file>

<file path=xl/tables/table19.xml><?xml version="1.0" encoding="utf-8"?>
<table xmlns="http://schemas.openxmlformats.org/spreadsheetml/2006/main" headerRowCount="0" ref="B41:D51" displayName="Table_12" name="Table_12" id="19">
  <tableColumns count="3">
    <tableColumn name="Column1" id="1"/>
    <tableColumn name="Column2" id="2"/>
    <tableColumn name="Column3" id="3"/>
  </tableColumns>
  <tableStyleInfo name="حسابات شهرية-style 5" showColumnStripes="0" showFirstColumn="1" showLastColumn="1" showRowStripes="1"/>
</table>
</file>

<file path=xl/tables/table20.xml><?xml version="1.0" encoding="utf-8"?>
<table xmlns="http://schemas.openxmlformats.org/spreadsheetml/2006/main" headerRowCount="0" ref="G41:K44" displayName="Table_13" name="Table_13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حسابات شهرية-style 6" showColumnStripes="0" showFirstColumn="1" showLastColumn="1" showRowStripes="1"/>
</table>
</file>

<file path=xl/tables/table21.xml><?xml version="1.0" encoding="utf-8"?>
<table xmlns="http://schemas.openxmlformats.org/spreadsheetml/2006/main" headerRowCount="0" ref="H45:K46" displayName="Table_14" name="Table_14" id="21">
  <tableColumns count="4">
    <tableColumn name="Column1" id="1"/>
    <tableColumn name="Column2" id="2"/>
    <tableColumn name="Column3" id="3"/>
    <tableColumn name="Column4" id="4"/>
  </tableColumns>
  <tableStyleInfo name="حسابات شهرية-style 7" showColumnStripes="0" showFirstColumn="1" showLastColumn="1" showRowStripes="1"/>
</table>
</file>

<file path=xl/tables/table22.xml><?xml version="1.0" encoding="utf-8"?>
<table xmlns="http://schemas.openxmlformats.org/spreadsheetml/2006/main" ref="A17:B27" displayName="أعلى_10_منتجات_من_حيث_المبيعات_والإيرادات" name="أعلى_10_منتجات_من_حيث_المبيعات_والإيرادات" id="22">
  <autoFilter ref="$A$17:$B$27"/>
  <tableColumns count="2">
    <tableColumn name="Order Details" id="1"/>
    <tableColumn name="Total_Revenue" id="2"/>
  </tableColumns>
  <tableStyleInfo name="تحليل بيانات مارس-يوليو-style" showColumnStripes="0" showFirstColumn="1" showLastColumn="1" showRowStripes="1"/>
</table>
</file>

<file path=xl/tables/table23.xml><?xml version="1.0" encoding="utf-8"?>
<table xmlns="http://schemas.openxmlformats.org/spreadsheetml/2006/main" ref="F17:G27" displayName="أعلى_10_مناطق_من_حيث_الإيرادات" name="أعلى_10_مناطق_من_حيث_الإيرادات" id="23">
  <tableColumns count="2">
    <tableColumn name="المنطقة_cleaned" id="1"/>
    <tableColumn name="Total_Revenue" id="2"/>
  </tableColumns>
  <tableStyleInfo name="تحليل بيانات مارس-يوليو-style 2" showColumnStripes="0" showFirstColumn="1" showLastColumn="1" showRowStripes="1"/>
</table>
</file>

<file path=xl/tables/table24.xml><?xml version="1.0" encoding="utf-8"?>
<table xmlns="http://schemas.openxmlformats.org/spreadsheetml/2006/main" ref="K17:L27" displayName="أعلى_10_محافظات_من_حيث_الإيرادات" name="أعلى_10_محافظات_من_حيث_الإيرادات" id="24">
  <tableColumns count="2">
    <tableColumn name="المحافطة_cleaned" id="1"/>
    <tableColumn name="Total_Revenue" id="2"/>
  </tableColumns>
  <tableStyleInfo name="تحليل بيانات مارس-يوليو-style 3" showColumnStripes="0" showFirstColumn="1" showLastColumn="1" showRowStripes="1"/>
</table>
</file>

<file path=xl/tables/table25.xml><?xml version="1.0" encoding="utf-8"?>
<table xmlns="http://schemas.openxmlformats.org/spreadsheetml/2006/main" ref="Q17:R51" displayName="جدول_7" name="جدول_7" id="25">
  <tableColumns count="2">
    <tableColumn name="المنتج" id="1"/>
    <tableColumn name="المبيعات" id="2"/>
  </tableColumns>
  <tableStyleInfo name="تحليل بيانات مارس-يوليو-style 4" showColumnStripes="0" showFirstColumn="1" showLastColumn="1" showRowStripes="1"/>
</table>
</file>

<file path=xl/tables/table26.xml><?xml version="1.0" encoding="utf-8"?>
<table xmlns="http://schemas.openxmlformats.org/spreadsheetml/2006/main" ref="W17:Y145" displayName="جدول_6" name="جدول_6" id="26">
  <tableColumns count="3">
    <tableColumn name="المحافظة" id="1"/>
    <tableColumn name="عدد الطلبات" id="2"/>
    <tableColumn name="إجمالي المبيعات" id="3"/>
  </tableColumns>
  <tableStyleInfo name="تحليل بيانات مارس-يوليو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11.xml"/><Relationship Id="rId22" Type="http://schemas.openxmlformats.org/officeDocument/2006/relationships/table" Target="../tables/table13.xml"/><Relationship Id="rId21" Type="http://schemas.openxmlformats.org/officeDocument/2006/relationships/table" Target="../tables/table12.xml"/><Relationship Id="rId13" Type="http://schemas.openxmlformats.org/officeDocument/2006/relationships/table" Target="../tables/table4.xml"/><Relationship Id="rId23" Type="http://schemas.openxmlformats.org/officeDocument/2006/relationships/table" Target="../tables/table14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Relationship Id="rId19" Type="http://schemas.openxmlformats.org/officeDocument/2006/relationships/table" Target="../tables/table10.xml"/><Relationship Id="rId18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7.xml"/><Relationship Id="rId10" Type="http://schemas.openxmlformats.org/officeDocument/2006/relationships/table" Target="../tables/table16.xml"/><Relationship Id="rId13" Type="http://schemas.openxmlformats.org/officeDocument/2006/relationships/table" Target="../tables/table19.xml"/><Relationship Id="rId12" Type="http://schemas.openxmlformats.org/officeDocument/2006/relationships/table" Target="../tables/table18.xml"/><Relationship Id="rId9" Type="http://schemas.openxmlformats.org/officeDocument/2006/relationships/table" Target="../tables/table15.xml"/><Relationship Id="rId15" Type="http://schemas.openxmlformats.org/officeDocument/2006/relationships/table" Target="../tables/table21.xml"/><Relationship Id="rId14" Type="http://schemas.openxmlformats.org/officeDocument/2006/relationships/table" Target="../tables/table2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26.xml"/><Relationship Id="rId10" Type="http://schemas.openxmlformats.org/officeDocument/2006/relationships/table" Target="../tables/table25.xml"/><Relationship Id="rId9" Type="http://schemas.openxmlformats.org/officeDocument/2006/relationships/table" Target="../tables/table24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0"/>
    <col customWidth="1" min="2" max="2" width="14.63"/>
    <col customWidth="1" min="3" max="3" width="18.13"/>
    <col customWidth="1" min="4" max="4" width="17.75"/>
    <col customWidth="1" min="5" max="5" width="18.13"/>
    <col customWidth="1" min="6" max="6" width="14.25"/>
    <col customWidth="1" min="7" max="7" width="24.13"/>
    <col customWidth="1" min="8" max="8" width="13.13"/>
    <col customWidth="1" min="9" max="9" width="10.13"/>
    <col customWidth="1" min="10" max="10" width="13.5"/>
    <col customWidth="1" min="11" max="11" width="10.0"/>
    <col customWidth="1" min="12" max="12" width="12.38"/>
    <col customWidth="1" min="13" max="13" width="23.0"/>
    <col customWidth="1" min="14" max="14" width="13.5"/>
    <col customWidth="1" min="15" max="15" width="13.38"/>
    <col customWidth="1" min="16" max="16" width="18.25"/>
    <col customWidth="1" min="17" max="17" width="11.0"/>
    <col customWidth="1" min="18" max="18" width="24.13"/>
    <col customWidth="1" min="19" max="19" width="12.75"/>
    <col customWidth="1" min="20" max="20" width="16.0"/>
    <col customWidth="1" min="21" max="21" width="18.75"/>
    <col customWidth="1" min="22" max="24" width="15.25"/>
  </cols>
  <sheetData>
    <row r="1" ht="22.5" customHeight="1">
      <c r="A1" s="19" t="s">
        <v>14</v>
      </c>
      <c r="B1" s="19" t="s">
        <v>19</v>
      </c>
      <c r="C1" s="22" t="s">
        <v>20</v>
      </c>
      <c r="D1" s="19" t="s">
        <v>21</v>
      </c>
      <c r="E1" s="22" t="s">
        <v>23</v>
      </c>
      <c r="F1" s="22" t="s">
        <v>25</v>
      </c>
      <c r="G1" s="22" t="s">
        <v>26</v>
      </c>
      <c r="H1" s="19" t="s">
        <v>28</v>
      </c>
      <c r="I1" s="22" t="s">
        <v>30</v>
      </c>
      <c r="J1" s="26" t="s">
        <v>31</v>
      </c>
      <c r="K1" s="19" t="s">
        <v>32</v>
      </c>
      <c r="L1" s="19" t="s">
        <v>34</v>
      </c>
      <c r="M1" s="19" t="s">
        <v>35</v>
      </c>
      <c r="N1" s="19" t="s">
        <v>36</v>
      </c>
      <c r="O1" s="22" t="s">
        <v>38</v>
      </c>
      <c r="P1" s="19" t="s">
        <v>39</v>
      </c>
      <c r="Q1" s="19" t="s">
        <v>40</v>
      </c>
      <c r="R1" s="19" t="s">
        <v>42</v>
      </c>
      <c r="S1" s="22" t="s">
        <v>43</v>
      </c>
      <c r="T1" s="19" t="s">
        <v>44</v>
      </c>
      <c r="U1" s="19" t="s">
        <v>45</v>
      </c>
      <c r="V1" s="19" t="s">
        <v>46</v>
      </c>
      <c r="W1" s="19" t="s">
        <v>47</v>
      </c>
      <c r="X1" s="19" t="s">
        <v>48</v>
      </c>
    </row>
    <row r="2" ht="24.0" customHeight="1">
      <c r="A2" s="27" t="s">
        <v>49</v>
      </c>
      <c r="B2" s="29">
        <v>46096.0</v>
      </c>
      <c r="C2" s="32"/>
      <c r="D2" s="37" t="s">
        <v>53</v>
      </c>
      <c r="E2" s="37" t="s">
        <v>57</v>
      </c>
      <c r="F2" s="42" t="s">
        <v>59</v>
      </c>
      <c r="G2" s="44" t="s">
        <v>63</v>
      </c>
      <c r="H2" s="46">
        <v>1.0</v>
      </c>
      <c r="I2" s="49">
        <f>IF(G2="", "", IFERROR(VLOOKUP(G2, Products!A:F, 4, FALSE), ""))
</f>
        <v>850</v>
      </c>
      <c r="J2" s="51">
        <v>100.0</v>
      </c>
      <c r="K2" s="54">
        <f t="shared" ref="K2:K23" si="1">(H2*I2)-J2</f>
        <v>750</v>
      </c>
      <c r="L2" s="55">
        <v>750.0</v>
      </c>
      <c r="M2" s="42" t="s">
        <v>73</v>
      </c>
      <c r="N2" s="46">
        <f t="shared" ref="N2:N555" si="2">K2-L2</f>
        <v>0</v>
      </c>
      <c r="O2" s="59" t="b">
        <v>1</v>
      </c>
      <c r="P2" s="59" t="b">
        <v>1</v>
      </c>
      <c r="Q2" s="60"/>
      <c r="R2" s="63"/>
      <c r="S2" s="65">
        <f>N2-Q2</f>
        <v>0</v>
      </c>
      <c r="T2" s="59" t="b">
        <v>1</v>
      </c>
      <c r="U2" s="63"/>
      <c r="V2" s="66" t="b">
        <v>0</v>
      </c>
      <c r="W2" s="66" t="b">
        <v>0</v>
      </c>
      <c r="X2" s="66" t="b">
        <v>0</v>
      </c>
    </row>
    <row r="3" ht="24.0" customHeight="1">
      <c r="A3" s="44" t="s">
        <v>97</v>
      </c>
      <c r="B3" s="29">
        <v>46097.0</v>
      </c>
      <c r="C3" s="32"/>
      <c r="D3" s="37" t="s">
        <v>93</v>
      </c>
      <c r="E3" s="37" t="s">
        <v>102</v>
      </c>
      <c r="F3" s="63"/>
      <c r="G3" s="44" t="s">
        <v>104</v>
      </c>
      <c r="H3" s="46">
        <v>3.0</v>
      </c>
      <c r="I3" s="49">
        <f>IF(G3="", "", IFERROR(VLOOKUP(G3, Products!A:F, 4, FALSE), ""))
</f>
        <v>80</v>
      </c>
      <c r="J3" s="49">
        <v>0.0</v>
      </c>
      <c r="K3" s="54">
        <f t="shared" si="1"/>
        <v>240</v>
      </c>
      <c r="L3" s="55">
        <v>120.0</v>
      </c>
      <c r="M3" s="42" t="s">
        <v>110</v>
      </c>
      <c r="N3" s="46">
        <f t="shared" si="2"/>
        <v>120</v>
      </c>
      <c r="O3" s="59" t="b">
        <v>1</v>
      </c>
      <c r="P3" s="59" t="b">
        <v>1</v>
      </c>
      <c r="Q3" s="55">
        <v>200.0</v>
      </c>
      <c r="R3" s="63" t="s">
        <v>115</v>
      </c>
      <c r="S3" s="46">
        <v>0.0</v>
      </c>
      <c r="T3" s="71" t="b">
        <v>1</v>
      </c>
      <c r="U3" s="74" t="s">
        <v>116</v>
      </c>
      <c r="V3" s="75" t="b">
        <v>0</v>
      </c>
      <c r="W3" s="75" t="b">
        <v>0</v>
      </c>
      <c r="X3" s="75" t="b">
        <v>0</v>
      </c>
    </row>
    <row r="4" ht="24.0" customHeight="1">
      <c r="A4" s="44" t="s">
        <v>97</v>
      </c>
      <c r="B4" s="29">
        <v>46097.0</v>
      </c>
      <c r="C4" s="32"/>
      <c r="D4" s="37" t="s">
        <v>93</v>
      </c>
      <c r="E4" s="37" t="s">
        <v>102</v>
      </c>
      <c r="F4" s="63"/>
      <c r="G4" s="76" t="s">
        <v>122</v>
      </c>
      <c r="H4" s="46">
        <v>1.0</v>
      </c>
      <c r="I4" s="49">
        <f>IF(G4="", "", IFERROR(VLOOKUP(G4, Products!A:F, 4, FALSE), ""))
</f>
        <v>80</v>
      </c>
      <c r="J4" s="49">
        <v>0.0</v>
      </c>
      <c r="K4" s="54">
        <f t="shared" si="1"/>
        <v>80</v>
      </c>
      <c r="L4" s="60"/>
      <c r="M4" s="42"/>
      <c r="N4" s="46">
        <f t="shared" si="2"/>
        <v>80</v>
      </c>
      <c r="O4" s="59" t="b">
        <v>1</v>
      </c>
      <c r="P4" s="59" t="b">
        <v>1</v>
      </c>
      <c r="Q4" s="55">
        <v>80.0</v>
      </c>
      <c r="R4" s="63" t="s">
        <v>115</v>
      </c>
      <c r="S4" s="46">
        <v>0.0</v>
      </c>
      <c r="T4" s="71" t="b">
        <v>1</v>
      </c>
      <c r="U4" s="74" t="s">
        <v>116</v>
      </c>
      <c r="V4" s="75" t="b">
        <v>0</v>
      </c>
      <c r="W4" s="75" t="b">
        <v>0</v>
      </c>
      <c r="X4" s="75" t="b">
        <v>0</v>
      </c>
    </row>
    <row r="5" ht="24.0" customHeight="1">
      <c r="A5" s="44" t="s">
        <v>97</v>
      </c>
      <c r="B5" s="29">
        <v>46097.0</v>
      </c>
      <c r="C5" s="32"/>
      <c r="D5" s="37" t="s">
        <v>93</v>
      </c>
      <c r="E5" s="37" t="s">
        <v>102</v>
      </c>
      <c r="F5" s="63"/>
      <c r="G5" s="27" t="s">
        <v>72</v>
      </c>
      <c r="H5" s="46">
        <v>6.0</v>
      </c>
      <c r="I5" s="49">
        <f>IF(G5="", "", IFERROR(VLOOKUP(G5, Products!A:F, 4, FALSE), ""))
</f>
        <v>23</v>
      </c>
      <c r="J5" s="49">
        <v>0.0</v>
      </c>
      <c r="K5" s="54">
        <f t="shared" si="1"/>
        <v>138</v>
      </c>
      <c r="L5" s="60"/>
      <c r="M5" s="42"/>
      <c r="N5" s="46">
        <f t="shared" si="2"/>
        <v>138</v>
      </c>
      <c r="O5" s="59" t="b">
        <v>1</v>
      </c>
      <c r="P5" s="59" t="b">
        <v>1</v>
      </c>
      <c r="Q5" s="55">
        <v>140.0</v>
      </c>
      <c r="R5" s="42" t="s">
        <v>115</v>
      </c>
      <c r="S5" s="46">
        <v>0.0</v>
      </c>
      <c r="T5" s="71" t="b">
        <v>1</v>
      </c>
      <c r="U5" s="74" t="s">
        <v>116</v>
      </c>
      <c r="V5" s="75" t="b">
        <v>0</v>
      </c>
      <c r="W5" s="75" t="b">
        <v>0</v>
      </c>
      <c r="X5" s="75" t="b">
        <v>0</v>
      </c>
    </row>
    <row r="6" ht="24.0" customHeight="1">
      <c r="A6" s="44" t="s">
        <v>107</v>
      </c>
      <c r="B6" s="29">
        <v>46097.0</v>
      </c>
      <c r="C6" s="32"/>
      <c r="D6" s="37" t="s">
        <v>109</v>
      </c>
      <c r="E6" s="37" t="s">
        <v>111</v>
      </c>
      <c r="F6" s="63"/>
      <c r="G6" s="44" t="s">
        <v>104</v>
      </c>
      <c r="H6" s="46">
        <v>3.0</v>
      </c>
      <c r="I6" s="49">
        <f>IF(G6="", "", IFERROR(VLOOKUP(G6, Products!A:F, 4, FALSE), ""))
</f>
        <v>80</v>
      </c>
      <c r="J6" s="49">
        <v>0.0</v>
      </c>
      <c r="K6" s="54">
        <f t="shared" si="1"/>
        <v>240</v>
      </c>
      <c r="L6" s="55">
        <v>120.0</v>
      </c>
      <c r="M6" s="42" t="s">
        <v>73</v>
      </c>
      <c r="N6" s="46">
        <f t="shared" si="2"/>
        <v>120</v>
      </c>
      <c r="O6" s="59" t="b">
        <v>1</v>
      </c>
      <c r="P6" s="59" t="b">
        <v>1</v>
      </c>
      <c r="Q6" s="60">
        <v>120.0</v>
      </c>
      <c r="R6" s="63" t="s">
        <v>115</v>
      </c>
      <c r="S6" s="65">
        <f t="shared" ref="S6:S49" si="3">N6-Q6</f>
        <v>0</v>
      </c>
      <c r="T6" s="71" t="b">
        <v>1</v>
      </c>
      <c r="U6" s="74" t="s">
        <v>116</v>
      </c>
      <c r="V6" s="75" t="b">
        <v>0</v>
      </c>
      <c r="W6" s="75" t="b">
        <v>0</v>
      </c>
      <c r="X6" s="75" t="b">
        <v>0</v>
      </c>
    </row>
    <row r="7" ht="24.0" customHeight="1">
      <c r="A7" s="27" t="s">
        <v>49</v>
      </c>
      <c r="B7" s="29">
        <v>46097.0</v>
      </c>
      <c r="C7" s="32"/>
      <c r="D7" s="37" t="s">
        <v>53</v>
      </c>
      <c r="E7" s="37" t="s">
        <v>57</v>
      </c>
      <c r="F7" s="42" t="s">
        <v>143</v>
      </c>
      <c r="G7" s="76" t="s">
        <v>122</v>
      </c>
      <c r="H7" s="46">
        <v>6.0</v>
      </c>
      <c r="I7" s="49">
        <f>IF(G7="", "", IFERROR(VLOOKUP(G7, Products!A:F, 4, FALSE), ""))
</f>
        <v>80</v>
      </c>
      <c r="J7" s="49">
        <v>0.0</v>
      </c>
      <c r="K7" s="54">
        <f t="shared" si="1"/>
        <v>480</v>
      </c>
      <c r="L7" s="55">
        <v>480.0</v>
      </c>
      <c r="M7" s="42" t="s">
        <v>73</v>
      </c>
      <c r="N7" s="46">
        <f t="shared" si="2"/>
        <v>0</v>
      </c>
      <c r="O7" s="59" t="b">
        <v>1</v>
      </c>
      <c r="P7" s="59" t="b">
        <v>1</v>
      </c>
      <c r="Q7" s="60"/>
      <c r="R7" s="63"/>
      <c r="S7" s="65">
        <f t="shared" si="3"/>
        <v>0</v>
      </c>
      <c r="T7" s="71" t="b">
        <v>1</v>
      </c>
      <c r="U7" s="63"/>
      <c r="V7" s="66" t="b">
        <v>0</v>
      </c>
      <c r="W7" s="66" t="b">
        <v>0</v>
      </c>
      <c r="X7" s="66" t="b">
        <v>0</v>
      </c>
    </row>
    <row r="8" ht="24.0" customHeight="1">
      <c r="A8" s="27" t="s">
        <v>49</v>
      </c>
      <c r="B8" s="29">
        <v>46097.0</v>
      </c>
      <c r="C8" s="32"/>
      <c r="D8" s="37" t="s">
        <v>53</v>
      </c>
      <c r="E8" s="37" t="s">
        <v>57</v>
      </c>
      <c r="F8" s="63"/>
      <c r="G8" s="44" t="s">
        <v>153</v>
      </c>
      <c r="H8" s="46">
        <v>6.0</v>
      </c>
      <c r="I8" s="49">
        <f>IF(G8="", "", IFERROR(VLOOKUP(G8, Products!A:F, 4, FALSE), ""))
</f>
        <v>80</v>
      </c>
      <c r="J8" s="49">
        <v>0.0</v>
      </c>
      <c r="K8" s="54">
        <f t="shared" si="1"/>
        <v>480</v>
      </c>
      <c r="L8" s="55">
        <v>480.0</v>
      </c>
      <c r="M8" s="42" t="s">
        <v>73</v>
      </c>
      <c r="N8" s="46">
        <f t="shared" si="2"/>
        <v>0</v>
      </c>
      <c r="O8" s="59" t="b">
        <v>1</v>
      </c>
      <c r="P8" s="59" t="b">
        <v>1</v>
      </c>
      <c r="Q8" s="60"/>
      <c r="R8" s="63"/>
      <c r="S8" s="65">
        <f t="shared" si="3"/>
        <v>0</v>
      </c>
      <c r="T8" s="71" t="b">
        <v>1</v>
      </c>
      <c r="U8" s="63"/>
      <c r="V8" s="66" t="b">
        <v>0</v>
      </c>
      <c r="W8" s="66" t="b">
        <v>0</v>
      </c>
      <c r="X8" s="66" t="b">
        <v>0</v>
      </c>
    </row>
    <row r="9" ht="24.0" customHeight="1">
      <c r="A9" s="27" t="s">
        <v>49</v>
      </c>
      <c r="B9" s="29">
        <v>46097.0</v>
      </c>
      <c r="C9" s="32"/>
      <c r="D9" s="37" t="s">
        <v>53</v>
      </c>
      <c r="E9" s="37" t="s">
        <v>57</v>
      </c>
      <c r="F9" s="63"/>
      <c r="G9" s="44" t="s">
        <v>104</v>
      </c>
      <c r="H9" s="46">
        <v>6.0</v>
      </c>
      <c r="I9" s="49">
        <f>IF(G9="", "", IFERROR(VLOOKUP(G9, Products!A:F, 4, FALSE), ""))
</f>
        <v>80</v>
      </c>
      <c r="J9" s="49">
        <v>0.0</v>
      </c>
      <c r="K9" s="54">
        <f t="shared" si="1"/>
        <v>480</v>
      </c>
      <c r="L9" s="55">
        <v>480.0</v>
      </c>
      <c r="M9" s="42" t="s">
        <v>73</v>
      </c>
      <c r="N9" s="46">
        <f t="shared" si="2"/>
        <v>0</v>
      </c>
      <c r="O9" s="59" t="b">
        <v>1</v>
      </c>
      <c r="P9" s="59" t="b">
        <v>1</v>
      </c>
      <c r="Q9" s="60"/>
      <c r="R9" s="63"/>
      <c r="S9" s="65">
        <f t="shared" si="3"/>
        <v>0</v>
      </c>
      <c r="T9" s="71" t="b">
        <v>1</v>
      </c>
      <c r="U9" s="63"/>
      <c r="V9" s="66" t="b">
        <v>0</v>
      </c>
      <c r="W9" s="66" t="b">
        <v>0</v>
      </c>
      <c r="X9" s="66" t="b">
        <v>0</v>
      </c>
    </row>
    <row r="10" ht="24.0" customHeight="1">
      <c r="A10" s="27" t="s">
        <v>49</v>
      </c>
      <c r="B10" s="29">
        <v>46097.0</v>
      </c>
      <c r="C10" s="32"/>
      <c r="D10" s="37" t="s">
        <v>53</v>
      </c>
      <c r="E10" s="37" t="s">
        <v>57</v>
      </c>
      <c r="F10" s="63"/>
      <c r="G10" s="44" t="s">
        <v>167</v>
      </c>
      <c r="H10" s="46">
        <v>3.0</v>
      </c>
      <c r="I10" s="49">
        <f>IF(G10="", "", IFERROR(VLOOKUP(G10, Products!A:F, 4, FALSE), ""))
</f>
        <v>100</v>
      </c>
      <c r="J10" s="49">
        <v>0.0</v>
      </c>
      <c r="K10" s="54">
        <f t="shared" si="1"/>
        <v>300</v>
      </c>
      <c r="L10" s="55">
        <v>300.0</v>
      </c>
      <c r="M10" s="42" t="s">
        <v>73</v>
      </c>
      <c r="N10" s="46">
        <f t="shared" si="2"/>
        <v>0</v>
      </c>
      <c r="O10" s="59" t="b">
        <v>1</v>
      </c>
      <c r="P10" s="59" t="b">
        <v>1</v>
      </c>
      <c r="Q10" s="60"/>
      <c r="R10" s="63"/>
      <c r="S10" s="65">
        <f t="shared" si="3"/>
        <v>0</v>
      </c>
      <c r="T10" s="71" t="b">
        <v>1</v>
      </c>
      <c r="U10" s="63"/>
      <c r="V10" s="66" t="b">
        <v>0</v>
      </c>
      <c r="W10" s="66" t="b">
        <v>0</v>
      </c>
      <c r="X10" s="66" t="b">
        <v>0</v>
      </c>
    </row>
    <row r="11" ht="24.0" customHeight="1">
      <c r="A11" s="27" t="s">
        <v>76</v>
      </c>
      <c r="B11" s="29">
        <v>46097.0</v>
      </c>
      <c r="C11" s="32"/>
      <c r="D11" s="37" t="s">
        <v>78</v>
      </c>
      <c r="E11" s="37" t="s">
        <v>174</v>
      </c>
      <c r="F11" s="63"/>
      <c r="G11" s="44" t="s">
        <v>153</v>
      </c>
      <c r="H11" s="46">
        <v>6.0</v>
      </c>
      <c r="I11" s="49">
        <f>IF(G11="", "", IFERROR(VLOOKUP(G11, Products!A:F, 4, FALSE), ""))
</f>
        <v>80</v>
      </c>
      <c r="J11" s="49">
        <v>0.0</v>
      </c>
      <c r="K11" s="54">
        <f t="shared" si="1"/>
        <v>480</v>
      </c>
      <c r="L11" s="55">
        <v>480.0</v>
      </c>
      <c r="M11" s="42" t="s">
        <v>73</v>
      </c>
      <c r="N11" s="46">
        <f t="shared" si="2"/>
        <v>0</v>
      </c>
      <c r="O11" s="59" t="b">
        <v>1</v>
      </c>
      <c r="P11" s="59" t="b">
        <v>1</v>
      </c>
      <c r="Q11" s="60"/>
      <c r="R11" s="63"/>
      <c r="S11" s="65">
        <f t="shared" si="3"/>
        <v>0</v>
      </c>
      <c r="T11" s="71" t="b">
        <v>1</v>
      </c>
      <c r="U11" s="63"/>
      <c r="V11" s="66" t="b">
        <v>0</v>
      </c>
      <c r="W11" s="66" t="b">
        <v>0</v>
      </c>
      <c r="X11" s="66" t="b">
        <v>0</v>
      </c>
    </row>
    <row r="12" ht="24.0" customHeight="1">
      <c r="A12" s="27" t="s">
        <v>91</v>
      </c>
      <c r="B12" s="29">
        <v>46097.0</v>
      </c>
      <c r="C12" s="32"/>
      <c r="D12" s="37" t="s">
        <v>93</v>
      </c>
      <c r="E12" s="37" t="s">
        <v>94</v>
      </c>
      <c r="F12" s="63"/>
      <c r="G12" s="44" t="s">
        <v>104</v>
      </c>
      <c r="H12" s="46">
        <v>14.0</v>
      </c>
      <c r="I12" s="49">
        <f>IF(G12="", "", IFERROR(VLOOKUP(G12, Products!A:F, 4, FALSE), ""))
</f>
        <v>80</v>
      </c>
      <c r="J12" s="49">
        <v>0.0</v>
      </c>
      <c r="K12" s="54">
        <f t="shared" si="1"/>
        <v>1120</v>
      </c>
      <c r="L12" s="55">
        <v>1120.0</v>
      </c>
      <c r="M12" s="42" t="s">
        <v>73</v>
      </c>
      <c r="N12" s="46">
        <f t="shared" si="2"/>
        <v>0</v>
      </c>
      <c r="O12" s="59" t="b">
        <v>1</v>
      </c>
      <c r="P12" s="59" t="b">
        <v>1</v>
      </c>
      <c r="Q12" s="60"/>
      <c r="R12" s="63"/>
      <c r="S12" s="65">
        <f t="shared" si="3"/>
        <v>0</v>
      </c>
      <c r="T12" s="71" t="b">
        <v>1</v>
      </c>
      <c r="U12" s="63"/>
      <c r="V12" s="66" t="b">
        <v>0</v>
      </c>
      <c r="W12" s="66" t="b">
        <v>0</v>
      </c>
      <c r="X12" s="66" t="b">
        <v>0</v>
      </c>
    </row>
    <row r="13" ht="24.0" customHeight="1">
      <c r="A13" s="27" t="s">
        <v>98</v>
      </c>
      <c r="B13" s="29">
        <v>46097.0</v>
      </c>
      <c r="C13" s="32"/>
      <c r="D13" s="37" t="s">
        <v>93</v>
      </c>
      <c r="E13" s="37" t="s">
        <v>99</v>
      </c>
      <c r="F13" s="63"/>
      <c r="G13" s="44" t="s">
        <v>153</v>
      </c>
      <c r="H13" s="46">
        <v>1.0</v>
      </c>
      <c r="I13" s="49">
        <f>IF(G13="", "", IFERROR(VLOOKUP(G13, Products!A:F, 4, FALSE), ""))
</f>
        <v>80</v>
      </c>
      <c r="J13" s="49">
        <v>0.0</v>
      </c>
      <c r="K13" s="54">
        <f t="shared" si="1"/>
        <v>80</v>
      </c>
      <c r="L13" s="55">
        <v>80.0</v>
      </c>
      <c r="M13" s="42" t="s">
        <v>73</v>
      </c>
      <c r="N13" s="46">
        <f t="shared" si="2"/>
        <v>0</v>
      </c>
      <c r="O13" s="59" t="b">
        <v>1</v>
      </c>
      <c r="P13" s="59" t="b">
        <v>1</v>
      </c>
      <c r="Q13" s="60"/>
      <c r="R13" s="63"/>
      <c r="S13" s="65">
        <f t="shared" si="3"/>
        <v>0</v>
      </c>
      <c r="T13" s="71" t="b">
        <v>1</v>
      </c>
      <c r="U13" s="63"/>
      <c r="V13" s="66" t="b">
        <v>0</v>
      </c>
      <c r="W13" s="66" t="b">
        <v>0</v>
      </c>
      <c r="X13" s="66" t="b">
        <v>0</v>
      </c>
    </row>
    <row r="14" ht="24.0" customHeight="1">
      <c r="A14" s="27" t="s">
        <v>98</v>
      </c>
      <c r="B14" s="29">
        <v>46097.0</v>
      </c>
      <c r="C14" s="32"/>
      <c r="D14" s="37" t="s">
        <v>93</v>
      </c>
      <c r="E14" s="37" t="s">
        <v>99</v>
      </c>
      <c r="F14" s="63"/>
      <c r="G14" s="44" t="s">
        <v>104</v>
      </c>
      <c r="H14" s="46">
        <v>2.0</v>
      </c>
      <c r="I14" s="49">
        <f>IF(G14="", "", IFERROR(VLOOKUP(G14, Products!A:F, 4, FALSE), ""))
</f>
        <v>80</v>
      </c>
      <c r="J14" s="49">
        <v>0.0</v>
      </c>
      <c r="K14" s="54">
        <f t="shared" si="1"/>
        <v>160</v>
      </c>
      <c r="L14" s="55">
        <v>160.0</v>
      </c>
      <c r="M14" s="42" t="s">
        <v>73</v>
      </c>
      <c r="N14" s="46">
        <f t="shared" si="2"/>
        <v>0</v>
      </c>
      <c r="O14" s="59" t="b">
        <v>1</v>
      </c>
      <c r="P14" s="59" t="b">
        <v>1</v>
      </c>
      <c r="Q14" s="60"/>
      <c r="R14" s="63"/>
      <c r="S14" s="65">
        <f t="shared" si="3"/>
        <v>0</v>
      </c>
      <c r="T14" s="71" t="b">
        <v>1</v>
      </c>
      <c r="U14" s="63"/>
      <c r="V14" s="66" t="b">
        <v>0</v>
      </c>
      <c r="W14" s="66" t="b">
        <v>0</v>
      </c>
      <c r="X14" s="66" t="b">
        <v>0</v>
      </c>
    </row>
    <row r="15" ht="24.0" customHeight="1">
      <c r="A15" s="89" t="s">
        <v>127</v>
      </c>
      <c r="B15" s="29">
        <v>46098.0</v>
      </c>
      <c r="C15" s="90"/>
      <c r="D15" s="91" t="s">
        <v>195</v>
      </c>
      <c r="E15" s="92"/>
      <c r="F15" s="93"/>
      <c r="G15" s="89" t="s">
        <v>104</v>
      </c>
      <c r="H15" s="94">
        <v>10.0</v>
      </c>
      <c r="I15" s="95">
        <f>IF(G15="", "", IFERROR(VLOOKUP(G15, Products!A:F, 4, FALSE), ""))
</f>
        <v>80</v>
      </c>
      <c r="J15" s="95">
        <v>0.0</v>
      </c>
      <c r="K15" s="96">
        <f t="shared" si="1"/>
        <v>800</v>
      </c>
      <c r="L15" s="97">
        <v>500.0</v>
      </c>
      <c r="M15" s="98" t="s">
        <v>110</v>
      </c>
      <c r="N15" s="94">
        <f t="shared" si="2"/>
        <v>300</v>
      </c>
      <c r="O15" s="99" t="b">
        <v>1</v>
      </c>
      <c r="P15" s="99" t="b">
        <v>1</v>
      </c>
      <c r="Q15" s="100">
        <v>300.0</v>
      </c>
      <c r="R15" s="93" t="s">
        <v>115</v>
      </c>
      <c r="S15" s="101">
        <f t="shared" si="3"/>
        <v>0</v>
      </c>
      <c r="T15" s="102" t="b">
        <v>1</v>
      </c>
      <c r="U15" s="103" t="s">
        <v>116</v>
      </c>
      <c r="V15" s="104" t="b">
        <v>0</v>
      </c>
      <c r="W15" s="104" t="b">
        <v>0</v>
      </c>
      <c r="X15" s="104" t="b">
        <v>0</v>
      </c>
    </row>
    <row r="16" ht="24.0" customHeight="1">
      <c r="A16" s="44" t="s">
        <v>119</v>
      </c>
      <c r="B16" s="29">
        <v>46098.0</v>
      </c>
      <c r="C16" s="32"/>
      <c r="D16" s="37" t="s">
        <v>195</v>
      </c>
      <c r="E16" s="105"/>
      <c r="F16" s="63"/>
      <c r="G16" s="44" t="s">
        <v>104</v>
      </c>
      <c r="H16" s="46">
        <v>3.0</v>
      </c>
      <c r="I16" s="49">
        <f>IF(G16="", "", IFERROR(VLOOKUP(G16, Products!A:F, 4, FALSE), ""))
</f>
        <v>80</v>
      </c>
      <c r="J16" s="49">
        <v>0.0</v>
      </c>
      <c r="K16" s="54">
        <f t="shared" si="1"/>
        <v>240</v>
      </c>
      <c r="L16" s="55">
        <v>120.0</v>
      </c>
      <c r="M16" s="42" t="s">
        <v>110</v>
      </c>
      <c r="N16" s="46">
        <f t="shared" si="2"/>
        <v>120</v>
      </c>
      <c r="O16" s="59" t="b">
        <v>1</v>
      </c>
      <c r="P16" s="59" t="b">
        <v>1</v>
      </c>
      <c r="Q16" s="60">
        <v>120.0</v>
      </c>
      <c r="R16" s="63" t="s">
        <v>115</v>
      </c>
      <c r="S16" s="65">
        <f t="shared" si="3"/>
        <v>0</v>
      </c>
      <c r="T16" s="71" t="b">
        <v>1</v>
      </c>
      <c r="U16" s="74" t="s">
        <v>116</v>
      </c>
      <c r="V16" s="75" t="b">
        <v>0</v>
      </c>
      <c r="W16" s="75" t="b">
        <v>0</v>
      </c>
      <c r="X16" s="75" t="b">
        <v>0</v>
      </c>
    </row>
    <row r="17" ht="24.0" customHeight="1">
      <c r="A17" s="89" t="s">
        <v>123</v>
      </c>
      <c r="B17" s="29">
        <v>46098.0</v>
      </c>
      <c r="C17" s="90"/>
      <c r="D17" s="91" t="s">
        <v>78</v>
      </c>
      <c r="E17" s="91" t="s">
        <v>213</v>
      </c>
      <c r="F17" s="93"/>
      <c r="G17" s="89" t="s">
        <v>104</v>
      </c>
      <c r="H17" s="94">
        <v>4.0</v>
      </c>
      <c r="I17" s="95">
        <f>IF(G17="", "", IFERROR(VLOOKUP(G17, Products!A:F, 4, FALSE), ""))
</f>
        <v>80</v>
      </c>
      <c r="J17" s="95">
        <v>0.0</v>
      </c>
      <c r="K17" s="96">
        <f t="shared" si="1"/>
        <v>320</v>
      </c>
      <c r="L17" s="97">
        <v>320.0</v>
      </c>
      <c r="M17" s="98" t="s">
        <v>73</v>
      </c>
      <c r="N17" s="94">
        <f t="shared" si="2"/>
        <v>0</v>
      </c>
      <c r="O17" s="99" t="b">
        <v>1</v>
      </c>
      <c r="P17" s="99" t="b">
        <v>1</v>
      </c>
      <c r="Q17" s="100"/>
      <c r="R17" s="93"/>
      <c r="S17" s="101">
        <f t="shared" si="3"/>
        <v>0</v>
      </c>
      <c r="T17" s="102" t="b">
        <v>1</v>
      </c>
      <c r="U17" s="93"/>
      <c r="V17" s="106" t="b">
        <v>0</v>
      </c>
      <c r="W17" s="106" t="b">
        <v>0</v>
      </c>
      <c r="X17" s="106" t="b">
        <v>0</v>
      </c>
    </row>
    <row r="18" ht="24.0" customHeight="1">
      <c r="A18" s="27" t="s">
        <v>76</v>
      </c>
      <c r="B18" s="29">
        <v>46098.0</v>
      </c>
      <c r="C18" s="32"/>
      <c r="D18" s="37" t="s">
        <v>78</v>
      </c>
      <c r="E18" s="37" t="s">
        <v>174</v>
      </c>
      <c r="F18" s="42" t="s">
        <v>221</v>
      </c>
      <c r="G18" s="44" t="s">
        <v>104</v>
      </c>
      <c r="H18" s="46">
        <v>6.0</v>
      </c>
      <c r="I18" s="49">
        <f>IF(G18="", "", IFERROR(VLOOKUP(G18, Products!A:F, 4, FALSE), ""))
</f>
        <v>80</v>
      </c>
      <c r="J18" s="49">
        <v>0.0</v>
      </c>
      <c r="K18" s="54">
        <f t="shared" si="1"/>
        <v>480</v>
      </c>
      <c r="L18" s="55">
        <v>480.0</v>
      </c>
      <c r="M18" s="42" t="s">
        <v>73</v>
      </c>
      <c r="N18" s="46">
        <f t="shared" si="2"/>
        <v>0</v>
      </c>
      <c r="O18" s="59" t="b">
        <v>1</v>
      </c>
      <c r="P18" s="59" t="b">
        <v>1</v>
      </c>
      <c r="Q18" s="107"/>
      <c r="R18" s="63"/>
      <c r="S18" s="65">
        <f t="shared" si="3"/>
        <v>0</v>
      </c>
      <c r="T18" s="59" t="b">
        <v>1</v>
      </c>
      <c r="U18" s="108"/>
      <c r="V18" s="109" t="b">
        <v>0</v>
      </c>
      <c r="W18" s="109" t="b">
        <v>0</v>
      </c>
      <c r="X18" s="109" t="b">
        <v>0</v>
      </c>
    </row>
    <row r="19" ht="24.0" customHeight="1">
      <c r="A19" s="44" t="s">
        <v>149</v>
      </c>
      <c r="B19" s="110">
        <v>46099.0</v>
      </c>
      <c r="C19" s="32"/>
      <c r="D19" s="37" t="s">
        <v>78</v>
      </c>
      <c r="E19" s="37" t="s">
        <v>150</v>
      </c>
      <c r="F19" s="63"/>
      <c r="G19" s="44" t="s">
        <v>104</v>
      </c>
      <c r="H19" s="46">
        <v>7.0</v>
      </c>
      <c r="I19" s="49">
        <f>IF(G19="", "", IFERROR(VLOOKUP(G19, Products!A:F, 4, FALSE), ""))
</f>
        <v>80</v>
      </c>
      <c r="J19" s="49">
        <v>0.0</v>
      </c>
      <c r="K19" s="54">
        <f t="shared" si="1"/>
        <v>560</v>
      </c>
      <c r="L19" s="55">
        <v>560.0</v>
      </c>
      <c r="M19" s="42" t="s">
        <v>73</v>
      </c>
      <c r="N19" s="46">
        <f t="shared" si="2"/>
        <v>0</v>
      </c>
      <c r="O19" s="59" t="b">
        <v>1</v>
      </c>
      <c r="P19" s="59" t="b">
        <v>1</v>
      </c>
      <c r="Q19" s="60"/>
      <c r="R19" s="63"/>
      <c r="S19" s="65">
        <f t="shared" si="3"/>
        <v>0</v>
      </c>
      <c r="T19" s="71" t="b">
        <v>1</v>
      </c>
      <c r="U19" s="63"/>
      <c r="V19" s="66" t="b">
        <v>0</v>
      </c>
      <c r="W19" s="66" t="b">
        <v>0</v>
      </c>
      <c r="X19" s="66" t="b">
        <v>0</v>
      </c>
    </row>
    <row r="20" ht="24.0" customHeight="1">
      <c r="A20" s="89" t="s">
        <v>132</v>
      </c>
      <c r="B20" s="110">
        <v>46099.0</v>
      </c>
      <c r="C20" s="90"/>
      <c r="D20" s="91" t="s">
        <v>233</v>
      </c>
      <c r="E20" s="92"/>
      <c r="F20" s="93"/>
      <c r="G20" s="89" t="s">
        <v>104</v>
      </c>
      <c r="H20" s="94">
        <v>1.0</v>
      </c>
      <c r="I20" s="95">
        <f>IF(G20="", "", IFERROR(VLOOKUP(G20, Products!A:F, 4, FALSE), ""))
</f>
        <v>80</v>
      </c>
      <c r="J20" s="95">
        <v>0.0</v>
      </c>
      <c r="K20" s="96">
        <f t="shared" si="1"/>
        <v>80</v>
      </c>
      <c r="L20" s="97">
        <v>80.0</v>
      </c>
      <c r="M20" s="98" t="s">
        <v>73</v>
      </c>
      <c r="N20" s="94">
        <f t="shared" si="2"/>
        <v>0</v>
      </c>
      <c r="O20" s="99" t="b">
        <v>1</v>
      </c>
      <c r="P20" s="99" t="b">
        <v>1</v>
      </c>
      <c r="Q20" s="100"/>
      <c r="R20" s="93"/>
      <c r="S20" s="101">
        <f t="shared" si="3"/>
        <v>0</v>
      </c>
      <c r="T20" s="102" t="b">
        <v>1</v>
      </c>
      <c r="U20" s="93"/>
      <c r="V20" s="106" t="b">
        <v>0</v>
      </c>
      <c r="W20" s="106" t="b">
        <v>0</v>
      </c>
      <c r="X20" s="106" t="b">
        <v>0</v>
      </c>
    </row>
    <row r="21" ht="24.0" customHeight="1">
      <c r="A21" s="89" t="s">
        <v>135</v>
      </c>
      <c r="B21" s="110">
        <v>46099.0</v>
      </c>
      <c r="C21" s="90"/>
      <c r="D21" s="91" t="s">
        <v>93</v>
      </c>
      <c r="E21" s="91" t="s">
        <v>241</v>
      </c>
      <c r="F21" s="93"/>
      <c r="G21" s="89" t="s">
        <v>104</v>
      </c>
      <c r="H21" s="94">
        <v>2.0</v>
      </c>
      <c r="I21" s="95">
        <f>IF(G21="", "", IFERROR(VLOOKUP(G21, Products!A:F, 4, FALSE), ""))
</f>
        <v>80</v>
      </c>
      <c r="J21" s="95">
        <v>0.0</v>
      </c>
      <c r="K21" s="96">
        <f t="shared" si="1"/>
        <v>160</v>
      </c>
      <c r="L21" s="97">
        <v>160.0</v>
      </c>
      <c r="M21" s="98" t="s">
        <v>73</v>
      </c>
      <c r="N21" s="94">
        <f t="shared" si="2"/>
        <v>0</v>
      </c>
      <c r="O21" s="99" t="b">
        <v>1</v>
      </c>
      <c r="P21" s="99" t="b">
        <v>1</v>
      </c>
      <c r="Q21" s="100"/>
      <c r="R21" s="93"/>
      <c r="S21" s="101">
        <f t="shared" si="3"/>
        <v>0</v>
      </c>
      <c r="T21" s="102" t="b">
        <v>1</v>
      </c>
      <c r="U21" s="93"/>
      <c r="V21" s="106" t="b">
        <v>0</v>
      </c>
      <c r="W21" s="106" t="b">
        <v>0</v>
      </c>
      <c r="X21" s="106" t="b">
        <v>0</v>
      </c>
    </row>
    <row r="22" ht="24.0" customHeight="1">
      <c r="A22" s="89" t="s">
        <v>142</v>
      </c>
      <c r="B22" s="110">
        <v>46099.0</v>
      </c>
      <c r="C22" s="90"/>
      <c r="D22" s="91" t="s">
        <v>93</v>
      </c>
      <c r="E22" s="91" t="s">
        <v>144</v>
      </c>
      <c r="F22" s="93"/>
      <c r="G22" s="89" t="s">
        <v>104</v>
      </c>
      <c r="H22" s="94">
        <v>13.0</v>
      </c>
      <c r="I22" s="95">
        <f>IF(G22="", "", IFERROR(VLOOKUP(G22, Products!A:F, 4, FALSE), ""))
</f>
        <v>80</v>
      </c>
      <c r="J22" s="95">
        <v>0.0</v>
      </c>
      <c r="K22" s="96">
        <f t="shared" si="1"/>
        <v>1040</v>
      </c>
      <c r="L22" s="97">
        <v>500.0</v>
      </c>
      <c r="M22" s="98" t="s">
        <v>110</v>
      </c>
      <c r="N22" s="94">
        <f t="shared" si="2"/>
        <v>540</v>
      </c>
      <c r="O22" s="99" t="b">
        <v>1</v>
      </c>
      <c r="P22" s="99" t="b">
        <v>1</v>
      </c>
      <c r="Q22" s="100">
        <v>540.0</v>
      </c>
      <c r="R22" s="93" t="s">
        <v>115</v>
      </c>
      <c r="S22" s="101">
        <f t="shared" si="3"/>
        <v>0</v>
      </c>
      <c r="T22" s="102" t="b">
        <v>1</v>
      </c>
      <c r="U22" s="103" t="s">
        <v>116</v>
      </c>
      <c r="V22" s="104" t="b">
        <v>0</v>
      </c>
      <c r="W22" s="104" t="b">
        <v>0</v>
      </c>
      <c r="X22" s="104" t="b">
        <v>0</v>
      </c>
    </row>
    <row r="23" ht="24.0" customHeight="1">
      <c r="A23" s="89" t="s">
        <v>129</v>
      </c>
      <c r="B23" s="110">
        <v>46099.0</v>
      </c>
      <c r="C23" s="90"/>
      <c r="D23" s="91" t="s">
        <v>93</v>
      </c>
      <c r="E23" s="91" t="s">
        <v>131</v>
      </c>
      <c r="F23" s="93"/>
      <c r="G23" s="89" t="s">
        <v>104</v>
      </c>
      <c r="H23" s="94">
        <v>1.0</v>
      </c>
      <c r="I23" s="95">
        <f>IF(G23="", "", IFERROR(VLOOKUP(G23, Products!A:F, 4, FALSE), ""))
</f>
        <v>80</v>
      </c>
      <c r="J23" s="95">
        <v>0.0</v>
      </c>
      <c r="K23" s="96">
        <f t="shared" si="1"/>
        <v>80</v>
      </c>
      <c r="L23" s="97">
        <v>80.0</v>
      </c>
      <c r="M23" s="98" t="s">
        <v>73</v>
      </c>
      <c r="N23" s="94">
        <f t="shared" si="2"/>
        <v>0</v>
      </c>
      <c r="O23" s="99" t="b">
        <v>1</v>
      </c>
      <c r="P23" s="99" t="b">
        <v>1</v>
      </c>
      <c r="Q23" s="100"/>
      <c r="R23" s="93"/>
      <c r="S23" s="101">
        <f t="shared" si="3"/>
        <v>0</v>
      </c>
      <c r="T23" s="102" t="b">
        <v>1</v>
      </c>
      <c r="U23" s="93"/>
      <c r="V23" s="106" t="b">
        <v>0</v>
      </c>
      <c r="W23" s="106" t="b">
        <v>0</v>
      </c>
      <c r="X23" s="106" t="b">
        <v>0</v>
      </c>
    </row>
    <row r="24" ht="24.0" customHeight="1">
      <c r="A24" s="89" t="s">
        <v>139</v>
      </c>
      <c r="B24" s="110">
        <v>46099.0</v>
      </c>
      <c r="C24" s="90"/>
      <c r="D24" s="91" t="s">
        <v>256</v>
      </c>
      <c r="E24" s="92"/>
      <c r="F24" s="93"/>
      <c r="G24" s="89" t="s">
        <v>104</v>
      </c>
      <c r="H24" s="94">
        <v>4.0</v>
      </c>
      <c r="I24" s="95">
        <f>IF(G24="", "", IFERROR(VLOOKUP(G24, Products!A:F, 4, FALSE), ""))
</f>
        <v>80</v>
      </c>
      <c r="J24" s="95">
        <v>0.0</v>
      </c>
      <c r="K24" s="96">
        <v>250.0</v>
      </c>
      <c r="L24" s="97">
        <v>250.0</v>
      </c>
      <c r="M24" s="98" t="s">
        <v>73</v>
      </c>
      <c r="N24" s="94">
        <f t="shared" si="2"/>
        <v>0</v>
      </c>
      <c r="O24" s="99" t="b">
        <v>0</v>
      </c>
      <c r="P24" s="99" t="b">
        <v>0</v>
      </c>
      <c r="Q24" s="100"/>
      <c r="R24" s="93"/>
      <c r="S24" s="101">
        <f t="shared" si="3"/>
        <v>0</v>
      </c>
      <c r="T24" s="99" t="b">
        <v>0</v>
      </c>
      <c r="U24" s="98" t="s">
        <v>260</v>
      </c>
      <c r="V24" s="99" t="b">
        <v>0</v>
      </c>
      <c r="W24" s="99" t="b">
        <v>0</v>
      </c>
      <c r="X24" s="99" t="b">
        <v>0</v>
      </c>
    </row>
    <row r="25" ht="24.0" customHeight="1">
      <c r="A25" s="89" t="s">
        <v>139</v>
      </c>
      <c r="B25" s="110">
        <v>46099.0</v>
      </c>
      <c r="C25" s="90"/>
      <c r="D25" s="91" t="s">
        <v>256</v>
      </c>
      <c r="E25" s="92"/>
      <c r="F25" s="93"/>
      <c r="G25" s="89" t="s">
        <v>153</v>
      </c>
      <c r="H25" s="94">
        <v>4.0</v>
      </c>
      <c r="I25" s="95">
        <f>IF(G25="", "", IFERROR(VLOOKUP(G25, Products!A:F, 4, FALSE), ""))
</f>
        <v>80</v>
      </c>
      <c r="J25" s="95">
        <v>0.0</v>
      </c>
      <c r="K25" s="96">
        <v>250.0</v>
      </c>
      <c r="L25" s="97">
        <v>250.0</v>
      </c>
      <c r="M25" s="98" t="s">
        <v>73</v>
      </c>
      <c r="N25" s="94">
        <f t="shared" si="2"/>
        <v>0</v>
      </c>
      <c r="O25" s="99" t="b">
        <v>0</v>
      </c>
      <c r="P25" s="99" t="b">
        <v>0</v>
      </c>
      <c r="Q25" s="100"/>
      <c r="R25" s="93"/>
      <c r="S25" s="101">
        <f t="shared" si="3"/>
        <v>0</v>
      </c>
      <c r="T25" s="99" t="b">
        <v>0</v>
      </c>
      <c r="U25" s="98" t="s">
        <v>260</v>
      </c>
      <c r="V25" s="99" t="b">
        <v>0</v>
      </c>
      <c r="W25" s="99" t="b">
        <v>0</v>
      </c>
      <c r="X25" s="99" t="b">
        <v>0</v>
      </c>
    </row>
    <row r="26" ht="24.0" customHeight="1">
      <c r="A26" s="89" t="s">
        <v>147</v>
      </c>
      <c r="B26" s="110">
        <v>46099.0</v>
      </c>
      <c r="C26" s="90"/>
      <c r="D26" s="91" t="s">
        <v>93</v>
      </c>
      <c r="E26" s="91" t="s">
        <v>148</v>
      </c>
      <c r="F26" s="93"/>
      <c r="G26" s="89" t="s">
        <v>104</v>
      </c>
      <c r="H26" s="94">
        <v>6.0</v>
      </c>
      <c r="I26" s="95">
        <f>IF(G26="", "", IFERROR(VLOOKUP(G26, Products!A:F, 4, FALSE), ""))
</f>
        <v>80</v>
      </c>
      <c r="J26" s="95">
        <v>0.0</v>
      </c>
      <c r="K26" s="96">
        <f t="shared" ref="K26:K41" si="4">(H26*I26)-J26</f>
        <v>480</v>
      </c>
      <c r="L26" s="97">
        <v>480.0</v>
      </c>
      <c r="M26" s="98" t="s">
        <v>73</v>
      </c>
      <c r="N26" s="94">
        <f t="shared" si="2"/>
        <v>0</v>
      </c>
      <c r="O26" s="99" t="b">
        <v>1</v>
      </c>
      <c r="P26" s="99" t="b">
        <v>1</v>
      </c>
      <c r="Q26" s="100"/>
      <c r="R26" s="93"/>
      <c r="S26" s="101">
        <f t="shared" si="3"/>
        <v>0</v>
      </c>
      <c r="T26" s="102" t="b">
        <v>1</v>
      </c>
      <c r="U26" s="93"/>
      <c r="V26" s="106" t="b">
        <v>0</v>
      </c>
      <c r="W26" s="106" t="b">
        <v>0</v>
      </c>
      <c r="X26" s="106" t="b">
        <v>0</v>
      </c>
    </row>
    <row r="27" ht="24.0" customHeight="1">
      <c r="A27" s="44" t="s">
        <v>155</v>
      </c>
      <c r="B27" s="29">
        <v>46100.0</v>
      </c>
      <c r="C27" s="32"/>
      <c r="D27" s="116" t="s">
        <v>93</v>
      </c>
      <c r="E27" s="116" t="s">
        <v>156</v>
      </c>
      <c r="F27" s="63"/>
      <c r="G27" s="44" t="s">
        <v>104</v>
      </c>
      <c r="H27" s="46">
        <v>6.0</v>
      </c>
      <c r="I27" s="49">
        <f>IF(G27="", "", IFERROR(VLOOKUP(G27, Products!A:F, 4, FALSE), ""))
</f>
        <v>80</v>
      </c>
      <c r="J27" s="49">
        <v>0.0</v>
      </c>
      <c r="K27" s="54">
        <f t="shared" si="4"/>
        <v>480</v>
      </c>
      <c r="L27" s="55">
        <v>240.0</v>
      </c>
      <c r="M27" s="42" t="s">
        <v>73</v>
      </c>
      <c r="N27" s="46">
        <f t="shared" si="2"/>
        <v>240</v>
      </c>
      <c r="O27" s="59" t="b">
        <v>1</v>
      </c>
      <c r="P27" s="59" t="b">
        <v>1</v>
      </c>
      <c r="Q27" s="60">
        <v>240.0</v>
      </c>
      <c r="R27" s="42" t="s">
        <v>271</v>
      </c>
      <c r="S27" s="65">
        <f t="shared" si="3"/>
        <v>0</v>
      </c>
      <c r="T27" s="71" t="b">
        <v>1</v>
      </c>
      <c r="U27" s="74" t="s">
        <v>272</v>
      </c>
      <c r="V27" s="75" t="b">
        <v>0</v>
      </c>
      <c r="W27" s="75" t="b">
        <v>0</v>
      </c>
      <c r="X27" s="75" t="b">
        <v>0</v>
      </c>
    </row>
    <row r="28" ht="24.0" customHeight="1">
      <c r="A28" s="44" t="s">
        <v>166</v>
      </c>
      <c r="B28" s="29">
        <v>46100.0</v>
      </c>
      <c r="C28" s="32"/>
      <c r="D28" s="37" t="s">
        <v>195</v>
      </c>
      <c r="E28" s="105"/>
      <c r="F28" s="63"/>
      <c r="G28" s="44" t="s">
        <v>104</v>
      </c>
      <c r="H28" s="46">
        <v>6.0</v>
      </c>
      <c r="I28" s="49">
        <f>IF(G28="", "", IFERROR(VLOOKUP(G28, Products!A:F, 4, FALSE), ""))
</f>
        <v>80</v>
      </c>
      <c r="J28" s="49">
        <v>0.0</v>
      </c>
      <c r="K28" s="54">
        <f t="shared" si="4"/>
        <v>480</v>
      </c>
      <c r="L28" s="55">
        <v>300.0</v>
      </c>
      <c r="M28" s="42" t="s">
        <v>73</v>
      </c>
      <c r="N28" s="46">
        <f t="shared" si="2"/>
        <v>180</v>
      </c>
      <c r="O28" s="59" t="b">
        <v>1</v>
      </c>
      <c r="P28" s="59" t="b">
        <v>1</v>
      </c>
      <c r="Q28" s="60">
        <v>180.0</v>
      </c>
      <c r="R28" s="63" t="s">
        <v>115</v>
      </c>
      <c r="S28" s="65">
        <f t="shared" si="3"/>
        <v>0</v>
      </c>
      <c r="T28" s="71" t="b">
        <v>1</v>
      </c>
      <c r="U28" s="74" t="s">
        <v>116</v>
      </c>
      <c r="V28" s="75" t="b">
        <v>0</v>
      </c>
      <c r="W28" s="75" t="b">
        <v>0</v>
      </c>
      <c r="X28" s="75" t="b">
        <v>0</v>
      </c>
    </row>
    <row r="29" ht="24.0" customHeight="1">
      <c r="A29" s="44" t="s">
        <v>152</v>
      </c>
      <c r="B29" s="29">
        <v>46100.0</v>
      </c>
      <c r="C29" s="32"/>
      <c r="D29" s="37" t="s">
        <v>93</v>
      </c>
      <c r="E29" s="37" t="s">
        <v>154</v>
      </c>
      <c r="F29" s="63"/>
      <c r="G29" s="44" t="s">
        <v>104</v>
      </c>
      <c r="H29" s="46">
        <v>3.0</v>
      </c>
      <c r="I29" s="49">
        <f>IF(G29="", "", IFERROR(VLOOKUP(G29, Products!A:F, 4, FALSE), ""))
</f>
        <v>80</v>
      </c>
      <c r="J29" s="49">
        <v>0.0</v>
      </c>
      <c r="K29" s="54">
        <f t="shared" si="4"/>
        <v>240</v>
      </c>
      <c r="L29" s="55">
        <v>240.0</v>
      </c>
      <c r="M29" s="42" t="s">
        <v>73</v>
      </c>
      <c r="N29" s="46">
        <f t="shared" si="2"/>
        <v>0</v>
      </c>
      <c r="O29" s="59" t="b">
        <v>1</v>
      </c>
      <c r="P29" s="59" t="b">
        <v>1</v>
      </c>
      <c r="Q29" s="60"/>
      <c r="R29" s="63"/>
      <c r="S29" s="65">
        <f t="shared" si="3"/>
        <v>0</v>
      </c>
      <c r="T29" s="71" t="b">
        <v>1</v>
      </c>
      <c r="U29" s="63"/>
      <c r="V29" s="66" t="b">
        <v>0</v>
      </c>
      <c r="W29" s="66" t="b">
        <v>0</v>
      </c>
      <c r="X29" s="66" t="b">
        <v>0</v>
      </c>
    </row>
    <row r="30" ht="24.0" customHeight="1">
      <c r="A30" s="89" t="s">
        <v>175</v>
      </c>
      <c r="B30" s="29">
        <v>46100.0</v>
      </c>
      <c r="C30" s="90"/>
      <c r="D30" s="91" t="s">
        <v>93</v>
      </c>
      <c r="E30" s="91" t="s">
        <v>176</v>
      </c>
      <c r="F30" s="93"/>
      <c r="G30" s="89" t="s">
        <v>104</v>
      </c>
      <c r="H30" s="94">
        <v>6.0</v>
      </c>
      <c r="I30" s="95">
        <f>IF(G30="", "", IFERROR(VLOOKUP(G30, Products!A:F, 4, FALSE), ""))
</f>
        <v>80</v>
      </c>
      <c r="J30" s="95">
        <v>0.0</v>
      </c>
      <c r="K30" s="96">
        <f t="shared" si="4"/>
        <v>480</v>
      </c>
      <c r="L30" s="97">
        <v>480.0</v>
      </c>
      <c r="M30" s="98" t="s">
        <v>73</v>
      </c>
      <c r="N30" s="94">
        <f t="shared" si="2"/>
        <v>0</v>
      </c>
      <c r="O30" s="99" t="b">
        <v>1</v>
      </c>
      <c r="P30" s="99" t="b">
        <v>1</v>
      </c>
      <c r="Q30" s="100"/>
      <c r="R30" s="93"/>
      <c r="S30" s="101">
        <f t="shared" si="3"/>
        <v>0</v>
      </c>
      <c r="T30" s="102" t="b">
        <v>1</v>
      </c>
      <c r="U30" s="93"/>
      <c r="V30" s="106" t="b">
        <v>0</v>
      </c>
      <c r="W30" s="106" t="b">
        <v>0</v>
      </c>
      <c r="X30" s="106" t="b">
        <v>0</v>
      </c>
    </row>
    <row r="31" ht="24.0" customHeight="1">
      <c r="A31" s="89" t="s">
        <v>171</v>
      </c>
      <c r="B31" s="29">
        <v>46100.0</v>
      </c>
      <c r="C31" s="90"/>
      <c r="D31" s="91" t="s">
        <v>78</v>
      </c>
      <c r="E31" s="91" t="s">
        <v>289</v>
      </c>
      <c r="F31" s="93"/>
      <c r="G31" s="89" t="s">
        <v>104</v>
      </c>
      <c r="H31" s="94">
        <v>3.0</v>
      </c>
      <c r="I31" s="95">
        <f>IF(G31="", "", IFERROR(VLOOKUP(G31, Products!A:F, 4, FALSE), ""))
</f>
        <v>80</v>
      </c>
      <c r="J31" s="95">
        <v>0.0</v>
      </c>
      <c r="K31" s="96">
        <f t="shared" si="4"/>
        <v>240</v>
      </c>
      <c r="L31" s="97">
        <v>240.0</v>
      </c>
      <c r="M31" s="98" t="s">
        <v>73</v>
      </c>
      <c r="N31" s="94">
        <f t="shared" si="2"/>
        <v>0</v>
      </c>
      <c r="O31" s="99" t="b">
        <v>1</v>
      </c>
      <c r="P31" s="99" t="b">
        <v>1</v>
      </c>
      <c r="Q31" s="100"/>
      <c r="R31" s="93"/>
      <c r="S31" s="101">
        <f t="shared" si="3"/>
        <v>0</v>
      </c>
      <c r="T31" s="102" t="b">
        <v>1</v>
      </c>
      <c r="U31" s="93"/>
      <c r="V31" s="106" t="b">
        <v>0</v>
      </c>
      <c r="W31" s="106" t="b">
        <v>0</v>
      </c>
      <c r="X31" s="106" t="b">
        <v>0</v>
      </c>
    </row>
    <row r="32" ht="24.0" customHeight="1">
      <c r="A32" s="89" t="s">
        <v>182</v>
      </c>
      <c r="B32" s="29">
        <v>46100.0</v>
      </c>
      <c r="C32" s="90"/>
      <c r="D32" s="91" t="s">
        <v>188</v>
      </c>
      <c r="E32" s="92"/>
      <c r="F32" s="93"/>
      <c r="G32" s="89" t="s">
        <v>104</v>
      </c>
      <c r="H32" s="94">
        <v>4.0</v>
      </c>
      <c r="I32" s="95">
        <f>IF(G32="", "", IFERROR(VLOOKUP(G32, Products!A:F, 4, FALSE), ""))
</f>
        <v>80</v>
      </c>
      <c r="J32" s="95">
        <v>0.0</v>
      </c>
      <c r="K32" s="96">
        <f t="shared" si="4"/>
        <v>320</v>
      </c>
      <c r="L32" s="97">
        <v>200.0</v>
      </c>
      <c r="M32" s="98" t="s">
        <v>73</v>
      </c>
      <c r="N32" s="94">
        <f t="shared" si="2"/>
        <v>120</v>
      </c>
      <c r="O32" s="99" t="b">
        <v>1</v>
      </c>
      <c r="P32" s="99" t="b">
        <v>1</v>
      </c>
      <c r="Q32" s="100">
        <v>120.0</v>
      </c>
      <c r="R32" s="98" t="s">
        <v>271</v>
      </c>
      <c r="S32" s="101">
        <f t="shared" si="3"/>
        <v>0</v>
      </c>
      <c r="T32" s="102" t="b">
        <v>1</v>
      </c>
      <c r="U32" s="103" t="s">
        <v>272</v>
      </c>
      <c r="V32" s="104" t="b">
        <v>0</v>
      </c>
      <c r="W32" s="104" t="b">
        <v>0</v>
      </c>
      <c r="X32" s="104" t="b">
        <v>0</v>
      </c>
    </row>
    <row r="33" ht="24.0" customHeight="1">
      <c r="A33" s="89" t="s">
        <v>180</v>
      </c>
      <c r="B33" s="29">
        <v>46100.0</v>
      </c>
      <c r="C33" s="90"/>
      <c r="D33" s="136" t="s">
        <v>93</v>
      </c>
      <c r="E33" s="136" t="s">
        <v>156</v>
      </c>
      <c r="F33" s="93"/>
      <c r="G33" s="89" t="s">
        <v>104</v>
      </c>
      <c r="H33" s="94">
        <v>4.0</v>
      </c>
      <c r="I33" s="95">
        <f>IF(G33="", "", IFERROR(VLOOKUP(G33, Products!A:F, 4, FALSE), ""))
</f>
        <v>80</v>
      </c>
      <c r="J33" s="95">
        <v>0.0</v>
      </c>
      <c r="K33" s="96">
        <f t="shared" si="4"/>
        <v>320</v>
      </c>
      <c r="L33" s="97">
        <v>160.0</v>
      </c>
      <c r="M33" s="98" t="s">
        <v>73</v>
      </c>
      <c r="N33" s="94">
        <f t="shared" si="2"/>
        <v>160</v>
      </c>
      <c r="O33" s="99" t="b">
        <v>1</v>
      </c>
      <c r="P33" s="99" t="b">
        <v>1</v>
      </c>
      <c r="Q33" s="97">
        <v>160.0</v>
      </c>
      <c r="R33" s="138" t="s">
        <v>73</v>
      </c>
      <c r="S33" s="101">
        <f t="shared" si="3"/>
        <v>0</v>
      </c>
      <c r="T33" s="102" t="b">
        <v>1</v>
      </c>
      <c r="U33" s="93"/>
      <c r="V33" s="106" t="b">
        <v>0</v>
      </c>
      <c r="W33" s="106" t="b">
        <v>0</v>
      </c>
      <c r="X33" s="106" t="b">
        <v>0</v>
      </c>
    </row>
    <row r="34" ht="24.0" customHeight="1">
      <c r="A34" s="89" t="s">
        <v>178</v>
      </c>
      <c r="B34" s="29">
        <v>46100.0</v>
      </c>
      <c r="C34" s="90"/>
      <c r="D34" s="91" t="s">
        <v>93</v>
      </c>
      <c r="E34" s="91" t="s">
        <v>148</v>
      </c>
      <c r="F34" s="93"/>
      <c r="G34" s="89" t="s">
        <v>104</v>
      </c>
      <c r="H34" s="94">
        <v>10.0</v>
      </c>
      <c r="I34" s="95">
        <f>IF(G34="", "", IFERROR(VLOOKUP(G34, Products!A:F, 4, FALSE), ""))
</f>
        <v>80</v>
      </c>
      <c r="J34" s="95">
        <v>0.0</v>
      </c>
      <c r="K34" s="96">
        <f t="shared" si="4"/>
        <v>800</v>
      </c>
      <c r="L34" s="97">
        <v>400.0</v>
      </c>
      <c r="M34" s="98" t="s">
        <v>73</v>
      </c>
      <c r="N34" s="94">
        <f t="shared" si="2"/>
        <v>400</v>
      </c>
      <c r="O34" s="99" t="b">
        <v>1</v>
      </c>
      <c r="P34" s="99" t="b">
        <v>1</v>
      </c>
      <c r="Q34" s="97">
        <v>400.0</v>
      </c>
      <c r="R34" s="138" t="s">
        <v>73</v>
      </c>
      <c r="S34" s="101">
        <f t="shared" si="3"/>
        <v>0</v>
      </c>
      <c r="T34" s="102" t="b">
        <v>1</v>
      </c>
      <c r="U34" s="93"/>
      <c r="V34" s="106" t="b">
        <v>0</v>
      </c>
      <c r="W34" s="106" t="b">
        <v>0</v>
      </c>
      <c r="X34" s="106" t="b">
        <v>0</v>
      </c>
    </row>
    <row r="35" ht="24.0" customHeight="1">
      <c r="A35" s="89" t="s">
        <v>181</v>
      </c>
      <c r="B35" s="29">
        <v>46100.0</v>
      </c>
      <c r="C35" s="90"/>
      <c r="D35" s="91" t="s">
        <v>93</v>
      </c>
      <c r="E35" s="91" t="s">
        <v>176</v>
      </c>
      <c r="F35" s="93"/>
      <c r="G35" s="89" t="s">
        <v>104</v>
      </c>
      <c r="H35" s="94">
        <v>2.0</v>
      </c>
      <c r="I35" s="95">
        <f>IF(G35="", "", IFERROR(VLOOKUP(G35, Products!A:F, 4, FALSE), ""))
</f>
        <v>80</v>
      </c>
      <c r="J35" s="95">
        <v>0.0</v>
      </c>
      <c r="K35" s="96">
        <f t="shared" si="4"/>
        <v>160</v>
      </c>
      <c r="L35" s="97">
        <v>160.0</v>
      </c>
      <c r="M35" s="98" t="s">
        <v>73</v>
      </c>
      <c r="N35" s="94">
        <f t="shared" si="2"/>
        <v>0</v>
      </c>
      <c r="O35" s="99" t="b">
        <v>1</v>
      </c>
      <c r="P35" s="99" t="b">
        <v>1</v>
      </c>
      <c r="Q35" s="100"/>
      <c r="R35" s="93"/>
      <c r="S35" s="101">
        <f t="shared" si="3"/>
        <v>0</v>
      </c>
      <c r="T35" s="102" t="b">
        <v>1</v>
      </c>
      <c r="U35" s="93"/>
      <c r="V35" s="106" t="b">
        <v>0</v>
      </c>
      <c r="W35" s="106" t="b">
        <v>0</v>
      </c>
      <c r="X35" s="106" t="b">
        <v>0</v>
      </c>
    </row>
    <row r="36" ht="24.0" customHeight="1">
      <c r="A36" s="44" t="s">
        <v>163</v>
      </c>
      <c r="B36" s="29">
        <v>46100.0</v>
      </c>
      <c r="C36" s="32"/>
      <c r="D36" s="37" t="s">
        <v>164</v>
      </c>
      <c r="E36" s="105"/>
      <c r="F36" s="63"/>
      <c r="G36" s="44" t="s">
        <v>104</v>
      </c>
      <c r="H36" s="46">
        <v>4.0</v>
      </c>
      <c r="I36" s="49">
        <f>IF(G36="", "", IFERROR(VLOOKUP(G36, Products!A:F, 4, FALSE), ""))
</f>
        <v>80</v>
      </c>
      <c r="J36" s="49">
        <v>0.0</v>
      </c>
      <c r="K36" s="54">
        <f t="shared" si="4"/>
        <v>320</v>
      </c>
      <c r="L36" s="55">
        <v>100.0</v>
      </c>
      <c r="M36" s="42" t="s">
        <v>110</v>
      </c>
      <c r="N36" s="46">
        <f t="shared" si="2"/>
        <v>220</v>
      </c>
      <c r="O36" s="59" t="b">
        <v>1</v>
      </c>
      <c r="P36" s="59" t="b">
        <v>1</v>
      </c>
      <c r="Q36" s="60">
        <v>220.0</v>
      </c>
      <c r="R36" s="63" t="s">
        <v>115</v>
      </c>
      <c r="S36" s="65">
        <f t="shared" si="3"/>
        <v>0</v>
      </c>
      <c r="T36" s="71" t="b">
        <v>1</v>
      </c>
      <c r="U36" s="74" t="s">
        <v>116</v>
      </c>
      <c r="V36" s="75" t="b">
        <v>0</v>
      </c>
      <c r="W36" s="75" t="b">
        <v>0</v>
      </c>
      <c r="X36" s="75" t="b">
        <v>0</v>
      </c>
    </row>
    <row r="37" ht="24.0" customHeight="1">
      <c r="A37" s="44" t="s">
        <v>163</v>
      </c>
      <c r="B37" s="29">
        <v>46100.0</v>
      </c>
      <c r="C37" s="32"/>
      <c r="D37" s="37" t="s">
        <v>164</v>
      </c>
      <c r="E37" s="105"/>
      <c r="F37" s="63"/>
      <c r="G37" s="44" t="s">
        <v>153</v>
      </c>
      <c r="H37" s="46">
        <v>2.0</v>
      </c>
      <c r="I37" s="49">
        <f>IF(G37="", "", IFERROR(VLOOKUP(G37, Products!A:F, 4, FALSE), ""))
</f>
        <v>80</v>
      </c>
      <c r="J37" s="49">
        <v>0.0</v>
      </c>
      <c r="K37" s="54">
        <f t="shared" si="4"/>
        <v>160</v>
      </c>
      <c r="L37" s="55">
        <v>150.0</v>
      </c>
      <c r="M37" s="42" t="s">
        <v>110</v>
      </c>
      <c r="N37" s="46">
        <f t="shared" si="2"/>
        <v>10</v>
      </c>
      <c r="O37" s="59" t="b">
        <v>1</v>
      </c>
      <c r="P37" s="59" t="b">
        <v>1</v>
      </c>
      <c r="Q37" s="60">
        <v>10.0</v>
      </c>
      <c r="R37" s="63" t="s">
        <v>115</v>
      </c>
      <c r="S37" s="65">
        <f t="shared" si="3"/>
        <v>0</v>
      </c>
      <c r="T37" s="71" t="b">
        <v>1</v>
      </c>
      <c r="U37" s="74" t="s">
        <v>116</v>
      </c>
      <c r="V37" s="75" t="b">
        <v>0</v>
      </c>
      <c r="W37" s="75" t="b">
        <v>0</v>
      </c>
      <c r="X37" s="75" t="b">
        <v>0</v>
      </c>
    </row>
    <row r="38" ht="24.0" customHeight="1">
      <c r="A38" s="44" t="s">
        <v>160</v>
      </c>
      <c r="B38" s="29">
        <v>46100.0</v>
      </c>
      <c r="C38" s="32"/>
      <c r="D38" s="37" t="s">
        <v>93</v>
      </c>
      <c r="E38" s="37" t="s">
        <v>162</v>
      </c>
      <c r="F38" s="63"/>
      <c r="G38" s="44" t="s">
        <v>104</v>
      </c>
      <c r="H38" s="46">
        <v>5.0</v>
      </c>
      <c r="I38" s="49">
        <f>IF(G38="", "", IFERROR(VLOOKUP(G38, Products!A:F, 4, FALSE), ""))
</f>
        <v>80</v>
      </c>
      <c r="J38" s="49">
        <v>0.0</v>
      </c>
      <c r="K38" s="54">
        <f t="shared" si="4"/>
        <v>400</v>
      </c>
      <c r="L38" s="55">
        <v>400.0</v>
      </c>
      <c r="M38" s="42" t="s">
        <v>73</v>
      </c>
      <c r="N38" s="46">
        <f t="shared" si="2"/>
        <v>0</v>
      </c>
      <c r="O38" s="59" t="b">
        <v>1</v>
      </c>
      <c r="P38" s="59" t="b">
        <v>1</v>
      </c>
      <c r="Q38" s="60"/>
      <c r="R38" s="63"/>
      <c r="S38" s="65">
        <f t="shared" si="3"/>
        <v>0</v>
      </c>
      <c r="T38" s="71" t="b">
        <v>1</v>
      </c>
      <c r="U38" s="63"/>
      <c r="V38" s="66" t="b">
        <v>0</v>
      </c>
      <c r="W38" s="66" t="b">
        <v>0</v>
      </c>
      <c r="X38" s="66" t="b">
        <v>0</v>
      </c>
    </row>
    <row r="39" ht="24.0" customHeight="1">
      <c r="A39" s="89" t="s">
        <v>184</v>
      </c>
      <c r="B39" s="29">
        <v>46100.0</v>
      </c>
      <c r="C39" s="90"/>
      <c r="D39" s="136" t="s">
        <v>93</v>
      </c>
      <c r="E39" s="136" t="s">
        <v>156</v>
      </c>
      <c r="F39" s="93"/>
      <c r="G39" s="89" t="s">
        <v>104</v>
      </c>
      <c r="H39" s="94">
        <v>3.0</v>
      </c>
      <c r="I39" s="95">
        <f>IF(G39="", "", IFERROR(VLOOKUP(G39, Products!A:F, 4, FALSE), ""))
</f>
        <v>80</v>
      </c>
      <c r="J39" s="95">
        <v>0.0</v>
      </c>
      <c r="K39" s="96">
        <f t="shared" si="4"/>
        <v>240</v>
      </c>
      <c r="L39" s="97">
        <v>120.0</v>
      </c>
      <c r="M39" s="98" t="s">
        <v>271</v>
      </c>
      <c r="N39" s="94">
        <f t="shared" si="2"/>
        <v>120</v>
      </c>
      <c r="O39" s="99" t="b">
        <v>1</v>
      </c>
      <c r="P39" s="99" t="b">
        <v>1</v>
      </c>
      <c r="Q39" s="100">
        <v>120.0</v>
      </c>
      <c r="R39" s="93" t="s">
        <v>271</v>
      </c>
      <c r="S39" s="101">
        <f t="shared" si="3"/>
        <v>0</v>
      </c>
      <c r="T39" s="102" t="b">
        <v>1</v>
      </c>
      <c r="U39" s="103" t="s">
        <v>272</v>
      </c>
      <c r="V39" s="104" t="b">
        <v>0</v>
      </c>
      <c r="W39" s="104" t="b">
        <v>0</v>
      </c>
      <c r="X39" s="104" t="b">
        <v>0</v>
      </c>
    </row>
    <row r="40" ht="24.0" customHeight="1">
      <c r="A40" s="89" t="s">
        <v>169</v>
      </c>
      <c r="B40" s="29">
        <v>46100.0</v>
      </c>
      <c r="C40" s="90"/>
      <c r="D40" s="91" t="s">
        <v>263</v>
      </c>
      <c r="E40" s="92"/>
      <c r="F40" s="93"/>
      <c r="G40" s="89" t="s">
        <v>104</v>
      </c>
      <c r="H40" s="94">
        <v>4.0</v>
      </c>
      <c r="I40" s="95">
        <f>IF(G40="", "", IFERROR(VLOOKUP(G40, Products!A:F, 4, FALSE), ""))
</f>
        <v>80</v>
      </c>
      <c r="J40" s="95">
        <v>0.0</v>
      </c>
      <c r="K40" s="96">
        <f t="shared" si="4"/>
        <v>320</v>
      </c>
      <c r="L40" s="97">
        <v>320.0</v>
      </c>
      <c r="M40" s="98" t="s">
        <v>73</v>
      </c>
      <c r="N40" s="94">
        <f t="shared" si="2"/>
        <v>0</v>
      </c>
      <c r="O40" s="99" t="b">
        <v>1</v>
      </c>
      <c r="P40" s="99" t="b">
        <v>1</v>
      </c>
      <c r="Q40" s="100"/>
      <c r="R40" s="93"/>
      <c r="S40" s="101">
        <f t="shared" si="3"/>
        <v>0</v>
      </c>
      <c r="T40" s="102" t="b">
        <v>1</v>
      </c>
      <c r="U40" s="93"/>
      <c r="V40" s="106" t="b">
        <v>0</v>
      </c>
      <c r="W40" s="106" t="b">
        <v>0</v>
      </c>
      <c r="X40" s="106" t="b">
        <v>0</v>
      </c>
    </row>
    <row r="41" ht="24.0" customHeight="1">
      <c r="A41" s="44" t="s">
        <v>157</v>
      </c>
      <c r="B41" s="29">
        <v>46100.0</v>
      </c>
      <c r="C41" s="32"/>
      <c r="D41" s="37" t="s">
        <v>78</v>
      </c>
      <c r="E41" s="37" t="s">
        <v>159</v>
      </c>
      <c r="F41" s="63"/>
      <c r="G41" s="44" t="s">
        <v>104</v>
      </c>
      <c r="H41" s="46">
        <v>4.0</v>
      </c>
      <c r="I41" s="49">
        <f>IF(G41="", "", IFERROR(VLOOKUP(G41, Products!A:F, 4, FALSE), ""))
</f>
        <v>80</v>
      </c>
      <c r="J41" s="49">
        <v>0.0</v>
      </c>
      <c r="K41" s="54">
        <f t="shared" si="4"/>
        <v>320</v>
      </c>
      <c r="L41" s="55">
        <v>320.0</v>
      </c>
      <c r="M41" s="42" t="s">
        <v>73</v>
      </c>
      <c r="N41" s="46">
        <f t="shared" si="2"/>
        <v>0</v>
      </c>
      <c r="O41" s="59" t="b">
        <v>1</v>
      </c>
      <c r="P41" s="59" t="b">
        <v>1</v>
      </c>
      <c r="Q41" s="60"/>
      <c r="R41" s="63"/>
      <c r="S41" s="65">
        <f t="shared" si="3"/>
        <v>0</v>
      </c>
      <c r="T41" s="71" t="b">
        <v>1</v>
      </c>
      <c r="U41" s="63"/>
      <c r="V41" s="66" t="b">
        <v>0</v>
      </c>
      <c r="W41" s="66" t="b">
        <v>0</v>
      </c>
      <c r="X41" s="66" t="b">
        <v>0</v>
      </c>
    </row>
    <row r="42" ht="24.0" customHeight="1">
      <c r="A42" s="89" t="s">
        <v>186</v>
      </c>
      <c r="B42" s="29">
        <v>46100.0</v>
      </c>
      <c r="C42" s="90"/>
      <c r="D42" s="91" t="s">
        <v>188</v>
      </c>
      <c r="E42" s="92"/>
      <c r="F42" s="93"/>
      <c r="G42" s="89" t="s">
        <v>104</v>
      </c>
      <c r="H42" s="94">
        <v>2.0</v>
      </c>
      <c r="I42" s="95">
        <f>IF(G42="", "", IFERROR(VLOOKUP(G42, Products!A:F, 4, FALSE), ""))
</f>
        <v>80</v>
      </c>
      <c r="J42" s="95">
        <v>0.0</v>
      </c>
      <c r="K42" s="96">
        <v>0.0</v>
      </c>
      <c r="L42" s="97">
        <v>0.0</v>
      </c>
      <c r="M42" s="93"/>
      <c r="N42" s="94">
        <f t="shared" si="2"/>
        <v>0</v>
      </c>
      <c r="O42" s="99" t="b">
        <v>0</v>
      </c>
      <c r="P42" s="99" t="b">
        <v>0</v>
      </c>
      <c r="Q42" s="100"/>
      <c r="R42" s="93"/>
      <c r="S42" s="101">
        <f t="shared" si="3"/>
        <v>0</v>
      </c>
      <c r="T42" s="99" t="b">
        <v>0</v>
      </c>
      <c r="U42" s="98" t="s">
        <v>260</v>
      </c>
      <c r="V42" s="99" t="b">
        <v>0</v>
      </c>
      <c r="W42" s="99" t="b">
        <v>0</v>
      </c>
      <c r="X42" s="99" t="b">
        <v>0</v>
      </c>
    </row>
    <row r="43" ht="24.0" customHeight="1">
      <c r="A43" s="89" t="s">
        <v>203</v>
      </c>
      <c r="B43" s="110">
        <v>46101.0</v>
      </c>
      <c r="C43" s="90"/>
      <c r="D43" s="91" t="s">
        <v>204</v>
      </c>
      <c r="E43" s="92"/>
      <c r="F43" s="93"/>
      <c r="G43" s="89" t="s">
        <v>104</v>
      </c>
      <c r="H43" s="94">
        <v>2.0</v>
      </c>
      <c r="I43" s="95">
        <f>IF(G43="", "", IFERROR(VLOOKUP(G43, Products!A:F, 4, FALSE), ""))
</f>
        <v>80</v>
      </c>
      <c r="J43" s="95">
        <v>0.0</v>
      </c>
      <c r="K43" s="96">
        <f t="shared" ref="K43:K67" si="5">(H43*I43)-J43</f>
        <v>160</v>
      </c>
      <c r="L43" s="97">
        <v>0.0</v>
      </c>
      <c r="M43" s="93"/>
      <c r="N43" s="94">
        <f t="shared" si="2"/>
        <v>160</v>
      </c>
      <c r="O43" s="99" t="b">
        <v>1</v>
      </c>
      <c r="P43" s="99" t="b">
        <v>1</v>
      </c>
      <c r="Q43" s="100">
        <v>160.0</v>
      </c>
      <c r="R43" s="93" t="s">
        <v>115</v>
      </c>
      <c r="S43" s="101">
        <f t="shared" si="3"/>
        <v>0</v>
      </c>
      <c r="T43" s="102" t="b">
        <v>1</v>
      </c>
      <c r="U43" s="103" t="s">
        <v>116</v>
      </c>
      <c r="V43" s="104" t="b">
        <v>0</v>
      </c>
      <c r="W43" s="104" t="b">
        <v>0</v>
      </c>
      <c r="X43" s="104" t="b">
        <v>0</v>
      </c>
    </row>
    <row r="44" ht="24.0" customHeight="1">
      <c r="A44" s="89" t="s">
        <v>203</v>
      </c>
      <c r="B44" s="110">
        <v>46101.0</v>
      </c>
      <c r="C44" s="90"/>
      <c r="D44" s="91" t="s">
        <v>204</v>
      </c>
      <c r="E44" s="92"/>
      <c r="F44" s="93"/>
      <c r="G44" s="89" t="s">
        <v>153</v>
      </c>
      <c r="H44" s="94">
        <v>2.0</v>
      </c>
      <c r="I44" s="95">
        <f>IF(G44="", "", IFERROR(VLOOKUP(G44, Products!A:F, 4, FALSE), ""))
</f>
        <v>80</v>
      </c>
      <c r="J44" s="95">
        <v>0.0</v>
      </c>
      <c r="K44" s="96">
        <f t="shared" si="5"/>
        <v>160</v>
      </c>
      <c r="L44" s="97">
        <v>0.0</v>
      </c>
      <c r="M44" s="93"/>
      <c r="N44" s="94">
        <f t="shared" si="2"/>
        <v>160</v>
      </c>
      <c r="O44" s="99" t="b">
        <v>1</v>
      </c>
      <c r="P44" s="99" t="b">
        <v>1</v>
      </c>
      <c r="Q44" s="100">
        <v>160.0</v>
      </c>
      <c r="R44" s="93" t="s">
        <v>115</v>
      </c>
      <c r="S44" s="101">
        <f t="shared" si="3"/>
        <v>0</v>
      </c>
      <c r="T44" s="102" t="b">
        <v>1</v>
      </c>
      <c r="U44" s="103" t="s">
        <v>116</v>
      </c>
      <c r="V44" s="104" t="b">
        <v>0</v>
      </c>
      <c r="W44" s="104" t="b">
        <v>0</v>
      </c>
      <c r="X44" s="104" t="b">
        <v>0</v>
      </c>
    </row>
    <row r="45" ht="24.0" customHeight="1">
      <c r="A45" s="89" t="s">
        <v>189</v>
      </c>
      <c r="B45" s="110">
        <v>46101.0</v>
      </c>
      <c r="C45" s="90"/>
      <c r="D45" s="91" t="s">
        <v>195</v>
      </c>
      <c r="E45" s="92"/>
      <c r="F45" s="93"/>
      <c r="G45" s="89" t="s">
        <v>104</v>
      </c>
      <c r="H45" s="94">
        <v>2.0</v>
      </c>
      <c r="I45" s="95">
        <f>IF(G45="", "", IFERROR(VLOOKUP(G45, Products!A:F, 4, FALSE), ""))
</f>
        <v>80</v>
      </c>
      <c r="J45" s="95">
        <v>0.0</v>
      </c>
      <c r="K45" s="96">
        <f t="shared" si="5"/>
        <v>160</v>
      </c>
      <c r="L45" s="97">
        <v>160.0</v>
      </c>
      <c r="M45" s="98" t="s">
        <v>73</v>
      </c>
      <c r="N45" s="94">
        <f t="shared" si="2"/>
        <v>0</v>
      </c>
      <c r="O45" s="99" t="b">
        <v>1</v>
      </c>
      <c r="P45" s="99" t="b">
        <v>1</v>
      </c>
      <c r="Q45" s="100"/>
      <c r="R45" s="93"/>
      <c r="S45" s="101">
        <f t="shared" si="3"/>
        <v>0</v>
      </c>
      <c r="T45" s="102" t="b">
        <v>1</v>
      </c>
      <c r="U45" s="93"/>
      <c r="V45" s="106" t="b">
        <v>0</v>
      </c>
      <c r="W45" s="106" t="b">
        <v>0</v>
      </c>
      <c r="X45" s="106" t="b">
        <v>0</v>
      </c>
    </row>
    <row r="46" ht="24.0" customHeight="1">
      <c r="A46" s="89" t="s">
        <v>225</v>
      </c>
      <c r="B46" s="110">
        <v>46101.0</v>
      </c>
      <c r="C46" s="90"/>
      <c r="D46" s="91" t="s">
        <v>195</v>
      </c>
      <c r="E46" s="92"/>
      <c r="F46" s="93"/>
      <c r="G46" s="89" t="s">
        <v>104</v>
      </c>
      <c r="H46" s="94">
        <v>1.0</v>
      </c>
      <c r="I46" s="95">
        <f>IF(G46="", "", IFERROR(VLOOKUP(G46, Products!A:F, 4, FALSE), ""))
</f>
        <v>80</v>
      </c>
      <c r="J46" s="95">
        <v>0.0</v>
      </c>
      <c r="K46" s="96">
        <f t="shared" si="5"/>
        <v>80</v>
      </c>
      <c r="L46" s="97">
        <v>40.0</v>
      </c>
      <c r="M46" s="98" t="s">
        <v>73</v>
      </c>
      <c r="N46" s="94">
        <f t="shared" si="2"/>
        <v>40</v>
      </c>
      <c r="O46" s="99" t="b">
        <v>1</v>
      </c>
      <c r="P46" s="99" t="b">
        <v>1</v>
      </c>
      <c r="Q46" s="100">
        <v>40.0</v>
      </c>
      <c r="R46" s="93" t="s">
        <v>115</v>
      </c>
      <c r="S46" s="101">
        <f t="shared" si="3"/>
        <v>0</v>
      </c>
      <c r="T46" s="102" t="b">
        <v>1</v>
      </c>
      <c r="U46" s="103" t="s">
        <v>116</v>
      </c>
      <c r="V46" s="104" t="b">
        <v>0</v>
      </c>
      <c r="W46" s="104" t="b">
        <v>0</v>
      </c>
      <c r="X46" s="104" t="b">
        <v>0</v>
      </c>
    </row>
    <row r="47" ht="24.0" customHeight="1">
      <c r="A47" s="89" t="s">
        <v>225</v>
      </c>
      <c r="B47" s="110">
        <v>46101.0</v>
      </c>
      <c r="C47" s="90"/>
      <c r="D47" s="91" t="s">
        <v>195</v>
      </c>
      <c r="E47" s="92"/>
      <c r="F47" s="93"/>
      <c r="G47" s="89" t="s">
        <v>153</v>
      </c>
      <c r="H47" s="94">
        <v>1.0</v>
      </c>
      <c r="I47" s="95">
        <f>IF(G47="", "", IFERROR(VLOOKUP(G47, Products!A:F, 4, FALSE), ""))
</f>
        <v>80</v>
      </c>
      <c r="J47" s="95">
        <v>0.0</v>
      </c>
      <c r="K47" s="96">
        <f t="shared" si="5"/>
        <v>80</v>
      </c>
      <c r="L47" s="97">
        <v>40.0</v>
      </c>
      <c r="M47" s="98" t="s">
        <v>73</v>
      </c>
      <c r="N47" s="94">
        <f t="shared" si="2"/>
        <v>40</v>
      </c>
      <c r="O47" s="99" t="b">
        <v>1</v>
      </c>
      <c r="P47" s="99" t="b">
        <v>1</v>
      </c>
      <c r="Q47" s="100">
        <v>40.0</v>
      </c>
      <c r="R47" s="93" t="s">
        <v>115</v>
      </c>
      <c r="S47" s="101">
        <f t="shared" si="3"/>
        <v>0</v>
      </c>
      <c r="T47" s="102" t="b">
        <v>1</v>
      </c>
      <c r="U47" s="103" t="s">
        <v>116</v>
      </c>
      <c r="V47" s="104" t="b">
        <v>0</v>
      </c>
      <c r="W47" s="104" t="b">
        <v>0</v>
      </c>
      <c r="X47" s="104" t="b">
        <v>0</v>
      </c>
    </row>
    <row r="48" ht="24.0" customHeight="1">
      <c r="A48" s="89" t="s">
        <v>175</v>
      </c>
      <c r="B48" s="110">
        <v>46101.0</v>
      </c>
      <c r="C48" s="90"/>
      <c r="D48" s="91" t="s">
        <v>93</v>
      </c>
      <c r="E48" s="91" t="s">
        <v>358</v>
      </c>
      <c r="F48" s="93"/>
      <c r="G48" s="89" t="s">
        <v>153</v>
      </c>
      <c r="H48" s="94">
        <v>4.0</v>
      </c>
      <c r="I48" s="95">
        <f>IF(G48="", "", IFERROR(VLOOKUP(G48, Products!A:F, 4, FALSE), ""))
</f>
        <v>80</v>
      </c>
      <c r="J48" s="95">
        <v>0.0</v>
      </c>
      <c r="K48" s="96">
        <f t="shared" si="5"/>
        <v>320</v>
      </c>
      <c r="L48" s="97">
        <v>320.0</v>
      </c>
      <c r="M48" s="98" t="s">
        <v>73</v>
      </c>
      <c r="N48" s="94">
        <f t="shared" si="2"/>
        <v>0</v>
      </c>
      <c r="O48" s="99" t="b">
        <v>1</v>
      </c>
      <c r="P48" s="99" t="b">
        <v>1</v>
      </c>
      <c r="Q48" s="100"/>
      <c r="R48" s="93"/>
      <c r="S48" s="101">
        <f t="shared" si="3"/>
        <v>0</v>
      </c>
      <c r="T48" s="102" t="b">
        <v>1</v>
      </c>
      <c r="U48" s="93"/>
      <c r="V48" s="106" t="b">
        <v>0</v>
      </c>
      <c r="W48" s="106" t="b">
        <v>0</v>
      </c>
      <c r="X48" s="106" t="b">
        <v>0</v>
      </c>
    </row>
    <row r="49" ht="24.0" customHeight="1">
      <c r="A49" s="89" t="s">
        <v>236</v>
      </c>
      <c r="B49" s="110">
        <v>46101.0</v>
      </c>
      <c r="C49" s="90"/>
      <c r="D49" s="91" t="s">
        <v>195</v>
      </c>
      <c r="E49" s="92"/>
      <c r="F49" s="93"/>
      <c r="G49" s="89" t="s">
        <v>104</v>
      </c>
      <c r="H49" s="94">
        <v>4.0</v>
      </c>
      <c r="I49" s="95">
        <f>IF(G49="", "", IFERROR(VLOOKUP(G49, Products!A:F, 4, FALSE), ""))
</f>
        <v>80</v>
      </c>
      <c r="J49" s="95">
        <v>0.0</v>
      </c>
      <c r="K49" s="96">
        <f t="shared" si="5"/>
        <v>320</v>
      </c>
      <c r="L49" s="97">
        <v>160.0</v>
      </c>
      <c r="M49" s="98" t="s">
        <v>110</v>
      </c>
      <c r="N49" s="94">
        <f t="shared" si="2"/>
        <v>160</v>
      </c>
      <c r="O49" s="99" t="b">
        <v>1</v>
      </c>
      <c r="P49" s="99" t="b">
        <v>1</v>
      </c>
      <c r="Q49" s="97">
        <v>160.0</v>
      </c>
      <c r="R49" s="93" t="s">
        <v>115</v>
      </c>
      <c r="S49" s="101">
        <f t="shared" si="3"/>
        <v>0</v>
      </c>
      <c r="T49" s="102" t="b">
        <v>1</v>
      </c>
      <c r="U49" s="103" t="s">
        <v>116</v>
      </c>
      <c r="V49" s="104" t="b">
        <v>0</v>
      </c>
      <c r="W49" s="104" t="b">
        <v>0</v>
      </c>
      <c r="X49" s="104" t="b">
        <v>0</v>
      </c>
    </row>
    <row r="50" ht="24.0" customHeight="1">
      <c r="A50" s="89" t="s">
        <v>216</v>
      </c>
      <c r="B50" s="110">
        <v>46101.0</v>
      </c>
      <c r="C50" s="90"/>
      <c r="D50" s="91" t="s">
        <v>53</v>
      </c>
      <c r="E50" s="91" t="s">
        <v>218</v>
      </c>
      <c r="F50" s="93"/>
      <c r="G50" s="89" t="s">
        <v>104</v>
      </c>
      <c r="H50" s="94">
        <v>3.0</v>
      </c>
      <c r="I50" s="95">
        <f>IF(G50="", "", IFERROR(VLOOKUP(G50, Products!A:F, 4, FALSE), ""))
</f>
        <v>80</v>
      </c>
      <c r="J50" s="95">
        <v>0.0</v>
      </c>
      <c r="K50" s="96">
        <f t="shared" si="5"/>
        <v>240</v>
      </c>
      <c r="L50" s="97">
        <v>200.0</v>
      </c>
      <c r="M50" s="98" t="s">
        <v>73</v>
      </c>
      <c r="N50" s="94">
        <f t="shared" si="2"/>
        <v>40</v>
      </c>
      <c r="O50" s="99" t="b">
        <v>1</v>
      </c>
      <c r="P50" s="99" t="b">
        <v>1</v>
      </c>
      <c r="Q50" s="100">
        <v>120.0</v>
      </c>
      <c r="R50" s="93" t="s">
        <v>73</v>
      </c>
      <c r="S50" s="94">
        <v>0.0</v>
      </c>
      <c r="T50" s="102" t="b">
        <v>1</v>
      </c>
      <c r="U50" s="93"/>
      <c r="V50" s="106" t="b">
        <v>0</v>
      </c>
      <c r="W50" s="106" t="b">
        <v>0</v>
      </c>
      <c r="X50" s="106" t="b">
        <v>0</v>
      </c>
    </row>
    <row r="51" ht="24.0" customHeight="1">
      <c r="A51" s="89" t="s">
        <v>227</v>
      </c>
      <c r="B51" s="110">
        <v>46101.0</v>
      </c>
      <c r="C51" s="90"/>
      <c r="D51" s="91" t="s">
        <v>228</v>
      </c>
      <c r="E51" s="92"/>
      <c r="F51" s="93"/>
      <c r="G51" s="89" t="s">
        <v>104</v>
      </c>
      <c r="H51" s="94">
        <v>4.0</v>
      </c>
      <c r="I51" s="95">
        <f>IF(G51="", "", IFERROR(VLOOKUP(G51, Products!A:F, 4, FALSE), ""))
</f>
        <v>80</v>
      </c>
      <c r="J51" s="95">
        <v>0.0</v>
      </c>
      <c r="K51" s="96">
        <f t="shared" si="5"/>
        <v>320</v>
      </c>
      <c r="L51" s="97">
        <v>200.0</v>
      </c>
      <c r="M51" s="98" t="s">
        <v>73</v>
      </c>
      <c r="N51" s="94">
        <f t="shared" si="2"/>
        <v>120</v>
      </c>
      <c r="O51" s="99" t="b">
        <v>1</v>
      </c>
      <c r="P51" s="99" t="b">
        <v>1</v>
      </c>
      <c r="Q51" s="100">
        <v>120.0</v>
      </c>
      <c r="R51" s="93" t="s">
        <v>115</v>
      </c>
      <c r="S51" s="101">
        <f t="shared" ref="S51:S56" si="6">N51-Q51</f>
        <v>0</v>
      </c>
      <c r="T51" s="102" t="b">
        <v>1</v>
      </c>
      <c r="U51" s="103" t="s">
        <v>116</v>
      </c>
      <c r="V51" s="104" t="b">
        <v>0</v>
      </c>
      <c r="W51" s="104" t="b">
        <v>0</v>
      </c>
      <c r="X51" s="104" t="b">
        <v>0</v>
      </c>
    </row>
    <row r="52" ht="24.0" customHeight="1">
      <c r="A52" s="89" t="s">
        <v>229</v>
      </c>
      <c r="B52" s="110">
        <v>46101.0</v>
      </c>
      <c r="C52" s="90"/>
      <c r="D52" s="91" t="s">
        <v>78</v>
      </c>
      <c r="E52" s="91" t="s">
        <v>231</v>
      </c>
      <c r="F52" s="93"/>
      <c r="G52" s="89" t="s">
        <v>104</v>
      </c>
      <c r="H52" s="94">
        <v>4.0</v>
      </c>
      <c r="I52" s="95">
        <f>IF(G52="", "", IFERROR(VLOOKUP(G52, Products!A:F, 4, FALSE), ""))
</f>
        <v>80</v>
      </c>
      <c r="J52" s="95">
        <v>0.0</v>
      </c>
      <c r="K52" s="96">
        <f t="shared" si="5"/>
        <v>320</v>
      </c>
      <c r="L52" s="97">
        <v>320.0</v>
      </c>
      <c r="M52" s="98" t="s">
        <v>73</v>
      </c>
      <c r="N52" s="94">
        <f t="shared" si="2"/>
        <v>0</v>
      </c>
      <c r="O52" s="99" t="b">
        <v>1</v>
      </c>
      <c r="P52" s="99" t="b">
        <v>1</v>
      </c>
      <c r="Q52" s="100"/>
      <c r="R52" s="93"/>
      <c r="S52" s="101">
        <f t="shared" si="6"/>
        <v>0</v>
      </c>
      <c r="T52" s="102" t="b">
        <v>1</v>
      </c>
      <c r="U52" s="93"/>
      <c r="V52" s="106" t="b">
        <v>0</v>
      </c>
      <c r="W52" s="106" t="b">
        <v>0</v>
      </c>
      <c r="X52" s="106" t="b">
        <v>0</v>
      </c>
    </row>
    <row r="53" ht="24.0" customHeight="1">
      <c r="A53" s="89" t="s">
        <v>242</v>
      </c>
      <c r="B53" s="110">
        <v>46101.0</v>
      </c>
      <c r="C53" s="90"/>
      <c r="D53" s="91" t="s">
        <v>243</v>
      </c>
      <c r="E53" s="92"/>
      <c r="F53" s="93"/>
      <c r="G53" s="89" t="s">
        <v>104</v>
      </c>
      <c r="H53" s="94">
        <v>8.0</v>
      </c>
      <c r="I53" s="95">
        <f>IF(G53="", "", IFERROR(VLOOKUP(G53, Products!A:F, 4, FALSE), ""))
</f>
        <v>80</v>
      </c>
      <c r="J53" s="95">
        <v>0.0</v>
      </c>
      <c r="K53" s="96">
        <f t="shared" si="5"/>
        <v>640</v>
      </c>
      <c r="L53" s="97">
        <v>320.0</v>
      </c>
      <c r="M53" s="98" t="s">
        <v>73</v>
      </c>
      <c r="N53" s="94">
        <f t="shared" si="2"/>
        <v>320</v>
      </c>
      <c r="O53" s="99" t="b">
        <v>1</v>
      </c>
      <c r="P53" s="99" t="b">
        <v>1</v>
      </c>
      <c r="Q53" s="100">
        <v>320.0</v>
      </c>
      <c r="R53" s="93" t="s">
        <v>115</v>
      </c>
      <c r="S53" s="101">
        <f t="shared" si="6"/>
        <v>0</v>
      </c>
      <c r="T53" s="102" t="b">
        <v>1</v>
      </c>
      <c r="U53" s="103" t="s">
        <v>116</v>
      </c>
      <c r="V53" s="104" t="b">
        <v>0</v>
      </c>
      <c r="W53" s="104" t="b">
        <v>0</v>
      </c>
      <c r="X53" s="104" t="b">
        <v>0</v>
      </c>
    </row>
    <row r="54" ht="24.0" customHeight="1">
      <c r="A54" s="89" t="s">
        <v>193</v>
      </c>
      <c r="B54" s="110">
        <v>46101.0</v>
      </c>
      <c r="C54" s="90"/>
      <c r="D54" s="91" t="s">
        <v>53</v>
      </c>
      <c r="E54" s="91" t="s">
        <v>57</v>
      </c>
      <c r="F54" s="93"/>
      <c r="G54" s="89" t="s">
        <v>104</v>
      </c>
      <c r="H54" s="94">
        <v>11.0</v>
      </c>
      <c r="I54" s="95">
        <f>IF(G54="", "", IFERROR(VLOOKUP(G54, Products!A:F, 4, FALSE), ""))
</f>
        <v>80</v>
      </c>
      <c r="J54" s="95">
        <v>0.0</v>
      </c>
      <c r="K54" s="96">
        <f t="shared" si="5"/>
        <v>880</v>
      </c>
      <c r="L54" s="97">
        <v>400.0</v>
      </c>
      <c r="M54" s="98" t="s">
        <v>73</v>
      </c>
      <c r="N54" s="94">
        <f t="shared" si="2"/>
        <v>480</v>
      </c>
      <c r="O54" s="99" t="b">
        <v>1</v>
      </c>
      <c r="P54" s="99" t="b">
        <v>1</v>
      </c>
      <c r="Q54" s="97">
        <v>480.0</v>
      </c>
      <c r="R54" s="98" t="s">
        <v>73</v>
      </c>
      <c r="S54" s="101">
        <f t="shared" si="6"/>
        <v>0</v>
      </c>
      <c r="T54" s="102" t="b">
        <v>1</v>
      </c>
      <c r="U54" s="93"/>
      <c r="V54" s="106" t="b">
        <v>0</v>
      </c>
      <c r="W54" s="106" t="b">
        <v>0</v>
      </c>
      <c r="X54" s="106" t="b">
        <v>0</v>
      </c>
    </row>
    <row r="55" ht="24.0" customHeight="1">
      <c r="A55" s="89" t="s">
        <v>211</v>
      </c>
      <c r="B55" s="110">
        <v>46101.0</v>
      </c>
      <c r="C55" s="90"/>
      <c r="D55" s="91" t="s">
        <v>188</v>
      </c>
      <c r="E55" s="92"/>
      <c r="F55" s="93"/>
      <c r="G55" s="89" t="s">
        <v>104</v>
      </c>
      <c r="H55" s="94">
        <v>3.0</v>
      </c>
      <c r="I55" s="95">
        <f>IF(G55="", "", IFERROR(VLOOKUP(G55, Products!A:F, 4, FALSE), ""))
</f>
        <v>80</v>
      </c>
      <c r="J55" s="95">
        <v>0.0</v>
      </c>
      <c r="K55" s="96">
        <f t="shared" si="5"/>
        <v>240</v>
      </c>
      <c r="L55" s="97">
        <v>150.0</v>
      </c>
      <c r="M55" s="98" t="s">
        <v>73</v>
      </c>
      <c r="N55" s="94">
        <f t="shared" si="2"/>
        <v>90</v>
      </c>
      <c r="O55" s="156" t="b">
        <v>1</v>
      </c>
      <c r="P55" s="156" t="b">
        <v>1</v>
      </c>
      <c r="Q55" s="97">
        <v>90.0</v>
      </c>
      <c r="R55" s="98" t="s">
        <v>115</v>
      </c>
      <c r="S55" s="101">
        <f t="shared" si="6"/>
        <v>0</v>
      </c>
      <c r="T55" s="99" t="b">
        <v>1</v>
      </c>
      <c r="U55" s="103" t="s">
        <v>116</v>
      </c>
      <c r="V55" s="104" t="b">
        <v>0</v>
      </c>
      <c r="W55" s="104" t="b">
        <v>0</v>
      </c>
      <c r="X55" s="104" t="b">
        <v>0</v>
      </c>
    </row>
    <row r="56" ht="24.0" customHeight="1">
      <c r="A56" s="89" t="s">
        <v>245</v>
      </c>
      <c r="B56" s="110">
        <v>46101.0</v>
      </c>
      <c r="C56" s="90"/>
      <c r="D56" s="91" t="s">
        <v>188</v>
      </c>
      <c r="E56" s="92"/>
      <c r="F56" s="93"/>
      <c r="G56" s="89" t="s">
        <v>104</v>
      </c>
      <c r="H56" s="94">
        <v>1.0</v>
      </c>
      <c r="I56" s="95">
        <f>IF(G56="", "", IFERROR(VLOOKUP(G56, Products!A:F, 4, FALSE), ""))
</f>
        <v>80</v>
      </c>
      <c r="J56" s="95">
        <v>0.0</v>
      </c>
      <c r="K56" s="96">
        <f t="shared" si="5"/>
        <v>80</v>
      </c>
      <c r="L56" s="97">
        <v>40.0</v>
      </c>
      <c r="M56" s="98" t="s">
        <v>73</v>
      </c>
      <c r="N56" s="94">
        <f t="shared" si="2"/>
        <v>40</v>
      </c>
      <c r="O56" s="156" t="b">
        <v>1</v>
      </c>
      <c r="P56" s="156" t="b">
        <v>1</v>
      </c>
      <c r="Q56" s="97">
        <v>40.0</v>
      </c>
      <c r="R56" s="98" t="s">
        <v>115</v>
      </c>
      <c r="S56" s="101">
        <f t="shared" si="6"/>
        <v>0</v>
      </c>
      <c r="T56" s="99" t="b">
        <v>1</v>
      </c>
      <c r="U56" s="103" t="s">
        <v>116</v>
      </c>
      <c r="V56" s="104" t="b">
        <v>0</v>
      </c>
      <c r="W56" s="104" t="b">
        <v>0</v>
      </c>
      <c r="X56" s="104" t="b">
        <v>0</v>
      </c>
    </row>
    <row r="57" ht="24.0" customHeight="1">
      <c r="A57" s="89" t="s">
        <v>219</v>
      </c>
      <c r="B57" s="110">
        <v>46101.0</v>
      </c>
      <c r="C57" s="90"/>
      <c r="D57" s="91" t="s">
        <v>53</v>
      </c>
      <c r="E57" s="91" t="s">
        <v>220</v>
      </c>
      <c r="F57" s="93"/>
      <c r="G57" s="89" t="s">
        <v>104</v>
      </c>
      <c r="H57" s="94">
        <v>2.0</v>
      </c>
      <c r="I57" s="95">
        <f>IF(G57="", "", IFERROR(VLOOKUP(G57, Products!A:F, 4, FALSE), ""))
</f>
        <v>80</v>
      </c>
      <c r="J57" s="95">
        <v>0.0</v>
      </c>
      <c r="K57" s="96">
        <f t="shared" si="5"/>
        <v>160</v>
      </c>
      <c r="L57" s="97">
        <v>160.0</v>
      </c>
      <c r="M57" s="98" t="s">
        <v>73</v>
      </c>
      <c r="N57" s="94">
        <f t="shared" si="2"/>
        <v>0</v>
      </c>
      <c r="O57" s="99" t="b">
        <v>1</v>
      </c>
      <c r="P57" s="99" t="b">
        <v>1</v>
      </c>
      <c r="Q57" s="100">
        <v>40.0</v>
      </c>
      <c r="R57" s="93" t="s">
        <v>271</v>
      </c>
      <c r="S57" s="94">
        <v>0.0</v>
      </c>
      <c r="T57" s="102" t="b">
        <v>1</v>
      </c>
      <c r="U57" s="103" t="s">
        <v>272</v>
      </c>
      <c r="V57" s="104" t="b">
        <v>0</v>
      </c>
      <c r="W57" s="104" t="b">
        <v>0</v>
      </c>
      <c r="X57" s="104" t="b">
        <v>0</v>
      </c>
    </row>
    <row r="58" ht="24.0" customHeight="1">
      <c r="A58" s="89" t="s">
        <v>223</v>
      </c>
      <c r="B58" s="110">
        <v>46101.0</v>
      </c>
      <c r="C58" s="90"/>
      <c r="D58" s="136" t="s">
        <v>93</v>
      </c>
      <c r="E58" s="136" t="s">
        <v>156</v>
      </c>
      <c r="F58" s="93"/>
      <c r="G58" s="89" t="s">
        <v>104</v>
      </c>
      <c r="H58" s="94">
        <v>4.0</v>
      </c>
      <c r="I58" s="95">
        <f>IF(G58="", "", IFERROR(VLOOKUP(G58, Products!A:F, 4, FALSE), ""))
</f>
        <v>80</v>
      </c>
      <c r="J58" s="95">
        <v>0.0</v>
      </c>
      <c r="K58" s="96">
        <f t="shared" si="5"/>
        <v>320</v>
      </c>
      <c r="L58" s="97">
        <v>100.0</v>
      </c>
      <c r="M58" s="98" t="s">
        <v>73</v>
      </c>
      <c r="N58" s="94">
        <f t="shared" si="2"/>
        <v>220</v>
      </c>
      <c r="O58" s="99" t="b">
        <v>1</v>
      </c>
      <c r="P58" s="99" t="b">
        <v>1</v>
      </c>
      <c r="Q58" s="100">
        <v>220.0</v>
      </c>
      <c r="R58" s="93" t="s">
        <v>271</v>
      </c>
      <c r="S58" s="101">
        <f t="shared" ref="S58:S84" si="7">N58-Q58</f>
        <v>0</v>
      </c>
      <c r="T58" s="102" t="b">
        <v>1</v>
      </c>
      <c r="U58" s="103" t="s">
        <v>272</v>
      </c>
      <c r="V58" s="104" t="b">
        <v>0</v>
      </c>
      <c r="W58" s="104" t="b">
        <v>0</v>
      </c>
      <c r="X58" s="104" t="b">
        <v>0</v>
      </c>
    </row>
    <row r="59" ht="24.0" customHeight="1">
      <c r="A59" s="89" t="s">
        <v>223</v>
      </c>
      <c r="B59" s="110">
        <v>46101.0</v>
      </c>
      <c r="C59" s="90"/>
      <c r="D59" s="136" t="s">
        <v>93</v>
      </c>
      <c r="E59" s="136" t="s">
        <v>156</v>
      </c>
      <c r="F59" s="93"/>
      <c r="G59" s="89" t="s">
        <v>153</v>
      </c>
      <c r="H59" s="94">
        <v>4.0</v>
      </c>
      <c r="I59" s="95">
        <f>IF(G59="", "", IFERROR(VLOOKUP(G59, Products!A:F, 4, FALSE), ""))
</f>
        <v>80</v>
      </c>
      <c r="J59" s="95">
        <v>0.0</v>
      </c>
      <c r="K59" s="96">
        <f t="shared" si="5"/>
        <v>320</v>
      </c>
      <c r="L59" s="97">
        <v>220.0</v>
      </c>
      <c r="M59" s="98" t="s">
        <v>73</v>
      </c>
      <c r="N59" s="94">
        <f t="shared" si="2"/>
        <v>100</v>
      </c>
      <c r="O59" s="99" t="b">
        <v>1</v>
      </c>
      <c r="P59" s="99" t="b">
        <v>1</v>
      </c>
      <c r="Q59" s="100">
        <v>100.0</v>
      </c>
      <c r="R59" s="93" t="s">
        <v>271</v>
      </c>
      <c r="S59" s="101">
        <f t="shared" si="7"/>
        <v>0</v>
      </c>
      <c r="T59" s="102" t="b">
        <v>1</v>
      </c>
      <c r="U59" s="103" t="s">
        <v>272</v>
      </c>
      <c r="V59" s="104" t="b">
        <v>0</v>
      </c>
      <c r="W59" s="104" t="b">
        <v>0</v>
      </c>
      <c r="X59" s="104" t="b">
        <v>0</v>
      </c>
    </row>
    <row r="60" ht="24.0" customHeight="1">
      <c r="A60" s="89" t="s">
        <v>199</v>
      </c>
      <c r="B60" s="110">
        <v>46101.0</v>
      </c>
      <c r="C60" s="90"/>
      <c r="D60" s="91" t="s">
        <v>403</v>
      </c>
      <c r="E60" s="92"/>
      <c r="F60" s="93"/>
      <c r="G60" s="157" t="s">
        <v>145</v>
      </c>
      <c r="H60" s="94">
        <v>1.0</v>
      </c>
      <c r="I60" s="95">
        <f>IF(G60="", "", IFERROR(VLOOKUP(G60, Products!A:F, 4, FALSE), ""))
</f>
        <v>100</v>
      </c>
      <c r="J60" s="95">
        <v>0.0</v>
      </c>
      <c r="K60" s="96">
        <f t="shared" si="5"/>
        <v>100</v>
      </c>
      <c r="L60" s="97">
        <v>100.0</v>
      </c>
      <c r="M60" s="98" t="s">
        <v>73</v>
      </c>
      <c r="N60" s="94">
        <f t="shared" si="2"/>
        <v>0</v>
      </c>
      <c r="O60" s="99" t="b">
        <v>1</v>
      </c>
      <c r="P60" s="99" t="b">
        <v>1</v>
      </c>
      <c r="Q60" s="100"/>
      <c r="R60" s="93"/>
      <c r="S60" s="101">
        <f t="shared" si="7"/>
        <v>0</v>
      </c>
      <c r="T60" s="102" t="b">
        <v>1</v>
      </c>
      <c r="U60" s="93"/>
      <c r="V60" s="106" t="b">
        <v>0</v>
      </c>
      <c r="W60" s="106" t="b">
        <v>0</v>
      </c>
      <c r="X60" s="106" t="b">
        <v>0</v>
      </c>
    </row>
    <row r="61" ht="24.0" customHeight="1">
      <c r="A61" s="89" t="s">
        <v>208</v>
      </c>
      <c r="B61" s="110">
        <v>46101.0</v>
      </c>
      <c r="C61" s="90"/>
      <c r="D61" s="91" t="s">
        <v>93</v>
      </c>
      <c r="E61" s="91" t="s">
        <v>209</v>
      </c>
      <c r="F61" s="93"/>
      <c r="G61" s="89" t="s">
        <v>153</v>
      </c>
      <c r="H61" s="94">
        <v>2.0</v>
      </c>
      <c r="I61" s="95">
        <f>IF(G61="", "", IFERROR(VLOOKUP(G61, Products!A:F, 4, FALSE), ""))
</f>
        <v>80</v>
      </c>
      <c r="J61" s="95">
        <v>0.0</v>
      </c>
      <c r="K61" s="96">
        <f t="shared" si="5"/>
        <v>160</v>
      </c>
      <c r="L61" s="97">
        <v>160.0</v>
      </c>
      <c r="M61" s="98" t="s">
        <v>73</v>
      </c>
      <c r="N61" s="94">
        <f t="shared" si="2"/>
        <v>0</v>
      </c>
      <c r="O61" s="156" t="b">
        <v>1</v>
      </c>
      <c r="P61" s="156" t="b">
        <v>1</v>
      </c>
      <c r="Q61" s="100"/>
      <c r="R61" s="93"/>
      <c r="S61" s="101">
        <f t="shared" si="7"/>
        <v>0</v>
      </c>
      <c r="T61" s="102" t="b">
        <v>1</v>
      </c>
      <c r="U61" s="93"/>
      <c r="V61" s="106" t="b">
        <v>0</v>
      </c>
      <c r="W61" s="106" t="b">
        <v>0</v>
      </c>
      <c r="X61" s="106" t="b">
        <v>0</v>
      </c>
    </row>
    <row r="62" ht="24.0" customHeight="1">
      <c r="A62" s="89" t="s">
        <v>234</v>
      </c>
      <c r="B62" s="110">
        <v>46101.0</v>
      </c>
      <c r="C62" s="90"/>
      <c r="D62" s="91" t="s">
        <v>93</v>
      </c>
      <c r="E62" s="91" t="s">
        <v>235</v>
      </c>
      <c r="F62" s="93"/>
      <c r="G62" s="89" t="s">
        <v>104</v>
      </c>
      <c r="H62" s="94">
        <v>8.0</v>
      </c>
      <c r="I62" s="95">
        <f>IF(G62="", "", IFERROR(VLOOKUP(G62, Products!A:F, 4, FALSE), ""))
</f>
        <v>80</v>
      </c>
      <c r="J62" s="95">
        <v>0.0</v>
      </c>
      <c r="K62" s="96">
        <f t="shared" si="5"/>
        <v>640</v>
      </c>
      <c r="L62" s="97">
        <v>640.0</v>
      </c>
      <c r="M62" s="98" t="s">
        <v>73</v>
      </c>
      <c r="N62" s="94">
        <f t="shared" si="2"/>
        <v>0</v>
      </c>
      <c r="O62" s="99" t="b">
        <v>1</v>
      </c>
      <c r="P62" s="99" t="b">
        <v>1</v>
      </c>
      <c r="Q62" s="100"/>
      <c r="R62" s="93"/>
      <c r="S62" s="101">
        <f t="shared" si="7"/>
        <v>0</v>
      </c>
      <c r="T62" s="102" t="b">
        <v>1</v>
      </c>
      <c r="U62" s="93"/>
      <c r="V62" s="106" t="b">
        <v>0</v>
      </c>
      <c r="W62" s="106" t="b">
        <v>0</v>
      </c>
      <c r="X62" s="106" t="b">
        <v>0</v>
      </c>
    </row>
    <row r="63" ht="24.0" customHeight="1">
      <c r="A63" s="89" t="s">
        <v>196</v>
      </c>
      <c r="B63" s="110">
        <v>46101.0</v>
      </c>
      <c r="C63" s="90"/>
      <c r="D63" s="91" t="s">
        <v>403</v>
      </c>
      <c r="E63" s="92"/>
      <c r="F63" s="93"/>
      <c r="G63" s="157" t="s">
        <v>145</v>
      </c>
      <c r="H63" s="94">
        <v>1.0</v>
      </c>
      <c r="I63" s="95">
        <f>IF(G63="", "", IFERROR(VLOOKUP(G63, Products!A:F, 4, FALSE), ""))
</f>
        <v>100</v>
      </c>
      <c r="J63" s="95">
        <v>0.0</v>
      </c>
      <c r="K63" s="96">
        <f t="shared" si="5"/>
        <v>100</v>
      </c>
      <c r="L63" s="97">
        <v>100.0</v>
      </c>
      <c r="M63" s="98" t="s">
        <v>73</v>
      </c>
      <c r="N63" s="94">
        <f t="shared" si="2"/>
        <v>0</v>
      </c>
      <c r="O63" s="99" t="b">
        <v>1</v>
      </c>
      <c r="P63" s="99" t="b">
        <v>1</v>
      </c>
      <c r="Q63" s="100"/>
      <c r="R63" s="93"/>
      <c r="S63" s="101">
        <f t="shared" si="7"/>
        <v>0</v>
      </c>
      <c r="T63" s="102" t="b">
        <v>1</v>
      </c>
      <c r="U63" s="93"/>
      <c r="V63" s="106" t="b">
        <v>0</v>
      </c>
      <c r="W63" s="106" t="b">
        <v>0</v>
      </c>
      <c r="X63" s="106" t="b">
        <v>0</v>
      </c>
    </row>
    <row r="64" ht="24.0" customHeight="1">
      <c r="A64" s="89" t="s">
        <v>215</v>
      </c>
      <c r="B64" s="110">
        <v>46101.0</v>
      </c>
      <c r="C64" s="90"/>
      <c r="D64" s="136" t="s">
        <v>93</v>
      </c>
      <c r="E64" s="136" t="s">
        <v>156</v>
      </c>
      <c r="F64" s="93"/>
      <c r="G64" s="89" t="s">
        <v>104</v>
      </c>
      <c r="H64" s="94">
        <v>3.0</v>
      </c>
      <c r="I64" s="95">
        <f>IF(G64="", "", IFERROR(VLOOKUP(G64, Products!A:F, 4, FALSE), ""))
</f>
        <v>80</v>
      </c>
      <c r="J64" s="95">
        <v>0.0</v>
      </c>
      <c r="K64" s="96">
        <f t="shared" si="5"/>
        <v>240</v>
      </c>
      <c r="L64" s="97">
        <v>120.0</v>
      </c>
      <c r="M64" s="98" t="s">
        <v>73</v>
      </c>
      <c r="N64" s="94">
        <f t="shared" si="2"/>
        <v>120</v>
      </c>
      <c r="O64" s="99" t="b">
        <v>1</v>
      </c>
      <c r="P64" s="99" t="b">
        <v>1</v>
      </c>
      <c r="Q64" s="100">
        <v>120.0</v>
      </c>
      <c r="R64" s="93" t="s">
        <v>271</v>
      </c>
      <c r="S64" s="101">
        <f t="shared" si="7"/>
        <v>0</v>
      </c>
      <c r="T64" s="102" t="b">
        <v>1</v>
      </c>
      <c r="U64" s="103" t="s">
        <v>272</v>
      </c>
      <c r="V64" s="104" t="b">
        <v>0</v>
      </c>
      <c r="W64" s="104" t="b">
        <v>0</v>
      </c>
      <c r="X64" s="104" t="b">
        <v>0</v>
      </c>
    </row>
    <row r="65" ht="24.0" customHeight="1">
      <c r="A65" s="89" t="s">
        <v>191</v>
      </c>
      <c r="B65" s="110">
        <v>46101.0</v>
      </c>
      <c r="C65" s="90"/>
      <c r="D65" s="91" t="s">
        <v>164</v>
      </c>
      <c r="E65" s="92"/>
      <c r="F65" s="93"/>
      <c r="G65" s="89" t="s">
        <v>104</v>
      </c>
      <c r="H65" s="94">
        <v>2.0</v>
      </c>
      <c r="I65" s="95">
        <f>IF(G65="", "", IFERROR(VLOOKUP(G65, Products!A:F, 4, FALSE), ""))
</f>
        <v>80</v>
      </c>
      <c r="J65" s="95">
        <v>0.0</v>
      </c>
      <c r="K65" s="96">
        <f t="shared" si="5"/>
        <v>160</v>
      </c>
      <c r="L65" s="97">
        <v>80.0</v>
      </c>
      <c r="M65" s="98" t="s">
        <v>110</v>
      </c>
      <c r="N65" s="94">
        <f t="shared" si="2"/>
        <v>80</v>
      </c>
      <c r="O65" s="99" t="b">
        <v>1</v>
      </c>
      <c r="P65" s="99" t="b">
        <v>1</v>
      </c>
      <c r="Q65" s="100">
        <v>80.0</v>
      </c>
      <c r="R65" s="93" t="s">
        <v>115</v>
      </c>
      <c r="S65" s="101">
        <f t="shared" si="7"/>
        <v>0</v>
      </c>
      <c r="T65" s="102" t="b">
        <v>1</v>
      </c>
      <c r="U65" s="103" t="s">
        <v>116</v>
      </c>
      <c r="V65" s="104" t="b">
        <v>0</v>
      </c>
      <c r="W65" s="104" t="b">
        <v>0</v>
      </c>
      <c r="X65" s="104" t="b">
        <v>0</v>
      </c>
    </row>
    <row r="66" ht="24.0" customHeight="1">
      <c r="A66" s="89" t="s">
        <v>238</v>
      </c>
      <c r="B66" s="110">
        <v>46101.0</v>
      </c>
      <c r="C66" s="90"/>
      <c r="D66" s="91" t="s">
        <v>78</v>
      </c>
      <c r="E66" s="91" t="s">
        <v>239</v>
      </c>
      <c r="F66" s="93"/>
      <c r="G66" s="89" t="s">
        <v>104</v>
      </c>
      <c r="H66" s="94">
        <v>10.0</v>
      </c>
      <c r="I66" s="95">
        <f>IF(G66="", "", IFERROR(VLOOKUP(G66, Products!A:F, 4, FALSE), ""))
</f>
        <v>80</v>
      </c>
      <c r="J66" s="95">
        <v>0.0</v>
      </c>
      <c r="K66" s="96">
        <f t="shared" si="5"/>
        <v>800</v>
      </c>
      <c r="L66" s="97">
        <v>800.0</v>
      </c>
      <c r="M66" s="98" t="s">
        <v>110</v>
      </c>
      <c r="N66" s="94">
        <f t="shared" si="2"/>
        <v>0</v>
      </c>
      <c r="O66" s="99" t="b">
        <v>1</v>
      </c>
      <c r="P66" s="99" t="b">
        <v>1</v>
      </c>
      <c r="Q66" s="100"/>
      <c r="R66" s="93"/>
      <c r="S66" s="101">
        <f t="shared" si="7"/>
        <v>0</v>
      </c>
      <c r="T66" s="102" t="b">
        <v>1</v>
      </c>
      <c r="U66" s="93"/>
      <c r="V66" s="106" t="b">
        <v>0</v>
      </c>
      <c r="W66" s="106" t="b">
        <v>0</v>
      </c>
      <c r="X66" s="106" t="b">
        <v>0</v>
      </c>
    </row>
    <row r="67" ht="24.0" customHeight="1">
      <c r="A67" s="89" t="s">
        <v>249</v>
      </c>
      <c r="B67" s="110">
        <v>46101.0</v>
      </c>
      <c r="C67" s="90"/>
      <c r="D67" s="91" t="s">
        <v>93</v>
      </c>
      <c r="E67" s="91" t="s">
        <v>250</v>
      </c>
      <c r="F67" s="93"/>
      <c r="G67" s="89" t="s">
        <v>104</v>
      </c>
      <c r="H67" s="94">
        <v>12.0</v>
      </c>
      <c r="I67" s="95">
        <f>IF(G67="", "", IFERROR(VLOOKUP(G67, Products!A:F, 4, FALSE), ""))
</f>
        <v>80</v>
      </c>
      <c r="J67" s="95">
        <v>0.0</v>
      </c>
      <c r="K67" s="96">
        <f t="shared" si="5"/>
        <v>960</v>
      </c>
      <c r="L67" s="97">
        <v>960.0</v>
      </c>
      <c r="M67" s="98" t="s">
        <v>73</v>
      </c>
      <c r="N67" s="94">
        <f t="shared" si="2"/>
        <v>0</v>
      </c>
      <c r="O67" s="99" t="b">
        <v>1</v>
      </c>
      <c r="P67" s="99" t="b">
        <v>1</v>
      </c>
      <c r="Q67" s="100"/>
      <c r="R67" s="93"/>
      <c r="S67" s="101">
        <f t="shared" si="7"/>
        <v>0</v>
      </c>
      <c r="T67" s="102" t="b">
        <v>1</v>
      </c>
      <c r="U67" s="93"/>
      <c r="V67" s="106" t="b">
        <v>0</v>
      </c>
      <c r="W67" s="106" t="b">
        <v>0</v>
      </c>
      <c r="X67" s="106" t="b">
        <v>0</v>
      </c>
    </row>
    <row r="68" ht="24.0" customHeight="1">
      <c r="A68" s="89" t="s">
        <v>206</v>
      </c>
      <c r="B68" s="110">
        <v>46101.0</v>
      </c>
      <c r="C68" s="90"/>
      <c r="D68" s="136" t="s">
        <v>93</v>
      </c>
      <c r="E68" s="136" t="s">
        <v>156</v>
      </c>
      <c r="F68" s="93"/>
      <c r="G68" s="160" t="s">
        <v>122</v>
      </c>
      <c r="H68" s="94">
        <v>1.0</v>
      </c>
      <c r="I68" s="95">
        <f>IF(G68="", "", IFERROR(VLOOKUP(G68, Products!A:F, 4, FALSE), ""))
</f>
        <v>80</v>
      </c>
      <c r="J68" s="95">
        <v>0.0</v>
      </c>
      <c r="K68" s="96">
        <v>40.0</v>
      </c>
      <c r="L68" s="97">
        <v>40.0</v>
      </c>
      <c r="M68" s="98" t="s">
        <v>73</v>
      </c>
      <c r="N68" s="94">
        <f t="shared" si="2"/>
        <v>0</v>
      </c>
      <c r="O68" s="99" t="b">
        <v>0</v>
      </c>
      <c r="P68" s="99" t="b">
        <v>0</v>
      </c>
      <c r="Q68" s="100"/>
      <c r="R68" s="93"/>
      <c r="S68" s="101">
        <f t="shared" si="7"/>
        <v>0</v>
      </c>
      <c r="T68" s="99" t="b">
        <v>0</v>
      </c>
      <c r="U68" s="98" t="s">
        <v>260</v>
      </c>
      <c r="V68" s="99" t="b">
        <v>0</v>
      </c>
      <c r="W68" s="99" t="b">
        <v>0</v>
      </c>
      <c r="X68" s="99" t="b">
        <v>0</v>
      </c>
    </row>
    <row r="69" ht="24.0" customHeight="1">
      <c r="A69" s="89" t="s">
        <v>206</v>
      </c>
      <c r="B69" s="110">
        <v>46101.0</v>
      </c>
      <c r="C69" s="90"/>
      <c r="D69" s="136" t="s">
        <v>93</v>
      </c>
      <c r="E69" s="136" t="s">
        <v>156</v>
      </c>
      <c r="F69" s="93"/>
      <c r="G69" s="89" t="s">
        <v>104</v>
      </c>
      <c r="H69" s="94">
        <v>1.0</v>
      </c>
      <c r="I69" s="95">
        <f>IF(G69="", "", IFERROR(VLOOKUP(G69, Products!A:F, 4, FALSE), ""))
</f>
        <v>80</v>
      </c>
      <c r="J69" s="95">
        <v>0.0</v>
      </c>
      <c r="K69" s="96">
        <v>40.0</v>
      </c>
      <c r="L69" s="97">
        <v>40.0</v>
      </c>
      <c r="M69" s="98" t="s">
        <v>73</v>
      </c>
      <c r="N69" s="94">
        <f t="shared" si="2"/>
        <v>0</v>
      </c>
      <c r="O69" s="99" t="b">
        <v>0</v>
      </c>
      <c r="P69" s="99" t="b">
        <v>0</v>
      </c>
      <c r="Q69" s="100"/>
      <c r="R69" s="93"/>
      <c r="S69" s="101">
        <f t="shared" si="7"/>
        <v>0</v>
      </c>
      <c r="T69" s="99" t="b">
        <v>0</v>
      </c>
      <c r="U69" s="98" t="s">
        <v>260</v>
      </c>
      <c r="V69" s="99" t="b">
        <v>0</v>
      </c>
      <c r="W69" s="99" t="b">
        <v>0</v>
      </c>
      <c r="X69" s="99" t="b">
        <v>0</v>
      </c>
    </row>
    <row r="70" ht="24.0" customHeight="1">
      <c r="A70" s="89" t="s">
        <v>200</v>
      </c>
      <c r="B70" s="110">
        <v>46101.0</v>
      </c>
      <c r="C70" s="90"/>
      <c r="D70" s="91" t="s">
        <v>416</v>
      </c>
      <c r="E70" s="92"/>
      <c r="F70" s="93"/>
      <c r="G70" s="89" t="s">
        <v>104</v>
      </c>
      <c r="H70" s="94">
        <v>5.0</v>
      </c>
      <c r="I70" s="95">
        <f>IF(G70="", "", IFERROR(VLOOKUP(G70, Products!A:F, 4, FALSE), ""))
</f>
        <v>80</v>
      </c>
      <c r="J70" s="95">
        <v>0.0</v>
      </c>
      <c r="K70" s="96">
        <f t="shared" ref="K70:K101" si="8">(H70*I70)-J70</f>
        <v>400</v>
      </c>
      <c r="L70" s="97">
        <v>200.0</v>
      </c>
      <c r="M70" s="98" t="s">
        <v>73</v>
      </c>
      <c r="N70" s="94">
        <f t="shared" si="2"/>
        <v>200</v>
      </c>
      <c r="O70" s="99" t="b">
        <v>1</v>
      </c>
      <c r="P70" s="99" t="b">
        <v>1</v>
      </c>
      <c r="Q70" s="100">
        <v>200.0</v>
      </c>
      <c r="R70" s="93" t="s">
        <v>115</v>
      </c>
      <c r="S70" s="101">
        <f t="shared" si="7"/>
        <v>0</v>
      </c>
      <c r="T70" s="102" t="b">
        <v>1</v>
      </c>
      <c r="U70" s="103" t="s">
        <v>116</v>
      </c>
      <c r="V70" s="104" t="b">
        <v>0</v>
      </c>
      <c r="W70" s="104" t="b">
        <v>0</v>
      </c>
      <c r="X70" s="104" t="b">
        <v>0</v>
      </c>
    </row>
    <row r="71" ht="24.0" customHeight="1">
      <c r="A71" s="89" t="s">
        <v>247</v>
      </c>
      <c r="B71" s="110">
        <v>46101.0</v>
      </c>
      <c r="C71" s="90"/>
      <c r="D71" s="91" t="s">
        <v>195</v>
      </c>
      <c r="E71" s="92"/>
      <c r="F71" s="93"/>
      <c r="G71" s="89" t="s">
        <v>104</v>
      </c>
      <c r="H71" s="94">
        <v>4.0</v>
      </c>
      <c r="I71" s="95">
        <f>IF(G71="", "", IFERROR(VLOOKUP(G71, Products!A:F, 4, FALSE), ""))
</f>
        <v>80</v>
      </c>
      <c r="J71" s="95">
        <v>0.0</v>
      </c>
      <c r="K71" s="96">
        <f t="shared" si="8"/>
        <v>320</v>
      </c>
      <c r="L71" s="97">
        <v>160.0</v>
      </c>
      <c r="M71" s="98" t="s">
        <v>73</v>
      </c>
      <c r="N71" s="94">
        <f t="shared" si="2"/>
        <v>160</v>
      </c>
      <c r="O71" s="99" t="b">
        <v>1</v>
      </c>
      <c r="P71" s="99" t="b">
        <v>1</v>
      </c>
      <c r="Q71" s="100">
        <v>160.0</v>
      </c>
      <c r="R71" s="93" t="s">
        <v>115</v>
      </c>
      <c r="S71" s="101">
        <f t="shared" si="7"/>
        <v>0</v>
      </c>
      <c r="T71" s="102" t="b">
        <v>1</v>
      </c>
      <c r="U71" s="103" t="s">
        <v>116</v>
      </c>
      <c r="V71" s="104" t="b">
        <v>0</v>
      </c>
      <c r="W71" s="104" t="b">
        <v>0</v>
      </c>
      <c r="X71" s="104" t="b">
        <v>0</v>
      </c>
    </row>
    <row r="72" ht="24.0" customHeight="1">
      <c r="A72" s="89" t="s">
        <v>254</v>
      </c>
      <c r="B72" s="110">
        <v>46102.0</v>
      </c>
      <c r="C72" s="90"/>
      <c r="D72" s="91" t="s">
        <v>78</v>
      </c>
      <c r="E72" s="92"/>
      <c r="F72" s="93"/>
      <c r="G72" s="89" t="s">
        <v>104</v>
      </c>
      <c r="H72" s="94">
        <v>2.0</v>
      </c>
      <c r="I72" s="95">
        <f>IF(G72="", "", IFERROR(VLOOKUP(G72, Products!A:F, 4, FALSE), ""))
</f>
        <v>80</v>
      </c>
      <c r="J72" s="95">
        <v>0.0</v>
      </c>
      <c r="K72" s="96">
        <f t="shared" si="8"/>
        <v>160</v>
      </c>
      <c r="L72" s="97">
        <v>160.0</v>
      </c>
      <c r="M72" s="98" t="s">
        <v>73</v>
      </c>
      <c r="N72" s="94">
        <f t="shared" si="2"/>
        <v>0</v>
      </c>
      <c r="O72" s="99" t="b">
        <v>0</v>
      </c>
      <c r="P72" s="99" t="b">
        <v>0</v>
      </c>
      <c r="Q72" s="100"/>
      <c r="R72" s="93"/>
      <c r="S72" s="101">
        <f t="shared" si="7"/>
        <v>0</v>
      </c>
      <c r="T72" s="99" t="b">
        <v>1</v>
      </c>
      <c r="U72" s="93"/>
      <c r="V72" s="106" t="b">
        <v>0</v>
      </c>
      <c r="W72" s="106" t="b">
        <v>0</v>
      </c>
      <c r="X72" s="106" t="b">
        <v>0</v>
      </c>
    </row>
    <row r="73" ht="24.0" customHeight="1">
      <c r="A73" s="89" t="s">
        <v>255</v>
      </c>
      <c r="B73" s="110">
        <v>46102.0</v>
      </c>
      <c r="C73" s="90"/>
      <c r="D73" s="91" t="s">
        <v>93</v>
      </c>
      <c r="E73" s="91" t="s">
        <v>154</v>
      </c>
      <c r="F73" s="93"/>
      <c r="G73" s="89" t="s">
        <v>104</v>
      </c>
      <c r="H73" s="94">
        <v>1.0</v>
      </c>
      <c r="I73" s="95">
        <f>IF(G73="", "", IFERROR(VLOOKUP(G73, Products!A:F, 4, FALSE), ""))
</f>
        <v>80</v>
      </c>
      <c r="J73" s="95">
        <v>0.0</v>
      </c>
      <c r="K73" s="96">
        <f t="shared" si="8"/>
        <v>80</v>
      </c>
      <c r="L73" s="97">
        <v>40.0</v>
      </c>
      <c r="M73" s="98" t="s">
        <v>73</v>
      </c>
      <c r="N73" s="94">
        <f t="shared" si="2"/>
        <v>40</v>
      </c>
      <c r="O73" s="99" t="b">
        <v>1</v>
      </c>
      <c r="P73" s="99" t="b">
        <v>1</v>
      </c>
      <c r="Q73" s="100">
        <v>40.0</v>
      </c>
      <c r="R73" s="93" t="s">
        <v>115</v>
      </c>
      <c r="S73" s="101">
        <f t="shared" si="7"/>
        <v>0</v>
      </c>
      <c r="T73" s="102" t="b">
        <v>1</v>
      </c>
      <c r="U73" s="103" t="s">
        <v>116</v>
      </c>
      <c r="V73" s="104" t="b">
        <v>0</v>
      </c>
      <c r="W73" s="104" t="b">
        <v>0</v>
      </c>
      <c r="X73" s="104" t="b">
        <v>0</v>
      </c>
    </row>
    <row r="74" ht="24.0" customHeight="1">
      <c r="A74" s="89" t="s">
        <v>255</v>
      </c>
      <c r="B74" s="110">
        <v>46102.0</v>
      </c>
      <c r="C74" s="90"/>
      <c r="D74" s="91" t="s">
        <v>93</v>
      </c>
      <c r="E74" s="91" t="s">
        <v>154</v>
      </c>
      <c r="F74" s="93"/>
      <c r="G74" s="89" t="s">
        <v>153</v>
      </c>
      <c r="H74" s="94">
        <v>1.0</v>
      </c>
      <c r="I74" s="95">
        <f>IF(G74="", "", IFERROR(VLOOKUP(G74, Products!A:F, 4, FALSE), ""))
</f>
        <v>80</v>
      </c>
      <c r="J74" s="95">
        <v>0.0</v>
      </c>
      <c r="K74" s="96">
        <f t="shared" si="8"/>
        <v>80</v>
      </c>
      <c r="L74" s="97">
        <v>40.0</v>
      </c>
      <c r="M74" s="98" t="s">
        <v>73</v>
      </c>
      <c r="N74" s="94">
        <f t="shared" si="2"/>
        <v>40</v>
      </c>
      <c r="O74" s="99" t="b">
        <v>1</v>
      </c>
      <c r="P74" s="99" t="b">
        <v>1</v>
      </c>
      <c r="Q74" s="100">
        <v>40.0</v>
      </c>
      <c r="R74" s="93" t="s">
        <v>115</v>
      </c>
      <c r="S74" s="101">
        <f t="shared" si="7"/>
        <v>0</v>
      </c>
      <c r="T74" s="102" t="b">
        <v>1</v>
      </c>
      <c r="U74" s="103" t="s">
        <v>116</v>
      </c>
      <c r="V74" s="104" t="b">
        <v>0</v>
      </c>
      <c r="W74" s="104" t="b">
        <v>0</v>
      </c>
      <c r="X74" s="104" t="b">
        <v>0</v>
      </c>
    </row>
    <row r="75" ht="24.0" customHeight="1">
      <c r="A75" s="89" t="s">
        <v>268</v>
      </c>
      <c r="B75" s="110">
        <v>46102.0</v>
      </c>
      <c r="C75" s="90"/>
      <c r="D75" s="136" t="s">
        <v>93</v>
      </c>
      <c r="E75" s="136" t="s">
        <v>156</v>
      </c>
      <c r="F75" s="93"/>
      <c r="G75" s="89" t="s">
        <v>104</v>
      </c>
      <c r="H75" s="94">
        <v>1.0</v>
      </c>
      <c r="I75" s="95">
        <f>IF(G75="", "", IFERROR(VLOOKUP(G75, Products!A:F, 4, FALSE), ""))
</f>
        <v>80</v>
      </c>
      <c r="J75" s="95">
        <v>0.0</v>
      </c>
      <c r="K75" s="96">
        <f t="shared" si="8"/>
        <v>80</v>
      </c>
      <c r="L75" s="100"/>
      <c r="M75" s="93"/>
      <c r="N75" s="94">
        <f t="shared" si="2"/>
        <v>80</v>
      </c>
      <c r="O75" s="99" t="b">
        <v>1</v>
      </c>
      <c r="P75" s="99" t="b">
        <v>1</v>
      </c>
      <c r="Q75" s="97">
        <v>80.0</v>
      </c>
      <c r="R75" s="138" t="s">
        <v>73</v>
      </c>
      <c r="S75" s="101">
        <f t="shared" si="7"/>
        <v>0</v>
      </c>
      <c r="T75" s="99" t="b">
        <v>1</v>
      </c>
      <c r="U75" s="163"/>
      <c r="V75" s="164" t="b">
        <v>0</v>
      </c>
      <c r="W75" s="164" t="b">
        <v>0</v>
      </c>
      <c r="X75" s="164" t="b">
        <v>0</v>
      </c>
    </row>
    <row r="76" ht="24.0" customHeight="1">
      <c r="A76" s="89" t="s">
        <v>266</v>
      </c>
      <c r="B76" s="110">
        <v>46102.0</v>
      </c>
      <c r="C76" s="90"/>
      <c r="D76" s="91" t="s">
        <v>267</v>
      </c>
      <c r="E76" s="92"/>
      <c r="F76" s="93"/>
      <c r="G76" s="89" t="s">
        <v>104</v>
      </c>
      <c r="H76" s="94">
        <v>3.0</v>
      </c>
      <c r="I76" s="95">
        <f>IF(G76="", "", IFERROR(VLOOKUP(G76, Products!A:F, 4, FALSE), ""))
</f>
        <v>80</v>
      </c>
      <c r="J76" s="95">
        <v>0.0</v>
      </c>
      <c r="K76" s="96">
        <f t="shared" si="8"/>
        <v>240</v>
      </c>
      <c r="L76" s="97">
        <v>120.0</v>
      </c>
      <c r="M76" s="98" t="s">
        <v>73</v>
      </c>
      <c r="N76" s="94">
        <f t="shared" si="2"/>
        <v>120</v>
      </c>
      <c r="O76" s="99" t="b">
        <v>1</v>
      </c>
      <c r="P76" s="99" t="b">
        <v>1</v>
      </c>
      <c r="Q76" s="100">
        <v>120.0</v>
      </c>
      <c r="R76" s="93" t="s">
        <v>115</v>
      </c>
      <c r="S76" s="101">
        <f t="shared" si="7"/>
        <v>0</v>
      </c>
      <c r="T76" s="102" t="b">
        <v>1</v>
      </c>
      <c r="U76" s="103" t="s">
        <v>116</v>
      </c>
      <c r="V76" s="104" t="b">
        <v>0</v>
      </c>
      <c r="W76" s="104" t="b">
        <v>0</v>
      </c>
      <c r="X76" s="104" t="b">
        <v>0</v>
      </c>
    </row>
    <row r="77" ht="24.0" customHeight="1">
      <c r="A77" s="89" t="s">
        <v>266</v>
      </c>
      <c r="B77" s="110">
        <v>46102.0</v>
      </c>
      <c r="C77" s="90"/>
      <c r="D77" s="91" t="s">
        <v>267</v>
      </c>
      <c r="E77" s="92"/>
      <c r="F77" s="93"/>
      <c r="G77" s="89" t="s">
        <v>153</v>
      </c>
      <c r="H77" s="94">
        <v>3.0</v>
      </c>
      <c r="I77" s="95">
        <f>IF(G77="", "", IFERROR(VLOOKUP(G77, Products!A:F, 4, FALSE), ""))
</f>
        <v>80</v>
      </c>
      <c r="J77" s="95">
        <v>0.0</v>
      </c>
      <c r="K77" s="96">
        <f t="shared" si="8"/>
        <v>240</v>
      </c>
      <c r="L77" s="97">
        <v>120.0</v>
      </c>
      <c r="M77" s="98" t="s">
        <v>73</v>
      </c>
      <c r="N77" s="94">
        <f t="shared" si="2"/>
        <v>120</v>
      </c>
      <c r="O77" s="99" t="b">
        <v>1</v>
      </c>
      <c r="P77" s="99" t="b">
        <v>1</v>
      </c>
      <c r="Q77" s="100">
        <v>120.0</v>
      </c>
      <c r="R77" s="93" t="s">
        <v>115</v>
      </c>
      <c r="S77" s="101">
        <f t="shared" si="7"/>
        <v>0</v>
      </c>
      <c r="T77" s="102" t="b">
        <v>1</v>
      </c>
      <c r="U77" s="103" t="s">
        <v>116</v>
      </c>
      <c r="V77" s="104" t="b">
        <v>0</v>
      </c>
      <c r="W77" s="104" t="b">
        <v>0</v>
      </c>
      <c r="X77" s="104" t="b">
        <v>0</v>
      </c>
    </row>
    <row r="78" ht="24.0" customHeight="1">
      <c r="A78" s="89" t="s">
        <v>262</v>
      </c>
      <c r="B78" s="110">
        <v>46102.0</v>
      </c>
      <c r="C78" s="90"/>
      <c r="D78" s="91" t="s">
        <v>263</v>
      </c>
      <c r="E78" s="92"/>
      <c r="F78" s="93"/>
      <c r="G78" s="89" t="s">
        <v>104</v>
      </c>
      <c r="H78" s="94">
        <v>5.0</v>
      </c>
      <c r="I78" s="95">
        <f>IF(G78="", "", IFERROR(VLOOKUP(G78, Products!A:F, 4, FALSE), ""))
</f>
        <v>80</v>
      </c>
      <c r="J78" s="95">
        <v>0.0</v>
      </c>
      <c r="K78" s="96">
        <f t="shared" si="8"/>
        <v>400</v>
      </c>
      <c r="L78" s="97">
        <v>200.0</v>
      </c>
      <c r="M78" s="98" t="s">
        <v>73</v>
      </c>
      <c r="N78" s="94">
        <f t="shared" si="2"/>
        <v>200</v>
      </c>
      <c r="O78" s="99" t="b">
        <v>1</v>
      </c>
      <c r="P78" s="99" t="b">
        <v>1</v>
      </c>
      <c r="Q78" s="100">
        <v>200.0</v>
      </c>
      <c r="R78" s="93" t="s">
        <v>115</v>
      </c>
      <c r="S78" s="101">
        <f t="shared" si="7"/>
        <v>0</v>
      </c>
      <c r="T78" s="102" t="b">
        <v>1</v>
      </c>
      <c r="U78" s="103" t="s">
        <v>116</v>
      </c>
      <c r="V78" s="104" t="b">
        <v>0</v>
      </c>
      <c r="W78" s="104" t="b">
        <v>0</v>
      </c>
      <c r="X78" s="104" t="b">
        <v>0</v>
      </c>
    </row>
    <row r="79" ht="24.0" customHeight="1">
      <c r="A79" s="89" t="s">
        <v>265</v>
      </c>
      <c r="B79" s="110">
        <v>46102.0</v>
      </c>
      <c r="C79" s="90"/>
      <c r="D79" s="91" t="s">
        <v>243</v>
      </c>
      <c r="E79" s="92"/>
      <c r="F79" s="93"/>
      <c r="G79" s="89" t="s">
        <v>104</v>
      </c>
      <c r="H79" s="94">
        <v>3.0</v>
      </c>
      <c r="I79" s="95">
        <f>IF(G79="", "", IFERROR(VLOOKUP(G79, Products!A:F, 4, FALSE), ""))
</f>
        <v>80</v>
      </c>
      <c r="J79" s="95">
        <v>0.0</v>
      </c>
      <c r="K79" s="96">
        <f t="shared" si="8"/>
        <v>240</v>
      </c>
      <c r="L79" s="97">
        <v>120.0</v>
      </c>
      <c r="M79" s="98" t="s">
        <v>73</v>
      </c>
      <c r="N79" s="94">
        <f t="shared" si="2"/>
        <v>120</v>
      </c>
      <c r="O79" s="99" t="b">
        <v>1</v>
      </c>
      <c r="P79" s="99" t="b">
        <v>1</v>
      </c>
      <c r="Q79" s="100">
        <v>120.0</v>
      </c>
      <c r="R79" s="93" t="s">
        <v>115</v>
      </c>
      <c r="S79" s="101">
        <f t="shared" si="7"/>
        <v>0</v>
      </c>
      <c r="T79" s="102" t="b">
        <v>1</v>
      </c>
      <c r="U79" s="103" t="s">
        <v>116</v>
      </c>
      <c r="V79" s="104" t="b">
        <v>0</v>
      </c>
      <c r="W79" s="104" t="b">
        <v>0</v>
      </c>
      <c r="X79" s="104" t="b">
        <v>0</v>
      </c>
    </row>
    <row r="80" ht="24.0" customHeight="1">
      <c r="A80" s="89" t="s">
        <v>264</v>
      </c>
      <c r="B80" s="110">
        <v>46102.0</v>
      </c>
      <c r="C80" s="90"/>
      <c r="D80" s="91" t="s">
        <v>188</v>
      </c>
      <c r="E80" s="92"/>
      <c r="F80" s="93"/>
      <c r="G80" s="89" t="s">
        <v>104</v>
      </c>
      <c r="H80" s="94">
        <v>7.0</v>
      </c>
      <c r="I80" s="95">
        <f>IF(G80="", "", IFERROR(VLOOKUP(G80, Products!A:F, 4, FALSE), ""))
</f>
        <v>80</v>
      </c>
      <c r="J80" s="95">
        <v>0.0</v>
      </c>
      <c r="K80" s="96">
        <f t="shared" si="8"/>
        <v>560</v>
      </c>
      <c r="L80" s="97">
        <v>280.0</v>
      </c>
      <c r="M80" s="98" t="s">
        <v>73</v>
      </c>
      <c r="N80" s="94">
        <f t="shared" si="2"/>
        <v>280</v>
      </c>
      <c r="O80" s="99" t="b">
        <v>1</v>
      </c>
      <c r="P80" s="99" t="b">
        <v>1</v>
      </c>
      <c r="Q80" s="100">
        <v>280.0</v>
      </c>
      <c r="R80" s="93" t="s">
        <v>115</v>
      </c>
      <c r="S80" s="101">
        <f t="shared" si="7"/>
        <v>0</v>
      </c>
      <c r="T80" s="102" t="b">
        <v>1</v>
      </c>
      <c r="U80" s="103" t="s">
        <v>116</v>
      </c>
      <c r="V80" s="104" t="b">
        <v>0</v>
      </c>
      <c r="W80" s="104" t="b">
        <v>0</v>
      </c>
      <c r="X80" s="104" t="b">
        <v>0</v>
      </c>
    </row>
    <row r="81" ht="24.0" customHeight="1">
      <c r="A81" s="89" t="s">
        <v>257</v>
      </c>
      <c r="B81" s="110">
        <v>46102.0</v>
      </c>
      <c r="C81" s="90"/>
      <c r="D81" s="91" t="s">
        <v>93</v>
      </c>
      <c r="E81" s="91" t="s">
        <v>484</v>
      </c>
      <c r="F81" s="93"/>
      <c r="G81" s="89" t="s">
        <v>104</v>
      </c>
      <c r="H81" s="94">
        <v>2.0</v>
      </c>
      <c r="I81" s="95">
        <f>IF(G81="", "", IFERROR(VLOOKUP(G81, Products!A:F, 4, FALSE), ""))
</f>
        <v>80</v>
      </c>
      <c r="J81" s="95">
        <v>0.0</v>
      </c>
      <c r="K81" s="96">
        <f t="shared" si="8"/>
        <v>160</v>
      </c>
      <c r="L81" s="97">
        <v>80.0</v>
      </c>
      <c r="M81" s="98" t="s">
        <v>73</v>
      </c>
      <c r="N81" s="94">
        <f t="shared" si="2"/>
        <v>80</v>
      </c>
      <c r="O81" s="99" t="b">
        <v>1</v>
      </c>
      <c r="P81" s="99" t="b">
        <v>1</v>
      </c>
      <c r="Q81" s="97">
        <v>80.0</v>
      </c>
      <c r="R81" s="93" t="s">
        <v>115</v>
      </c>
      <c r="S81" s="101">
        <f t="shared" si="7"/>
        <v>0</v>
      </c>
      <c r="T81" s="102" t="b">
        <v>1</v>
      </c>
      <c r="U81" s="103" t="s">
        <v>116</v>
      </c>
      <c r="V81" s="104" t="b">
        <v>0</v>
      </c>
      <c r="W81" s="104" t="b">
        <v>0</v>
      </c>
      <c r="X81" s="104" t="b">
        <v>0</v>
      </c>
    </row>
    <row r="82" ht="24.0" customHeight="1">
      <c r="A82" s="89" t="s">
        <v>252</v>
      </c>
      <c r="B82" s="110">
        <v>46102.0</v>
      </c>
      <c r="C82" s="90"/>
      <c r="D82" s="91" t="s">
        <v>243</v>
      </c>
      <c r="E82" s="92"/>
      <c r="F82" s="93"/>
      <c r="G82" s="89" t="s">
        <v>104</v>
      </c>
      <c r="H82" s="94">
        <v>10.0</v>
      </c>
      <c r="I82" s="95">
        <f>IF(G82="", "", IFERROR(VLOOKUP(G82, Products!A:F, 4, FALSE), ""))
</f>
        <v>80</v>
      </c>
      <c r="J82" s="95">
        <v>0.0</v>
      </c>
      <c r="K82" s="96">
        <f t="shared" si="8"/>
        <v>800</v>
      </c>
      <c r="L82" s="97">
        <v>400.0</v>
      </c>
      <c r="M82" s="98" t="s">
        <v>73</v>
      </c>
      <c r="N82" s="94">
        <f t="shared" si="2"/>
        <v>400</v>
      </c>
      <c r="O82" s="99" t="b">
        <v>1</v>
      </c>
      <c r="P82" s="99" t="b">
        <v>1</v>
      </c>
      <c r="Q82" s="100">
        <v>400.0</v>
      </c>
      <c r="R82" s="93" t="s">
        <v>115</v>
      </c>
      <c r="S82" s="101">
        <f t="shared" si="7"/>
        <v>0</v>
      </c>
      <c r="T82" s="102" t="b">
        <v>1</v>
      </c>
      <c r="U82" s="103" t="s">
        <v>116</v>
      </c>
      <c r="V82" s="104" t="b">
        <v>0</v>
      </c>
      <c r="W82" s="104" t="b">
        <v>0</v>
      </c>
      <c r="X82" s="104" t="b">
        <v>0</v>
      </c>
    </row>
    <row r="83" ht="24.0" customHeight="1">
      <c r="A83" s="89" t="s">
        <v>259</v>
      </c>
      <c r="B83" s="110">
        <v>46102.0</v>
      </c>
      <c r="C83" s="90"/>
      <c r="D83" s="91" t="s">
        <v>93</v>
      </c>
      <c r="E83" s="91" t="s">
        <v>261</v>
      </c>
      <c r="F83" s="93"/>
      <c r="G83" s="89" t="s">
        <v>104</v>
      </c>
      <c r="H83" s="94">
        <v>4.0</v>
      </c>
      <c r="I83" s="95">
        <f>IF(G83="", "", IFERROR(VLOOKUP(G83, Products!A:F, 4, FALSE), ""))
</f>
        <v>80</v>
      </c>
      <c r="J83" s="95">
        <v>0.0</v>
      </c>
      <c r="K83" s="96">
        <f t="shared" si="8"/>
        <v>320</v>
      </c>
      <c r="L83" s="97">
        <v>160.0</v>
      </c>
      <c r="M83" s="98" t="s">
        <v>73</v>
      </c>
      <c r="N83" s="94">
        <f t="shared" si="2"/>
        <v>160</v>
      </c>
      <c r="O83" s="99" t="b">
        <v>1</v>
      </c>
      <c r="P83" s="99" t="b">
        <v>1</v>
      </c>
      <c r="Q83" s="100">
        <v>160.0</v>
      </c>
      <c r="R83" s="93" t="s">
        <v>115</v>
      </c>
      <c r="S83" s="101">
        <f t="shared" si="7"/>
        <v>0</v>
      </c>
      <c r="T83" s="102" t="b">
        <v>1</v>
      </c>
      <c r="U83" s="103" t="s">
        <v>116</v>
      </c>
      <c r="V83" s="104" t="b">
        <v>0</v>
      </c>
      <c r="W83" s="104" t="b">
        <v>0</v>
      </c>
      <c r="X83" s="104" t="b">
        <v>0</v>
      </c>
    </row>
    <row r="84" ht="24.0" customHeight="1">
      <c r="A84" s="89" t="s">
        <v>269</v>
      </c>
      <c r="B84" s="110">
        <v>46103.0</v>
      </c>
      <c r="C84" s="90"/>
      <c r="D84" s="136" t="s">
        <v>93</v>
      </c>
      <c r="E84" s="136" t="s">
        <v>156</v>
      </c>
      <c r="F84" s="93"/>
      <c r="G84" s="89" t="s">
        <v>104</v>
      </c>
      <c r="H84" s="94">
        <v>8.0</v>
      </c>
      <c r="I84" s="95">
        <f>IF(G84="", "", IFERROR(VLOOKUP(G84, Products!A:F, 4, FALSE), ""))
</f>
        <v>80</v>
      </c>
      <c r="J84" s="95">
        <v>0.0</v>
      </c>
      <c r="K84" s="96">
        <f t="shared" si="8"/>
        <v>640</v>
      </c>
      <c r="L84" s="97">
        <v>0.0</v>
      </c>
      <c r="M84" s="93"/>
      <c r="N84" s="94">
        <f t="shared" si="2"/>
        <v>640</v>
      </c>
      <c r="O84" s="99" t="b">
        <v>1</v>
      </c>
      <c r="P84" s="99" t="b">
        <v>1</v>
      </c>
      <c r="Q84" s="97">
        <v>640.0</v>
      </c>
      <c r="R84" s="138" t="s">
        <v>73</v>
      </c>
      <c r="S84" s="101">
        <f t="shared" si="7"/>
        <v>0</v>
      </c>
      <c r="T84" s="102" t="b">
        <v>1</v>
      </c>
      <c r="U84" s="93"/>
      <c r="V84" s="106" t="b">
        <v>0</v>
      </c>
      <c r="W84" s="106" t="b">
        <v>0</v>
      </c>
      <c r="X84" s="106" t="b">
        <v>0</v>
      </c>
    </row>
    <row r="85" ht="24.0" customHeight="1">
      <c r="A85" s="89" t="s">
        <v>270</v>
      </c>
      <c r="B85" s="110">
        <v>46104.0</v>
      </c>
      <c r="C85" s="90"/>
      <c r="D85" s="180"/>
      <c r="E85" s="180"/>
      <c r="F85" s="93"/>
      <c r="G85" s="157" t="s">
        <v>145</v>
      </c>
      <c r="H85" s="94">
        <v>3.0</v>
      </c>
      <c r="I85" s="95">
        <f>IF(G85="", "", IFERROR(VLOOKUP(G85, Products!A:F, 4, FALSE), ""))
</f>
        <v>100</v>
      </c>
      <c r="J85" s="95">
        <v>0.0</v>
      </c>
      <c r="K85" s="96">
        <f t="shared" si="8"/>
        <v>300</v>
      </c>
      <c r="L85" s="97">
        <v>320.0</v>
      </c>
      <c r="M85" s="98" t="s">
        <v>271</v>
      </c>
      <c r="N85" s="94">
        <f t="shared" si="2"/>
        <v>-20</v>
      </c>
      <c r="O85" s="99" t="b">
        <v>1</v>
      </c>
      <c r="P85" s="99" t="b">
        <v>1</v>
      </c>
      <c r="Q85" s="100"/>
      <c r="R85" s="93"/>
      <c r="S85" s="94">
        <v>0.0</v>
      </c>
      <c r="T85" s="102" t="b">
        <v>1</v>
      </c>
      <c r="U85" s="93"/>
      <c r="V85" s="106" t="b">
        <v>0</v>
      </c>
      <c r="W85" s="106" t="b">
        <v>0</v>
      </c>
      <c r="X85" s="106" t="b">
        <v>0</v>
      </c>
    </row>
    <row r="86" ht="24.0" customHeight="1">
      <c r="A86" s="89" t="s">
        <v>280</v>
      </c>
      <c r="B86" s="110">
        <v>46105.0</v>
      </c>
      <c r="C86" s="90"/>
      <c r="D86" s="91" t="s">
        <v>93</v>
      </c>
      <c r="E86" s="91" t="s">
        <v>512</v>
      </c>
      <c r="F86" s="93"/>
      <c r="G86" s="89" t="s">
        <v>104</v>
      </c>
      <c r="H86" s="94">
        <v>3.0</v>
      </c>
      <c r="I86" s="95">
        <f>IF(G86="", "", IFERROR(VLOOKUP(G86, Products!A:F, 4, FALSE), ""))
</f>
        <v>80</v>
      </c>
      <c r="J86" s="95"/>
      <c r="K86" s="96">
        <f t="shared" si="8"/>
        <v>240</v>
      </c>
      <c r="L86" s="97">
        <v>120.0</v>
      </c>
      <c r="M86" s="98" t="s">
        <v>73</v>
      </c>
      <c r="N86" s="94">
        <f t="shared" si="2"/>
        <v>120</v>
      </c>
      <c r="O86" s="99" t="b">
        <v>1</v>
      </c>
      <c r="P86" s="99" t="b">
        <v>1</v>
      </c>
      <c r="Q86" s="97">
        <v>120.0</v>
      </c>
      <c r="R86" s="93" t="s">
        <v>73</v>
      </c>
      <c r="S86" s="101">
        <f t="shared" ref="S86:S103" si="9">N86-Q86</f>
        <v>0</v>
      </c>
      <c r="T86" s="102" t="b">
        <v>1</v>
      </c>
      <c r="U86" s="93"/>
      <c r="V86" s="106" t="b">
        <v>0</v>
      </c>
      <c r="W86" s="106" t="b">
        <v>0</v>
      </c>
      <c r="X86" s="106" t="b">
        <v>0</v>
      </c>
    </row>
    <row r="87" ht="24.0" customHeight="1">
      <c r="A87" s="89" t="s">
        <v>276</v>
      </c>
      <c r="B87" s="110">
        <v>46105.0</v>
      </c>
      <c r="C87" s="90"/>
      <c r="D87" s="91" t="s">
        <v>53</v>
      </c>
      <c r="E87" s="91" t="s">
        <v>218</v>
      </c>
      <c r="F87" s="93"/>
      <c r="G87" s="89" t="s">
        <v>104</v>
      </c>
      <c r="H87" s="94">
        <v>3.0</v>
      </c>
      <c r="I87" s="95">
        <f>IF(G87="", "", IFERROR(VLOOKUP(G87, Products!A:F, 4, FALSE), ""))
</f>
        <v>80</v>
      </c>
      <c r="J87" s="95">
        <v>0.0</v>
      </c>
      <c r="K87" s="96">
        <f t="shared" si="8"/>
        <v>240</v>
      </c>
      <c r="L87" s="97">
        <v>240.0</v>
      </c>
      <c r="M87" s="98" t="s">
        <v>73</v>
      </c>
      <c r="N87" s="94">
        <f t="shared" si="2"/>
        <v>0</v>
      </c>
      <c r="O87" s="99" t="b">
        <v>1</v>
      </c>
      <c r="P87" s="99" t="b">
        <v>1</v>
      </c>
      <c r="Q87" s="100"/>
      <c r="R87" s="93"/>
      <c r="S87" s="101">
        <f t="shared" si="9"/>
        <v>0</v>
      </c>
      <c r="T87" s="102" t="b">
        <v>1</v>
      </c>
      <c r="U87" s="93"/>
      <c r="V87" s="106" t="b">
        <v>0</v>
      </c>
      <c r="W87" s="106" t="b">
        <v>0</v>
      </c>
      <c r="X87" s="106" t="b">
        <v>0</v>
      </c>
    </row>
    <row r="88" ht="24.0" customHeight="1">
      <c r="A88" s="157" t="s">
        <v>273</v>
      </c>
      <c r="B88" s="110">
        <v>46105.0</v>
      </c>
      <c r="C88" s="90"/>
      <c r="D88" s="91" t="s">
        <v>93</v>
      </c>
      <c r="E88" s="91" t="s">
        <v>274</v>
      </c>
      <c r="F88" s="93"/>
      <c r="G88" s="89" t="s">
        <v>104</v>
      </c>
      <c r="H88" s="94">
        <v>10.0</v>
      </c>
      <c r="I88" s="95">
        <f>IF(G88="", "", IFERROR(VLOOKUP(G88, Products!A:F, 4, FALSE), ""))
</f>
        <v>80</v>
      </c>
      <c r="J88" s="95">
        <v>50.0</v>
      </c>
      <c r="K88" s="96">
        <f t="shared" si="8"/>
        <v>750</v>
      </c>
      <c r="L88" s="97">
        <v>400.0</v>
      </c>
      <c r="M88" s="98" t="s">
        <v>73</v>
      </c>
      <c r="N88" s="94">
        <f t="shared" si="2"/>
        <v>350</v>
      </c>
      <c r="O88" s="99" t="b">
        <v>1</v>
      </c>
      <c r="P88" s="99" t="b">
        <v>1</v>
      </c>
      <c r="Q88" s="97">
        <v>350.0</v>
      </c>
      <c r="R88" s="98" t="s">
        <v>73</v>
      </c>
      <c r="S88" s="101">
        <f t="shared" si="9"/>
        <v>0</v>
      </c>
      <c r="T88" s="99" t="b">
        <v>1</v>
      </c>
      <c r="U88" s="163"/>
      <c r="V88" s="164" t="b">
        <v>0</v>
      </c>
      <c r="W88" s="164" t="b">
        <v>0</v>
      </c>
      <c r="X88" s="164" t="b">
        <v>0</v>
      </c>
    </row>
    <row r="89" ht="24.0" customHeight="1">
      <c r="A89" s="89" t="s">
        <v>293</v>
      </c>
      <c r="B89" s="110">
        <v>46106.0</v>
      </c>
      <c r="C89" s="90"/>
      <c r="D89" s="91" t="s">
        <v>78</v>
      </c>
      <c r="E89" s="91" t="s">
        <v>294</v>
      </c>
      <c r="F89" s="93"/>
      <c r="G89" s="89" t="s">
        <v>104</v>
      </c>
      <c r="H89" s="94">
        <v>2.0</v>
      </c>
      <c r="I89" s="95">
        <f>IF(G89="", "", IFERROR(VLOOKUP(G89, Products!A:F, 4, FALSE), ""))
</f>
        <v>80</v>
      </c>
      <c r="J89" s="95">
        <v>0.0</v>
      </c>
      <c r="K89" s="96">
        <f t="shared" si="8"/>
        <v>160</v>
      </c>
      <c r="L89" s="97">
        <v>160.0</v>
      </c>
      <c r="M89" s="98" t="s">
        <v>73</v>
      </c>
      <c r="N89" s="94">
        <f t="shared" si="2"/>
        <v>0</v>
      </c>
      <c r="O89" s="99" t="b">
        <v>1</v>
      </c>
      <c r="P89" s="99" t="b">
        <v>1</v>
      </c>
      <c r="Q89" s="100"/>
      <c r="R89" s="93" t="s">
        <v>73</v>
      </c>
      <c r="S89" s="101">
        <f t="shared" si="9"/>
        <v>0</v>
      </c>
      <c r="T89" s="102" t="b">
        <v>1</v>
      </c>
      <c r="U89" s="93"/>
      <c r="V89" s="106" t="b">
        <v>0</v>
      </c>
      <c r="W89" s="106" t="b">
        <v>0</v>
      </c>
      <c r="X89" s="106" t="b">
        <v>0</v>
      </c>
    </row>
    <row r="90" ht="24.0" customHeight="1">
      <c r="A90" s="89" t="s">
        <v>288</v>
      </c>
      <c r="B90" s="110">
        <v>46106.0</v>
      </c>
      <c r="C90" s="90"/>
      <c r="D90" s="136" t="s">
        <v>93</v>
      </c>
      <c r="E90" s="136" t="s">
        <v>156</v>
      </c>
      <c r="F90" s="93"/>
      <c r="G90" s="89" t="s">
        <v>104</v>
      </c>
      <c r="H90" s="94">
        <v>3.0</v>
      </c>
      <c r="I90" s="95">
        <f>IF(G90="", "", IFERROR(VLOOKUP(G90, Products!A:F, 4, FALSE), ""))
</f>
        <v>80</v>
      </c>
      <c r="J90" s="95">
        <v>0.0</v>
      </c>
      <c r="K90" s="96">
        <f t="shared" si="8"/>
        <v>240</v>
      </c>
      <c r="L90" s="97">
        <v>120.0</v>
      </c>
      <c r="M90" s="98" t="s">
        <v>73</v>
      </c>
      <c r="N90" s="94">
        <f t="shared" si="2"/>
        <v>120</v>
      </c>
      <c r="O90" s="99" t="b">
        <v>1</v>
      </c>
      <c r="P90" s="99" t="b">
        <v>1</v>
      </c>
      <c r="Q90" s="100">
        <v>120.0</v>
      </c>
      <c r="R90" s="93" t="s">
        <v>271</v>
      </c>
      <c r="S90" s="101">
        <f t="shared" si="9"/>
        <v>0</v>
      </c>
      <c r="T90" s="102" t="b">
        <v>1</v>
      </c>
      <c r="U90" s="93"/>
      <c r="V90" s="106" t="b">
        <v>0</v>
      </c>
      <c r="W90" s="106" t="b">
        <v>0</v>
      </c>
      <c r="X90" s="106" t="b">
        <v>0</v>
      </c>
    </row>
    <row r="91" ht="24.0" customHeight="1">
      <c r="A91" s="89" t="s">
        <v>285</v>
      </c>
      <c r="B91" s="110">
        <v>46106.0</v>
      </c>
      <c r="C91" s="90"/>
      <c r="D91" s="91" t="s">
        <v>93</v>
      </c>
      <c r="E91" s="91" t="s">
        <v>250</v>
      </c>
      <c r="F91" s="93"/>
      <c r="G91" s="89" t="s">
        <v>104</v>
      </c>
      <c r="H91" s="94">
        <v>6.0</v>
      </c>
      <c r="I91" s="95">
        <f>IF(G91="", "", IFERROR(VLOOKUP(G91, Products!A:F, 4, FALSE), ""))
</f>
        <v>80</v>
      </c>
      <c r="J91" s="95">
        <v>0.0</v>
      </c>
      <c r="K91" s="96">
        <f t="shared" si="8"/>
        <v>480</v>
      </c>
      <c r="L91" s="97">
        <v>240.0</v>
      </c>
      <c r="M91" s="98" t="s">
        <v>73</v>
      </c>
      <c r="N91" s="94">
        <f t="shared" si="2"/>
        <v>240</v>
      </c>
      <c r="O91" s="99" t="b">
        <v>1</v>
      </c>
      <c r="P91" s="99" t="b">
        <v>1</v>
      </c>
      <c r="Q91" s="100">
        <v>240.0</v>
      </c>
      <c r="R91" s="93" t="s">
        <v>73</v>
      </c>
      <c r="S91" s="101">
        <f t="shared" si="9"/>
        <v>0</v>
      </c>
      <c r="T91" s="102" t="b">
        <v>1</v>
      </c>
      <c r="U91" s="93"/>
      <c r="V91" s="106" t="b">
        <v>0</v>
      </c>
      <c r="W91" s="106" t="b">
        <v>0</v>
      </c>
      <c r="X91" s="106" t="b">
        <v>0</v>
      </c>
    </row>
    <row r="92" ht="24.0" customHeight="1">
      <c r="A92" s="89" t="s">
        <v>283</v>
      </c>
      <c r="B92" s="110">
        <v>46106.0</v>
      </c>
      <c r="C92" s="90"/>
      <c r="D92" s="91" t="s">
        <v>93</v>
      </c>
      <c r="E92" s="91" t="s">
        <v>99</v>
      </c>
      <c r="F92" s="93"/>
      <c r="G92" s="89" t="s">
        <v>104</v>
      </c>
      <c r="H92" s="94">
        <v>6.0</v>
      </c>
      <c r="I92" s="95">
        <f>IF(G92="", "", IFERROR(VLOOKUP(G92, Products!A:F, 4, FALSE), ""))
</f>
        <v>80</v>
      </c>
      <c r="J92" s="95">
        <v>0.0</v>
      </c>
      <c r="K92" s="96">
        <f t="shared" si="8"/>
        <v>480</v>
      </c>
      <c r="L92" s="97">
        <v>200.0</v>
      </c>
      <c r="M92" s="98" t="s">
        <v>73</v>
      </c>
      <c r="N92" s="94">
        <f t="shared" si="2"/>
        <v>280</v>
      </c>
      <c r="O92" s="99" t="b">
        <v>1</v>
      </c>
      <c r="P92" s="99" t="b">
        <v>1</v>
      </c>
      <c r="Q92" s="100">
        <v>280.0</v>
      </c>
      <c r="R92" s="93" t="s">
        <v>73</v>
      </c>
      <c r="S92" s="101">
        <f t="shared" si="9"/>
        <v>0</v>
      </c>
      <c r="T92" s="102" t="b">
        <v>1</v>
      </c>
      <c r="U92" s="93"/>
      <c r="V92" s="106" t="b">
        <v>0</v>
      </c>
      <c r="W92" s="106" t="b">
        <v>0</v>
      </c>
      <c r="X92" s="106" t="b">
        <v>0</v>
      </c>
    </row>
    <row r="93" ht="24.0" customHeight="1">
      <c r="A93" s="89" t="s">
        <v>291</v>
      </c>
      <c r="B93" s="110">
        <v>46106.0</v>
      </c>
      <c r="C93" s="90"/>
      <c r="D93" s="136" t="s">
        <v>93</v>
      </c>
      <c r="E93" s="136" t="s">
        <v>156</v>
      </c>
      <c r="F93" s="93"/>
      <c r="G93" s="89" t="s">
        <v>104</v>
      </c>
      <c r="H93" s="94">
        <v>6.0</v>
      </c>
      <c r="I93" s="95">
        <f>IF(G93="", "", IFERROR(VLOOKUP(G93, Products!A:F, 4, FALSE), ""))
</f>
        <v>80</v>
      </c>
      <c r="J93" s="95">
        <v>0.0</v>
      </c>
      <c r="K93" s="96">
        <f t="shared" si="8"/>
        <v>480</v>
      </c>
      <c r="L93" s="97">
        <v>480.0</v>
      </c>
      <c r="M93" s="98" t="s">
        <v>73</v>
      </c>
      <c r="N93" s="94">
        <f t="shared" si="2"/>
        <v>0</v>
      </c>
      <c r="O93" s="99" t="b">
        <v>1</v>
      </c>
      <c r="P93" s="99" t="b">
        <v>1</v>
      </c>
      <c r="Q93" s="100"/>
      <c r="R93" s="93"/>
      <c r="S93" s="101">
        <f t="shared" si="9"/>
        <v>0</v>
      </c>
      <c r="T93" s="102" t="b">
        <v>1</v>
      </c>
      <c r="U93" s="93"/>
      <c r="V93" s="106" t="b">
        <v>0</v>
      </c>
      <c r="W93" s="106" t="b">
        <v>0</v>
      </c>
      <c r="X93" s="106" t="b">
        <v>0</v>
      </c>
    </row>
    <row r="94" ht="24.0" customHeight="1">
      <c r="A94" s="89" t="s">
        <v>296</v>
      </c>
      <c r="B94" s="110">
        <v>46106.0</v>
      </c>
      <c r="C94" s="90"/>
      <c r="D94" s="136" t="s">
        <v>93</v>
      </c>
      <c r="E94" s="136" t="s">
        <v>156</v>
      </c>
      <c r="F94" s="93"/>
      <c r="G94" s="89" t="s">
        <v>104</v>
      </c>
      <c r="H94" s="94">
        <v>4.0</v>
      </c>
      <c r="I94" s="95">
        <f>IF(G94="", "", IFERROR(VLOOKUP(G94, Products!A:F, 4, FALSE), ""))
</f>
        <v>80</v>
      </c>
      <c r="J94" s="95">
        <v>0.0</v>
      </c>
      <c r="K94" s="96">
        <f t="shared" si="8"/>
        <v>320</v>
      </c>
      <c r="L94" s="97">
        <v>160.0</v>
      </c>
      <c r="M94" s="98" t="s">
        <v>73</v>
      </c>
      <c r="N94" s="94">
        <f t="shared" si="2"/>
        <v>160</v>
      </c>
      <c r="O94" s="99" t="b">
        <v>1</v>
      </c>
      <c r="P94" s="99" t="b">
        <v>1</v>
      </c>
      <c r="Q94" s="100">
        <v>160.0</v>
      </c>
      <c r="R94" s="93" t="s">
        <v>73</v>
      </c>
      <c r="S94" s="101">
        <f t="shared" si="9"/>
        <v>0</v>
      </c>
      <c r="T94" s="102" t="b">
        <v>1</v>
      </c>
      <c r="U94" s="93"/>
      <c r="V94" s="106" t="b">
        <v>0</v>
      </c>
      <c r="W94" s="106" t="b">
        <v>0</v>
      </c>
      <c r="X94" s="106" t="b">
        <v>0</v>
      </c>
    </row>
    <row r="95" ht="24.0" customHeight="1">
      <c r="A95" s="89" t="s">
        <v>297</v>
      </c>
      <c r="B95" s="110">
        <v>46106.0</v>
      </c>
      <c r="C95" s="90"/>
      <c r="D95" s="136" t="s">
        <v>93</v>
      </c>
      <c r="E95" s="136" t="s">
        <v>156</v>
      </c>
      <c r="F95" s="93"/>
      <c r="G95" s="89" t="s">
        <v>104</v>
      </c>
      <c r="H95" s="94">
        <v>6.0</v>
      </c>
      <c r="I95" s="95">
        <f>IF(G95="", "", IFERROR(VLOOKUP(G95, Products!A:F, 4, FALSE), ""))
</f>
        <v>80</v>
      </c>
      <c r="J95" s="95">
        <v>0.0</v>
      </c>
      <c r="K95" s="96">
        <f t="shared" si="8"/>
        <v>480</v>
      </c>
      <c r="L95" s="97">
        <v>240.0</v>
      </c>
      <c r="M95" s="98" t="s">
        <v>73</v>
      </c>
      <c r="N95" s="94">
        <f t="shared" si="2"/>
        <v>240</v>
      </c>
      <c r="O95" s="99" t="b">
        <v>1</v>
      </c>
      <c r="P95" s="99" t="b">
        <v>1</v>
      </c>
      <c r="Q95" s="100">
        <v>240.0</v>
      </c>
      <c r="R95" s="98" t="s">
        <v>271</v>
      </c>
      <c r="S95" s="101">
        <f t="shared" si="9"/>
        <v>0</v>
      </c>
      <c r="T95" s="102" t="b">
        <v>1</v>
      </c>
      <c r="U95" s="93"/>
      <c r="V95" s="106" t="b">
        <v>0</v>
      </c>
      <c r="W95" s="106" t="b">
        <v>0</v>
      </c>
      <c r="X95" s="106" t="b">
        <v>0</v>
      </c>
    </row>
    <row r="96" ht="24.0" customHeight="1">
      <c r="A96" s="89" t="s">
        <v>282</v>
      </c>
      <c r="B96" s="110">
        <v>46106.0</v>
      </c>
      <c r="C96" s="90"/>
      <c r="D96" s="91" t="s">
        <v>53</v>
      </c>
      <c r="E96" s="91" t="s">
        <v>57</v>
      </c>
      <c r="F96" s="93"/>
      <c r="G96" s="89" t="s">
        <v>104</v>
      </c>
      <c r="H96" s="94">
        <v>2.0</v>
      </c>
      <c r="I96" s="95">
        <f>IF(G96="", "", IFERROR(VLOOKUP(G96, Products!A:F, 4, FALSE), ""))
</f>
        <v>80</v>
      </c>
      <c r="J96" s="95">
        <v>0.0</v>
      </c>
      <c r="K96" s="96">
        <f t="shared" si="8"/>
        <v>160</v>
      </c>
      <c r="L96" s="97">
        <v>125.0</v>
      </c>
      <c r="M96" s="98" t="s">
        <v>271</v>
      </c>
      <c r="N96" s="94">
        <f t="shared" si="2"/>
        <v>35</v>
      </c>
      <c r="O96" s="99" t="b">
        <v>1</v>
      </c>
      <c r="P96" s="99" t="b">
        <v>1</v>
      </c>
      <c r="Q96" s="100">
        <v>35.0</v>
      </c>
      <c r="R96" s="98" t="s">
        <v>271</v>
      </c>
      <c r="S96" s="101">
        <f t="shared" si="9"/>
        <v>0</v>
      </c>
      <c r="T96" s="102" t="b">
        <v>1</v>
      </c>
      <c r="U96" s="93"/>
      <c r="V96" s="106" t="b">
        <v>0</v>
      </c>
      <c r="W96" s="106" t="b">
        <v>0</v>
      </c>
      <c r="X96" s="106" t="b">
        <v>0</v>
      </c>
    </row>
    <row r="97" ht="24.0" customHeight="1">
      <c r="A97" s="89" t="s">
        <v>286</v>
      </c>
      <c r="B97" s="110">
        <v>46106.0</v>
      </c>
      <c r="C97" s="90"/>
      <c r="D97" s="91" t="s">
        <v>256</v>
      </c>
      <c r="E97" s="91" t="s">
        <v>287</v>
      </c>
      <c r="F97" s="93"/>
      <c r="G97" s="89" t="s">
        <v>104</v>
      </c>
      <c r="H97" s="94">
        <v>10.0</v>
      </c>
      <c r="I97" s="95">
        <f>IF(G97="", "", IFERROR(VLOOKUP(G97, Products!A:F, 4, FALSE), ""))
</f>
        <v>80</v>
      </c>
      <c r="J97" s="95">
        <v>0.0</v>
      </c>
      <c r="K97" s="96">
        <f t="shared" si="8"/>
        <v>800</v>
      </c>
      <c r="L97" s="97">
        <v>400.0</v>
      </c>
      <c r="M97" s="98" t="s">
        <v>73</v>
      </c>
      <c r="N97" s="94">
        <f t="shared" si="2"/>
        <v>400</v>
      </c>
      <c r="O97" s="99" t="b">
        <v>1</v>
      </c>
      <c r="P97" s="99" t="b">
        <v>1</v>
      </c>
      <c r="Q97" s="97">
        <v>400.0</v>
      </c>
      <c r="R97" s="98" t="s">
        <v>115</v>
      </c>
      <c r="S97" s="101">
        <f t="shared" si="9"/>
        <v>0</v>
      </c>
      <c r="T97" s="99" t="b">
        <v>1</v>
      </c>
      <c r="U97" s="103" t="s">
        <v>116</v>
      </c>
      <c r="V97" s="104" t="b">
        <v>0</v>
      </c>
      <c r="W97" s="104" t="b">
        <v>0</v>
      </c>
      <c r="X97" s="104" t="b">
        <v>0</v>
      </c>
    </row>
    <row r="98" ht="24.0" customHeight="1">
      <c r="A98" s="89" t="s">
        <v>284</v>
      </c>
      <c r="B98" s="110">
        <v>46106.0</v>
      </c>
      <c r="C98" s="90"/>
      <c r="D98" s="91" t="s">
        <v>78</v>
      </c>
      <c r="E98" s="91" t="s">
        <v>79</v>
      </c>
      <c r="F98" s="93"/>
      <c r="G98" s="89" t="s">
        <v>104</v>
      </c>
      <c r="H98" s="94">
        <v>6.0</v>
      </c>
      <c r="I98" s="95">
        <f>IF(G98="", "", IFERROR(VLOOKUP(G98, Products!A:F, 4, FALSE), ""))
</f>
        <v>80</v>
      </c>
      <c r="J98" s="95">
        <v>0.0</v>
      </c>
      <c r="K98" s="96">
        <f t="shared" si="8"/>
        <v>480</v>
      </c>
      <c r="L98" s="97">
        <v>240.0</v>
      </c>
      <c r="M98" s="98" t="s">
        <v>73</v>
      </c>
      <c r="N98" s="94">
        <f t="shared" si="2"/>
        <v>240</v>
      </c>
      <c r="O98" s="99" t="b">
        <v>1</v>
      </c>
      <c r="P98" s="99" t="b">
        <v>1</v>
      </c>
      <c r="Q98" s="100">
        <v>240.0</v>
      </c>
      <c r="R98" s="98" t="s">
        <v>271</v>
      </c>
      <c r="S98" s="101">
        <f t="shared" si="9"/>
        <v>0</v>
      </c>
      <c r="T98" s="102" t="b">
        <v>1</v>
      </c>
      <c r="U98" s="93"/>
      <c r="V98" s="106" t="b">
        <v>0</v>
      </c>
      <c r="W98" s="106" t="b">
        <v>0</v>
      </c>
      <c r="X98" s="106" t="b">
        <v>0</v>
      </c>
    </row>
    <row r="99" ht="24.0" customHeight="1">
      <c r="A99" s="89" t="s">
        <v>292</v>
      </c>
      <c r="B99" s="110">
        <v>46106.0</v>
      </c>
      <c r="C99" s="90"/>
      <c r="D99" s="136" t="s">
        <v>93</v>
      </c>
      <c r="E99" s="136" t="s">
        <v>156</v>
      </c>
      <c r="F99" s="93"/>
      <c r="G99" s="89" t="s">
        <v>104</v>
      </c>
      <c r="H99" s="94">
        <v>2.0</v>
      </c>
      <c r="I99" s="95">
        <f>IF(G99="", "", IFERROR(VLOOKUP(G99, Products!A:F, 4, FALSE), ""))
</f>
        <v>80</v>
      </c>
      <c r="J99" s="95">
        <v>0.0</v>
      </c>
      <c r="K99" s="96">
        <f t="shared" si="8"/>
        <v>160</v>
      </c>
      <c r="L99" s="97">
        <v>80.0</v>
      </c>
      <c r="M99" s="98" t="s">
        <v>73</v>
      </c>
      <c r="N99" s="94">
        <f t="shared" si="2"/>
        <v>80</v>
      </c>
      <c r="O99" s="99" t="b">
        <v>1</v>
      </c>
      <c r="P99" s="99" t="b">
        <v>1</v>
      </c>
      <c r="Q99" s="100">
        <v>80.0</v>
      </c>
      <c r="R99" s="93" t="s">
        <v>73</v>
      </c>
      <c r="S99" s="101">
        <f t="shared" si="9"/>
        <v>0</v>
      </c>
      <c r="T99" s="102" t="b">
        <v>1</v>
      </c>
      <c r="U99" s="93"/>
      <c r="V99" s="106" t="b">
        <v>0</v>
      </c>
      <c r="W99" s="106" t="b">
        <v>0</v>
      </c>
      <c r="X99" s="106" t="b">
        <v>0</v>
      </c>
    </row>
    <row r="100" ht="24.0" customHeight="1">
      <c r="A100" s="89" t="s">
        <v>292</v>
      </c>
      <c r="B100" s="110">
        <v>46106.0</v>
      </c>
      <c r="C100" s="90"/>
      <c r="D100" s="136" t="s">
        <v>93</v>
      </c>
      <c r="E100" s="136" t="s">
        <v>156</v>
      </c>
      <c r="F100" s="93"/>
      <c r="G100" s="89" t="s">
        <v>153</v>
      </c>
      <c r="H100" s="94">
        <v>2.0</v>
      </c>
      <c r="I100" s="95">
        <f>IF(G100="", "", IFERROR(VLOOKUP(G100, Products!A:F, 4, FALSE), ""))
</f>
        <v>80</v>
      </c>
      <c r="J100" s="95">
        <v>0.0</v>
      </c>
      <c r="K100" s="96">
        <f t="shared" si="8"/>
        <v>160</v>
      </c>
      <c r="L100" s="97">
        <v>80.0</v>
      </c>
      <c r="M100" s="98" t="s">
        <v>73</v>
      </c>
      <c r="N100" s="94">
        <f t="shared" si="2"/>
        <v>80</v>
      </c>
      <c r="O100" s="99" t="b">
        <v>1</v>
      </c>
      <c r="P100" s="99" t="b">
        <v>1</v>
      </c>
      <c r="Q100" s="100">
        <v>80.0</v>
      </c>
      <c r="R100" s="93" t="s">
        <v>73</v>
      </c>
      <c r="S100" s="101">
        <f t="shared" si="9"/>
        <v>0</v>
      </c>
      <c r="T100" s="102" t="b">
        <v>1</v>
      </c>
      <c r="U100" s="93"/>
      <c r="V100" s="106" t="b">
        <v>0</v>
      </c>
      <c r="W100" s="106" t="b">
        <v>0</v>
      </c>
      <c r="X100" s="106" t="b">
        <v>0</v>
      </c>
    </row>
    <row r="101" ht="24.0" customHeight="1">
      <c r="A101" s="89" t="s">
        <v>290</v>
      </c>
      <c r="B101" s="110">
        <v>46106.0</v>
      </c>
      <c r="C101" s="90"/>
      <c r="D101" s="136" t="s">
        <v>93</v>
      </c>
      <c r="E101" s="136" t="s">
        <v>156</v>
      </c>
      <c r="F101" s="93"/>
      <c r="G101" s="89" t="s">
        <v>104</v>
      </c>
      <c r="H101" s="94">
        <v>8.0</v>
      </c>
      <c r="I101" s="95">
        <f>IF(G101="", "", IFERROR(VLOOKUP(G101, Products!A:F, 4, FALSE), ""))
</f>
        <v>80</v>
      </c>
      <c r="J101" s="95">
        <v>0.0</v>
      </c>
      <c r="K101" s="96">
        <f t="shared" si="8"/>
        <v>640</v>
      </c>
      <c r="L101" s="97">
        <v>320.0</v>
      </c>
      <c r="M101" s="98" t="s">
        <v>73</v>
      </c>
      <c r="N101" s="94">
        <f t="shared" si="2"/>
        <v>320</v>
      </c>
      <c r="O101" s="99" t="b">
        <v>1</v>
      </c>
      <c r="P101" s="99" t="b">
        <v>1</v>
      </c>
      <c r="Q101" s="100">
        <v>320.0</v>
      </c>
      <c r="R101" s="93" t="s">
        <v>73</v>
      </c>
      <c r="S101" s="101">
        <f t="shared" si="9"/>
        <v>0</v>
      </c>
      <c r="T101" s="102" t="b">
        <v>1</v>
      </c>
      <c r="U101" s="93"/>
      <c r="V101" s="106" t="b">
        <v>0</v>
      </c>
      <c r="W101" s="106" t="b">
        <v>0</v>
      </c>
      <c r="X101" s="106" t="b">
        <v>0</v>
      </c>
    </row>
    <row r="102" ht="24.0" customHeight="1">
      <c r="A102" s="89" t="s">
        <v>295</v>
      </c>
      <c r="B102" s="110">
        <v>46106.0</v>
      </c>
      <c r="C102" s="90"/>
      <c r="D102" s="136" t="s">
        <v>93</v>
      </c>
      <c r="E102" s="136" t="s">
        <v>156</v>
      </c>
      <c r="F102" s="93"/>
      <c r="G102" s="89" t="s">
        <v>104</v>
      </c>
      <c r="H102" s="94">
        <v>1.0</v>
      </c>
      <c r="I102" s="95">
        <f>IF(G102="", "", IFERROR(VLOOKUP(G102, Products!A:F, 4, FALSE), ""))
</f>
        <v>80</v>
      </c>
      <c r="J102" s="95">
        <v>0.0</v>
      </c>
      <c r="K102" s="96">
        <v>0.0</v>
      </c>
      <c r="L102" s="97">
        <v>0.0</v>
      </c>
      <c r="M102" s="93"/>
      <c r="N102" s="94">
        <f t="shared" si="2"/>
        <v>0</v>
      </c>
      <c r="O102" s="99" t="b">
        <v>0</v>
      </c>
      <c r="P102" s="99" t="b">
        <v>0</v>
      </c>
      <c r="Q102" s="100"/>
      <c r="R102" s="93"/>
      <c r="S102" s="101">
        <f t="shared" si="9"/>
        <v>0</v>
      </c>
      <c r="T102" s="102" t="b">
        <v>0</v>
      </c>
      <c r="U102" s="93"/>
      <c r="V102" s="99" t="b">
        <v>0</v>
      </c>
      <c r="W102" s="99" t="b">
        <v>1</v>
      </c>
      <c r="X102" s="99" t="b">
        <v>0</v>
      </c>
    </row>
    <row r="103" ht="24.0" customHeight="1">
      <c r="A103" s="44" t="s">
        <v>300</v>
      </c>
      <c r="B103" s="29">
        <v>46107.0</v>
      </c>
      <c r="C103" s="272" t="s">
        <v>650</v>
      </c>
      <c r="D103" s="37" t="s">
        <v>243</v>
      </c>
      <c r="E103" s="105"/>
      <c r="F103" s="42" t="s">
        <v>221</v>
      </c>
      <c r="G103" s="44" t="s">
        <v>104</v>
      </c>
      <c r="H103" s="46">
        <v>2.0</v>
      </c>
      <c r="I103" s="49">
        <f>IF(G103="", "", IFERROR(VLOOKUP(G103, Products!A:F, 4, FALSE), ""))
</f>
        <v>80</v>
      </c>
      <c r="J103" s="49">
        <v>0.0</v>
      </c>
      <c r="K103" s="54">
        <f t="shared" ref="K103:K358" si="10">(H103*I103)-J103</f>
        <v>160</v>
      </c>
      <c r="L103" s="55">
        <v>160.0</v>
      </c>
      <c r="M103" s="42" t="s">
        <v>73</v>
      </c>
      <c r="N103" s="46">
        <f t="shared" si="2"/>
        <v>0</v>
      </c>
      <c r="O103" s="59" t="b">
        <v>1</v>
      </c>
      <c r="P103" s="59" t="b">
        <v>1</v>
      </c>
      <c r="Q103" s="60"/>
      <c r="R103" s="63"/>
      <c r="S103" s="65">
        <f t="shared" si="9"/>
        <v>0</v>
      </c>
      <c r="T103" s="71" t="b">
        <v>1</v>
      </c>
      <c r="U103" s="63"/>
      <c r="V103" s="66" t="b">
        <v>0</v>
      </c>
      <c r="W103" s="66" t="b">
        <v>0</v>
      </c>
      <c r="X103" s="66" t="b">
        <v>0</v>
      </c>
    </row>
    <row r="104" ht="24.0" customHeight="1">
      <c r="A104" s="89" t="s">
        <v>298</v>
      </c>
      <c r="B104" s="110">
        <v>46107.0</v>
      </c>
      <c r="C104" s="90"/>
      <c r="D104" s="91" t="s">
        <v>78</v>
      </c>
      <c r="E104" s="91" t="s">
        <v>294</v>
      </c>
      <c r="F104" s="93"/>
      <c r="G104" s="89" t="s">
        <v>104</v>
      </c>
      <c r="H104" s="94">
        <v>3.0</v>
      </c>
      <c r="I104" s="95">
        <f>IF(G104="", "", IFERROR(VLOOKUP(G104, Products!A:F, 4, FALSE), ""))
</f>
        <v>80</v>
      </c>
      <c r="J104" s="95">
        <v>0.0</v>
      </c>
      <c r="K104" s="96">
        <f t="shared" si="10"/>
        <v>240</v>
      </c>
      <c r="L104" s="97">
        <v>240.0</v>
      </c>
      <c r="M104" s="98" t="s">
        <v>73</v>
      </c>
      <c r="N104" s="94">
        <f t="shared" si="2"/>
        <v>0</v>
      </c>
      <c r="O104" s="99" t="b">
        <v>1</v>
      </c>
      <c r="P104" s="99" t="b">
        <v>1</v>
      </c>
      <c r="Q104" s="100">
        <v>240.0</v>
      </c>
      <c r="R104" s="93" t="s">
        <v>73</v>
      </c>
      <c r="S104" s="94">
        <v>0.0</v>
      </c>
      <c r="T104" s="102" t="b">
        <v>1</v>
      </c>
      <c r="U104" s="93"/>
      <c r="V104" s="106" t="b">
        <v>0</v>
      </c>
      <c r="W104" s="106" t="b">
        <v>0</v>
      </c>
      <c r="X104" s="106" t="b">
        <v>0</v>
      </c>
    </row>
    <row r="105" ht="24.0" customHeight="1">
      <c r="A105" s="44" t="s">
        <v>306</v>
      </c>
      <c r="B105" s="29">
        <v>46108.0</v>
      </c>
      <c r="C105" s="32"/>
      <c r="D105" s="116" t="s">
        <v>93</v>
      </c>
      <c r="E105" s="116" t="s">
        <v>156</v>
      </c>
      <c r="F105" s="42" t="s">
        <v>221</v>
      </c>
      <c r="G105" s="44" t="s">
        <v>104</v>
      </c>
      <c r="H105" s="46">
        <v>5.0</v>
      </c>
      <c r="I105" s="49">
        <f>IF(G105="", "", IFERROR(VLOOKUP(G105, Products!A:F, 4, FALSE), ""))
</f>
        <v>80</v>
      </c>
      <c r="J105" s="49">
        <v>0.0</v>
      </c>
      <c r="K105" s="54">
        <f t="shared" si="10"/>
        <v>400</v>
      </c>
      <c r="L105" s="55">
        <v>400.0</v>
      </c>
      <c r="M105" s="42" t="s">
        <v>73</v>
      </c>
      <c r="N105" s="46">
        <f t="shared" si="2"/>
        <v>0</v>
      </c>
      <c r="O105" s="59" t="b">
        <v>1</v>
      </c>
      <c r="P105" s="59" t="b">
        <v>1</v>
      </c>
      <c r="Q105" s="60"/>
      <c r="R105" s="63"/>
      <c r="S105" s="65">
        <f t="shared" ref="S105:S130" si="11">N105-Q105</f>
        <v>0</v>
      </c>
      <c r="T105" s="71" t="b">
        <v>1</v>
      </c>
      <c r="U105" s="63"/>
      <c r="V105" s="66" t="b">
        <v>0</v>
      </c>
      <c r="W105" s="66" t="b">
        <v>0</v>
      </c>
      <c r="X105" s="66" t="b">
        <v>0</v>
      </c>
    </row>
    <row r="106" ht="24.0" customHeight="1">
      <c r="A106" s="44" t="s">
        <v>307</v>
      </c>
      <c r="B106" s="29">
        <v>46108.0</v>
      </c>
      <c r="C106" s="32"/>
      <c r="D106" s="116" t="s">
        <v>93</v>
      </c>
      <c r="E106" s="116" t="s">
        <v>156</v>
      </c>
      <c r="F106" s="42" t="s">
        <v>143</v>
      </c>
      <c r="G106" s="44" t="s">
        <v>104</v>
      </c>
      <c r="H106" s="46">
        <v>4.0</v>
      </c>
      <c r="I106" s="49">
        <f>IF(G106="", "", IFERROR(VLOOKUP(G106, Products!A:F, 4, FALSE), ""))
</f>
        <v>80</v>
      </c>
      <c r="J106" s="49">
        <v>0.0</v>
      </c>
      <c r="K106" s="54">
        <f t="shared" si="10"/>
        <v>320</v>
      </c>
      <c r="L106" s="55">
        <v>320.0</v>
      </c>
      <c r="M106" s="42" t="s">
        <v>73</v>
      </c>
      <c r="N106" s="46">
        <f t="shared" si="2"/>
        <v>0</v>
      </c>
      <c r="O106" s="59" t="b">
        <v>1</v>
      </c>
      <c r="P106" s="59" t="b">
        <v>1</v>
      </c>
      <c r="Q106" s="60"/>
      <c r="R106" s="63"/>
      <c r="S106" s="65">
        <f t="shared" si="11"/>
        <v>0</v>
      </c>
      <c r="T106" s="71" t="b">
        <v>1</v>
      </c>
      <c r="U106" s="63"/>
      <c r="V106" s="66" t="b">
        <v>0</v>
      </c>
      <c r="W106" s="66" t="b">
        <v>0</v>
      </c>
      <c r="X106" s="66" t="b">
        <v>0</v>
      </c>
    </row>
    <row r="107" ht="24.0" customHeight="1">
      <c r="A107" s="44" t="s">
        <v>311</v>
      </c>
      <c r="B107" s="29">
        <v>46109.0</v>
      </c>
      <c r="C107" s="272" t="s">
        <v>671</v>
      </c>
      <c r="D107" s="37" t="s">
        <v>78</v>
      </c>
      <c r="E107" s="37" t="s">
        <v>79</v>
      </c>
      <c r="F107" s="42" t="s">
        <v>221</v>
      </c>
      <c r="G107" s="44" t="s">
        <v>104</v>
      </c>
      <c r="H107" s="46">
        <v>4.0</v>
      </c>
      <c r="I107" s="49">
        <f>IF(G107="", "", IFERROR(VLOOKUP(G107, Products!A:F, 4, FALSE), ""))
</f>
        <v>80</v>
      </c>
      <c r="J107" s="49">
        <v>0.0</v>
      </c>
      <c r="K107" s="54">
        <f t="shared" si="10"/>
        <v>320</v>
      </c>
      <c r="L107" s="55">
        <v>180.0</v>
      </c>
      <c r="M107" s="42" t="s">
        <v>73</v>
      </c>
      <c r="N107" s="46">
        <f t="shared" si="2"/>
        <v>140</v>
      </c>
      <c r="O107" s="59" t="b">
        <v>1</v>
      </c>
      <c r="P107" s="59" t="b">
        <v>1</v>
      </c>
      <c r="Q107" s="60">
        <v>140.0</v>
      </c>
      <c r="R107" s="42" t="s">
        <v>271</v>
      </c>
      <c r="S107" s="65">
        <f t="shared" si="11"/>
        <v>0</v>
      </c>
      <c r="T107" s="59" t="b">
        <v>1</v>
      </c>
      <c r="U107" s="108"/>
      <c r="V107" s="109" t="b">
        <v>0</v>
      </c>
      <c r="W107" s="109" t="b">
        <v>0</v>
      </c>
      <c r="X107" s="109" t="b">
        <v>0</v>
      </c>
    </row>
    <row r="108" ht="24.0" customHeight="1">
      <c r="A108" s="44" t="s">
        <v>312</v>
      </c>
      <c r="B108" s="29">
        <v>46109.0</v>
      </c>
      <c r="C108" s="32"/>
      <c r="D108" s="116" t="s">
        <v>93</v>
      </c>
      <c r="E108" s="116" t="s">
        <v>156</v>
      </c>
      <c r="F108" s="42" t="s">
        <v>221</v>
      </c>
      <c r="G108" s="44" t="s">
        <v>104</v>
      </c>
      <c r="H108" s="46">
        <v>3.0</v>
      </c>
      <c r="I108" s="49">
        <f>IF(G108="", "", IFERROR(VLOOKUP(G108, Products!A:F, 4, FALSE), ""))
</f>
        <v>80</v>
      </c>
      <c r="J108" s="49">
        <v>0.0</v>
      </c>
      <c r="K108" s="54">
        <f t="shared" si="10"/>
        <v>240</v>
      </c>
      <c r="L108" s="55">
        <v>240.0</v>
      </c>
      <c r="M108" s="42" t="s">
        <v>73</v>
      </c>
      <c r="N108" s="46">
        <f t="shared" si="2"/>
        <v>0</v>
      </c>
      <c r="O108" s="59" t="b">
        <v>1</v>
      </c>
      <c r="P108" s="59" t="b">
        <v>1</v>
      </c>
      <c r="Q108" s="60"/>
      <c r="R108" s="63"/>
      <c r="S108" s="65">
        <f t="shared" si="11"/>
        <v>0</v>
      </c>
      <c r="T108" s="71" t="b">
        <v>1</v>
      </c>
      <c r="U108" s="63"/>
      <c r="V108" s="66" t="b">
        <v>0</v>
      </c>
      <c r="W108" s="66" t="b">
        <v>0</v>
      </c>
      <c r="X108" s="66" t="b">
        <v>0</v>
      </c>
    </row>
    <row r="109" ht="24.0" customHeight="1">
      <c r="A109" s="44" t="s">
        <v>310</v>
      </c>
      <c r="B109" s="29">
        <v>46109.0</v>
      </c>
      <c r="C109" s="272" t="s">
        <v>681</v>
      </c>
      <c r="D109" s="116" t="s">
        <v>93</v>
      </c>
      <c r="E109" s="116" t="s">
        <v>156</v>
      </c>
      <c r="F109" s="42" t="s">
        <v>221</v>
      </c>
      <c r="G109" s="44" t="s">
        <v>104</v>
      </c>
      <c r="H109" s="46">
        <v>3.0</v>
      </c>
      <c r="I109" s="49">
        <f>IF(G109="", "", IFERROR(VLOOKUP(G109, Products!A:F, 4, FALSE), ""))
</f>
        <v>80</v>
      </c>
      <c r="J109" s="49">
        <v>0.0</v>
      </c>
      <c r="K109" s="54">
        <f t="shared" si="10"/>
        <v>240</v>
      </c>
      <c r="L109" s="55">
        <v>120.0</v>
      </c>
      <c r="M109" s="42" t="s">
        <v>73</v>
      </c>
      <c r="N109" s="46">
        <f t="shared" si="2"/>
        <v>120</v>
      </c>
      <c r="O109" s="59" t="b">
        <v>1</v>
      </c>
      <c r="P109" s="59" t="b">
        <v>1</v>
      </c>
      <c r="Q109" s="60">
        <v>120.0</v>
      </c>
      <c r="R109" s="63" t="s">
        <v>271</v>
      </c>
      <c r="S109" s="65">
        <f t="shared" si="11"/>
        <v>0</v>
      </c>
      <c r="T109" s="59" t="b">
        <v>1</v>
      </c>
      <c r="U109" s="108"/>
      <c r="V109" s="109" t="b">
        <v>0</v>
      </c>
      <c r="W109" s="109" t="b">
        <v>0</v>
      </c>
      <c r="X109" s="109" t="b">
        <v>0</v>
      </c>
    </row>
    <row r="110" ht="24.0" customHeight="1">
      <c r="A110" s="44" t="s">
        <v>308</v>
      </c>
      <c r="B110" s="29">
        <v>46109.0</v>
      </c>
      <c r="C110" s="272" t="s">
        <v>686</v>
      </c>
      <c r="D110" s="37" t="s">
        <v>93</v>
      </c>
      <c r="E110" s="37" t="s">
        <v>309</v>
      </c>
      <c r="F110" s="42" t="s">
        <v>143</v>
      </c>
      <c r="G110" s="44" t="s">
        <v>104</v>
      </c>
      <c r="H110" s="46">
        <v>2.0</v>
      </c>
      <c r="I110" s="49">
        <f>IF(G110="", "", IFERROR(VLOOKUP(G110, Products!A:F, 4, FALSE), ""))
</f>
        <v>80</v>
      </c>
      <c r="J110" s="49">
        <v>0.0</v>
      </c>
      <c r="K110" s="54">
        <f t="shared" si="10"/>
        <v>160</v>
      </c>
      <c r="L110" s="55">
        <v>80.0</v>
      </c>
      <c r="M110" s="42" t="s">
        <v>110</v>
      </c>
      <c r="N110" s="46">
        <f t="shared" si="2"/>
        <v>80</v>
      </c>
      <c r="O110" s="59" t="b">
        <v>1</v>
      </c>
      <c r="P110" s="59" t="b">
        <v>1</v>
      </c>
      <c r="Q110" s="55">
        <v>80.0</v>
      </c>
      <c r="R110" s="138" t="s">
        <v>73</v>
      </c>
      <c r="S110" s="65">
        <f t="shared" si="11"/>
        <v>0</v>
      </c>
      <c r="T110" s="71" t="b">
        <v>1</v>
      </c>
      <c r="U110" s="63"/>
      <c r="V110" s="66" t="b">
        <v>0</v>
      </c>
      <c r="W110" s="66" t="b">
        <v>0</v>
      </c>
      <c r="X110" s="66" t="b">
        <v>0</v>
      </c>
    </row>
    <row r="111" ht="24.0" customHeight="1">
      <c r="A111" s="44" t="s">
        <v>314</v>
      </c>
      <c r="B111" s="29">
        <v>46110.0</v>
      </c>
      <c r="C111" s="272" t="s">
        <v>692</v>
      </c>
      <c r="D111" s="37" t="s">
        <v>53</v>
      </c>
      <c r="E111" s="37" t="s">
        <v>315</v>
      </c>
      <c r="F111" s="42" t="s">
        <v>221</v>
      </c>
      <c r="G111" s="44" t="s">
        <v>104</v>
      </c>
      <c r="H111" s="46">
        <v>6.0</v>
      </c>
      <c r="I111" s="49">
        <f>IF(G111="", "", IFERROR(VLOOKUP(G111, Products!A:F, 4, FALSE), ""))
</f>
        <v>80</v>
      </c>
      <c r="J111" s="49">
        <v>0.0</v>
      </c>
      <c r="K111" s="54">
        <f t="shared" si="10"/>
        <v>480</v>
      </c>
      <c r="L111" s="55">
        <v>240.0</v>
      </c>
      <c r="M111" s="42" t="s">
        <v>73</v>
      </c>
      <c r="N111" s="46">
        <f t="shared" si="2"/>
        <v>240</v>
      </c>
      <c r="O111" s="59" t="b">
        <v>1</v>
      </c>
      <c r="P111" s="59" t="b">
        <v>1</v>
      </c>
      <c r="Q111" s="60">
        <v>240.0</v>
      </c>
      <c r="R111" s="63" t="s">
        <v>73</v>
      </c>
      <c r="S111" s="65">
        <f t="shared" si="11"/>
        <v>0</v>
      </c>
      <c r="T111" s="71" t="b">
        <v>1</v>
      </c>
      <c r="U111" s="63"/>
      <c r="V111" s="66" t="b">
        <v>0</v>
      </c>
      <c r="W111" s="66" t="b">
        <v>0</v>
      </c>
      <c r="X111" s="66" t="b">
        <v>0</v>
      </c>
    </row>
    <row r="112" ht="24.0" customHeight="1">
      <c r="A112" s="44" t="s">
        <v>317</v>
      </c>
      <c r="B112" s="29">
        <v>46110.0</v>
      </c>
      <c r="C112" s="272" t="s">
        <v>702</v>
      </c>
      <c r="D112" s="37" t="s">
        <v>243</v>
      </c>
      <c r="E112" s="105"/>
      <c r="F112" s="42" t="s">
        <v>703</v>
      </c>
      <c r="G112" s="44" t="s">
        <v>104</v>
      </c>
      <c r="H112" s="46">
        <v>7.0</v>
      </c>
      <c r="I112" s="49">
        <f>IF(G112="", "", IFERROR(VLOOKUP(G112, Products!A:F, 4, FALSE), ""))
</f>
        <v>80</v>
      </c>
      <c r="J112" s="51">
        <v>0.0</v>
      </c>
      <c r="K112" s="54">
        <f t="shared" si="10"/>
        <v>560</v>
      </c>
      <c r="L112" s="55">
        <v>250.0</v>
      </c>
      <c r="M112" s="42" t="s">
        <v>110</v>
      </c>
      <c r="N112" s="46">
        <f t="shared" si="2"/>
        <v>310</v>
      </c>
      <c r="O112" s="59" t="b">
        <v>1</v>
      </c>
      <c r="P112" s="59" t="b">
        <v>1</v>
      </c>
      <c r="Q112" s="55">
        <v>310.0</v>
      </c>
      <c r="R112" s="42" t="s">
        <v>115</v>
      </c>
      <c r="S112" s="65">
        <f t="shared" si="11"/>
        <v>0</v>
      </c>
      <c r="T112" s="59" t="b">
        <v>1</v>
      </c>
      <c r="U112" s="63"/>
      <c r="V112" s="66" t="b">
        <v>0</v>
      </c>
      <c r="W112" s="66" t="b">
        <v>0</v>
      </c>
      <c r="X112" s="66" t="b">
        <v>0</v>
      </c>
    </row>
    <row r="113" ht="24.0" customHeight="1">
      <c r="A113" s="44" t="s">
        <v>316</v>
      </c>
      <c r="B113" s="29">
        <v>46110.0</v>
      </c>
      <c r="C113" s="272" t="s">
        <v>705</v>
      </c>
      <c r="D113" s="116" t="s">
        <v>93</v>
      </c>
      <c r="E113" s="116" t="s">
        <v>156</v>
      </c>
      <c r="F113" s="63"/>
      <c r="G113" s="44" t="s">
        <v>104</v>
      </c>
      <c r="H113" s="46">
        <v>4.0</v>
      </c>
      <c r="I113" s="49">
        <f>IF(G113="", "", IFERROR(VLOOKUP(G113, Products!A:F, 4, FALSE), ""))
</f>
        <v>80</v>
      </c>
      <c r="J113" s="49">
        <v>0.0</v>
      </c>
      <c r="K113" s="54">
        <f t="shared" si="10"/>
        <v>320</v>
      </c>
      <c r="L113" s="55">
        <v>160.0</v>
      </c>
      <c r="M113" s="42" t="s">
        <v>73</v>
      </c>
      <c r="N113" s="46">
        <f t="shared" si="2"/>
        <v>160</v>
      </c>
      <c r="O113" s="59" t="b">
        <v>1</v>
      </c>
      <c r="P113" s="59" t="b">
        <v>1</v>
      </c>
      <c r="Q113" s="60">
        <v>160.0</v>
      </c>
      <c r="R113" s="42" t="s">
        <v>271</v>
      </c>
      <c r="S113" s="65">
        <f t="shared" si="11"/>
        <v>0</v>
      </c>
      <c r="T113" s="71" t="b">
        <v>1</v>
      </c>
      <c r="U113" s="63"/>
      <c r="V113" s="66" t="b">
        <v>0</v>
      </c>
      <c r="W113" s="66" t="b">
        <v>0</v>
      </c>
      <c r="X113" s="66" t="b">
        <v>0</v>
      </c>
    </row>
    <row r="114" ht="24.0" customHeight="1">
      <c r="A114" s="44" t="s">
        <v>313</v>
      </c>
      <c r="B114" s="29">
        <v>46110.0</v>
      </c>
      <c r="C114" s="32"/>
      <c r="D114" s="37" t="s">
        <v>53</v>
      </c>
      <c r="E114" s="37" t="s">
        <v>651</v>
      </c>
      <c r="F114" s="63"/>
      <c r="G114" s="44" t="s">
        <v>104</v>
      </c>
      <c r="H114" s="46">
        <v>1.0</v>
      </c>
      <c r="I114" s="49">
        <f>IF(G114="", "", IFERROR(VLOOKUP(G114, Products!A:F, 4, FALSE), ""))
</f>
        <v>80</v>
      </c>
      <c r="J114" s="49">
        <v>0.0</v>
      </c>
      <c r="K114" s="54">
        <f t="shared" si="10"/>
        <v>80</v>
      </c>
      <c r="L114" s="55">
        <v>80.0</v>
      </c>
      <c r="M114" s="42" t="s">
        <v>110</v>
      </c>
      <c r="N114" s="46">
        <f t="shared" si="2"/>
        <v>0</v>
      </c>
      <c r="O114" s="59" t="b">
        <v>1</v>
      </c>
      <c r="P114" s="59" t="b">
        <v>1</v>
      </c>
      <c r="Q114" s="60"/>
      <c r="R114" s="63"/>
      <c r="S114" s="65">
        <f t="shared" si="11"/>
        <v>0</v>
      </c>
      <c r="T114" s="59" t="b">
        <v>1</v>
      </c>
      <c r="U114" s="108"/>
      <c r="V114" s="109" t="b">
        <v>0</v>
      </c>
      <c r="W114" s="109" t="b">
        <v>0</v>
      </c>
      <c r="X114" s="109" t="b">
        <v>0</v>
      </c>
    </row>
    <row r="115" ht="24.0" customHeight="1">
      <c r="A115" s="44" t="s">
        <v>313</v>
      </c>
      <c r="B115" s="29">
        <v>46110.0</v>
      </c>
      <c r="C115" s="32"/>
      <c r="D115" s="37" t="s">
        <v>53</v>
      </c>
      <c r="E115" s="37" t="s">
        <v>651</v>
      </c>
      <c r="F115" s="63"/>
      <c r="G115" s="44" t="s">
        <v>153</v>
      </c>
      <c r="H115" s="46">
        <v>1.0</v>
      </c>
      <c r="I115" s="49">
        <f>IF(G115="", "", IFERROR(VLOOKUP(G115, Products!A:F, 4, FALSE), ""))
</f>
        <v>80</v>
      </c>
      <c r="J115" s="49">
        <v>0.0</v>
      </c>
      <c r="K115" s="54">
        <f t="shared" si="10"/>
        <v>80</v>
      </c>
      <c r="L115" s="55">
        <v>80.0</v>
      </c>
      <c r="M115" s="42" t="s">
        <v>110</v>
      </c>
      <c r="N115" s="46">
        <f t="shared" si="2"/>
        <v>0</v>
      </c>
      <c r="O115" s="59" t="b">
        <v>1</v>
      </c>
      <c r="P115" s="59" t="b">
        <v>1</v>
      </c>
      <c r="Q115" s="60"/>
      <c r="R115" s="63"/>
      <c r="S115" s="65">
        <f t="shared" si="11"/>
        <v>0</v>
      </c>
      <c r="T115" s="59" t="b">
        <v>1</v>
      </c>
      <c r="U115" s="108"/>
      <c r="V115" s="109" t="b">
        <v>0</v>
      </c>
      <c r="W115" s="109" t="b">
        <v>0</v>
      </c>
      <c r="X115" s="109" t="b">
        <v>0</v>
      </c>
    </row>
    <row r="116" ht="24.0" customHeight="1">
      <c r="A116" s="361" t="s">
        <v>335</v>
      </c>
      <c r="B116" s="29">
        <v>46111.0</v>
      </c>
      <c r="C116" s="272" t="s">
        <v>740</v>
      </c>
      <c r="D116" s="116" t="s">
        <v>93</v>
      </c>
      <c r="E116" s="116" t="s">
        <v>156</v>
      </c>
      <c r="F116" s="63"/>
      <c r="G116" s="44" t="s">
        <v>161</v>
      </c>
      <c r="H116" s="46">
        <v>5.0</v>
      </c>
      <c r="I116" s="49">
        <f>IF(G116="", "", IFERROR(VLOOKUP(G116, Products!A:F, 4, FALSE), ""))
</f>
        <v>80</v>
      </c>
      <c r="J116" s="49">
        <v>0.0</v>
      </c>
      <c r="K116" s="54">
        <f t="shared" si="10"/>
        <v>400</v>
      </c>
      <c r="L116" s="55">
        <v>200.0</v>
      </c>
      <c r="M116" s="42" t="s">
        <v>73</v>
      </c>
      <c r="N116" s="46">
        <f t="shared" si="2"/>
        <v>200</v>
      </c>
      <c r="O116" s="59" t="b">
        <v>1</v>
      </c>
      <c r="P116" s="59" t="b">
        <v>1</v>
      </c>
      <c r="Q116" s="55">
        <v>200.0</v>
      </c>
      <c r="R116" s="42" t="s">
        <v>684</v>
      </c>
      <c r="S116" s="65">
        <f t="shared" si="11"/>
        <v>0</v>
      </c>
      <c r="T116" s="59" t="b">
        <v>1</v>
      </c>
      <c r="U116" s="44" t="s">
        <v>750</v>
      </c>
      <c r="V116" s="37" t="b">
        <v>0</v>
      </c>
      <c r="W116" s="37" t="b">
        <v>0</v>
      </c>
      <c r="X116" s="37" t="b">
        <v>0</v>
      </c>
    </row>
    <row r="117" ht="24.0" customHeight="1">
      <c r="A117" s="44" t="s">
        <v>318</v>
      </c>
      <c r="B117" s="29">
        <v>46111.0</v>
      </c>
      <c r="C117" s="272" t="s">
        <v>758</v>
      </c>
      <c r="D117" s="37" t="s">
        <v>319</v>
      </c>
      <c r="E117" s="105"/>
      <c r="F117" s="63"/>
      <c r="G117" s="44" t="s">
        <v>161</v>
      </c>
      <c r="H117" s="46">
        <v>5.0</v>
      </c>
      <c r="I117" s="49">
        <f>IF(G117="", "", IFERROR(VLOOKUP(G117, Products!A:F, 4, FALSE), ""))
</f>
        <v>80</v>
      </c>
      <c r="J117" s="51">
        <v>0.0</v>
      </c>
      <c r="K117" s="54">
        <f t="shared" si="10"/>
        <v>400</v>
      </c>
      <c r="L117" s="55">
        <v>200.0</v>
      </c>
      <c r="M117" s="42" t="s">
        <v>73</v>
      </c>
      <c r="N117" s="46">
        <f t="shared" si="2"/>
        <v>200</v>
      </c>
      <c r="O117" s="59" t="b">
        <v>1</v>
      </c>
      <c r="P117" s="59" t="b">
        <v>1</v>
      </c>
      <c r="Q117" s="55">
        <v>200.0</v>
      </c>
      <c r="R117" s="42" t="s">
        <v>115</v>
      </c>
      <c r="S117" s="65">
        <f t="shared" si="11"/>
        <v>0</v>
      </c>
      <c r="T117" s="59" t="b">
        <v>1</v>
      </c>
      <c r="U117" s="63"/>
      <c r="V117" s="66" t="b">
        <v>0</v>
      </c>
      <c r="W117" s="66" t="b">
        <v>0</v>
      </c>
      <c r="X117" s="66" t="b">
        <v>0</v>
      </c>
    </row>
    <row r="118" ht="24.0" customHeight="1">
      <c r="A118" s="44" t="s">
        <v>322</v>
      </c>
      <c r="B118" s="29">
        <v>46111.0</v>
      </c>
      <c r="C118" s="272" t="s">
        <v>770</v>
      </c>
      <c r="D118" s="37" t="s">
        <v>93</v>
      </c>
      <c r="E118" s="37" t="s">
        <v>323</v>
      </c>
      <c r="F118" s="63"/>
      <c r="G118" s="44" t="s">
        <v>161</v>
      </c>
      <c r="H118" s="46">
        <v>3.0</v>
      </c>
      <c r="I118" s="49">
        <f>IF(G118="", "", IFERROR(VLOOKUP(G118, Products!A:F, 4, FALSE), ""))
</f>
        <v>80</v>
      </c>
      <c r="J118" s="49">
        <v>0.0</v>
      </c>
      <c r="K118" s="54">
        <f t="shared" si="10"/>
        <v>240</v>
      </c>
      <c r="L118" s="55">
        <v>0.0</v>
      </c>
      <c r="M118" s="63"/>
      <c r="N118" s="46">
        <f t="shared" si="2"/>
        <v>240</v>
      </c>
      <c r="O118" s="59" t="b">
        <v>1</v>
      </c>
      <c r="P118" s="59" t="b">
        <v>1</v>
      </c>
      <c r="Q118" s="55">
        <v>240.0</v>
      </c>
      <c r="R118" s="42" t="s">
        <v>115</v>
      </c>
      <c r="S118" s="65">
        <f t="shared" si="11"/>
        <v>0</v>
      </c>
      <c r="T118" s="59" t="b">
        <v>1</v>
      </c>
      <c r="U118" s="108"/>
      <c r="V118" s="109" t="b">
        <v>0</v>
      </c>
      <c r="W118" s="109" t="b">
        <v>0</v>
      </c>
      <c r="X118" s="109" t="b">
        <v>0</v>
      </c>
    </row>
    <row r="119" ht="24.0" customHeight="1">
      <c r="A119" s="44" t="s">
        <v>320</v>
      </c>
      <c r="B119" s="29">
        <v>46111.0</v>
      </c>
      <c r="C119" s="272" t="s">
        <v>781</v>
      </c>
      <c r="D119" s="91" t="s">
        <v>188</v>
      </c>
      <c r="E119" s="92"/>
      <c r="F119" s="63"/>
      <c r="G119" s="44" t="s">
        <v>161</v>
      </c>
      <c r="H119" s="46">
        <v>1.0</v>
      </c>
      <c r="I119" s="49">
        <f>IF(G119="", "", IFERROR(VLOOKUP(G119, Products!A:F, 4, FALSE), ""))
</f>
        <v>80</v>
      </c>
      <c r="J119" s="49">
        <v>0.0</v>
      </c>
      <c r="K119" s="54">
        <f t="shared" si="10"/>
        <v>80</v>
      </c>
      <c r="L119" s="55">
        <v>40.0</v>
      </c>
      <c r="M119" s="42" t="s">
        <v>73</v>
      </c>
      <c r="N119" s="46">
        <f t="shared" si="2"/>
        <v>40</v>
      </c>
      <c r="O119" s="59" t="b">
        <v>1</v>
      </c>
      <c r="P119" s="59" t="b">
        <v>1</v>
      </c>
      <c r="Q119" s="55">
        <v>40.0</v>
      </c>
      <c r="R119" s="42" t="s">
        <v>115</v>
      </c>
      <c r="S119" s="65">
        <f t="shared" si="11"/>
        <v>0</v>
      </c>
      <c r="T119" s="59" t="b">
        <v>1</v>
      </c>
      <c r="U119" s="108"/>
      <c r="V119" s="109" t="b">
        <v>0</v>
      </c>
      <c r="W119" s="109" t="b">
        <v>0</v>
      </c>
      <c r="X119" s="109" t="b">
        <v>0</v>
      </c>
    </row>
    <row r="120" ht="24.0" customHeight="1">
      <c r="A120" s="44" t="s">
        <v>332</v>
      </c>
      <c r="B120" s="29">
        <v>46111.0</v>
      </c>
      <c r="C120" s="272" t="s">
        <v>792</v>
      </c>
      <c r="D120" s="37" t="s">
        <v>93</v>
      </c>
      <c r="E120" s="37" t="s">
        <v>333</v>
      </c>
      <c r="F120" s="63"/>
      <c r="G120" s="44" t="s">
        <v>161</v>
      </c>
      <c r="H120" s="46">
        <v>10.0</v>
      </c>
      <c r="I120" s="49">
        <f>IF(G120="", "", IFERROR(VLOOKUP(G120, Products!A:F, 4, FALSE), ""))
</f>
        <v>80</v>
      </c>
      <c r="J120" s="49">
        <v>0.0</v>
      </c>
      <c r="K120" s="54">
        <f t="shared" si="10"/>
        <v>800</v>
      </c>
      <c r="L120" s="55">
        <v>400.0</v>
      </c>
      <c r="M120" s="42" t="s">
        <v>73</v>
      </c>
      <c r="N120" s="46">
        <f t="shared" si="2"/>
        <v>400</v>
      </c>
      <c r="O120" s="59" t="b">
        <v>1</v>
      </c>
      <c r="P120" s="59" t="b">
        <v>1</v>
      </c>
      <c r="Q120" s="55">
        <v>400.0</v>
      </c>
      <c r="R120" s="42" t="s">
        <v>115</v>
      </c>
      <c r="S120" s="65">
        <f t="shared" si="11"/>
        <v>0</v>
      </c>
      <c r="T120" s="59" t="b">
        <v>1</v>
      </c>
      <c r="U120" s="108"/>
      <c r="V120" s="109" t="b">
        <v>0</v>
      </c>
      <c r="W120" s="109" t="b">
        <v>0</v>
      </c>
      <c r="X120" s="109" t="b">
        <v>0</v>
      </c>
    </row>
    <row r="121" ht="24.0" customHeight="1">
      <c r="A121" s="44" t="s">
        <v>324</v>
      </c>
      <c r="B121" s="29">
        <v>46111.0</v>
      </c>
      <c r="C121" s="272" t="s">
        <v>804</v>
      </c>
      <c r="D121" s="37" t="s">
        <v>53</v>
      </c>
      <c r="E121" s="37" t="s">
        <v>220</v>
      </c>
      <c r="F121" s="63"/>
      <c r="G121" s="44" t="s">
        <v>161</v>
      </c>
      <c r="H121" s="46">
        <v>4.0</v>
      </c>
      <c r="I121" s="49">
        <f>IF(G121="", "", IFERROR(VLOOKUP(G121, Products!A:F, 4, FALSE), ""))
</f>
        <v>80</v>
      </c>
      <c r="J121" s="49">
        <v>0.0</v>
      </c>
      <c r="K121" s="54">
        <f t="shared" si="10"/>
        <v>320</v>
      </c>
      <c r="L121" s="55">
        <v>160.0</v>
      </c>
      <c r="M121" s="42" t="s">
        <v>73</v>
      </c>
      <c r="N121" s="46">
        <f t="shared" si="2"/>
        <v>160</v>
      </c>
      <c r="O121" s="59" t="b">
        <v>1</v>
      </c>
      <c r="P121" s="369" t="b">
        <v>1</v>
      </c>
      <c r="Q121" s="55">
        <v>160.0</v>
      </c>
      <c r="R121" s="42" t="s">
        <v>73</v>
      </c>
      <c r="S121" s="65">
        <f t="shared" si="11"/>
        <v>0</v>
      </c>
      <c r="T121" s="59" t="b">
        <v>1</v>
      </c>
      <c r="U121" s="108"/>
      <c r="V121" s="109" t="b">
        <v>0</v>
      </c>
      <c r="W121" s="109" t="b">
        <v>0</v>
      </c>
      <c r="X121" s="109" t="b">
        <v>0</v>
      </c>
    </row>
    <row r="122" ht="24.0" customHeight="1">
      <c r="A122" s="44" t="s">
        <v>292</v>
      </c>
      <c r="B122" s="29">
        <v>46111.0</v>
      </c>
      <c r="C122" s="272" t="s">
        <v>817</v>
      </c>
      <c r="D122" s="37" t="s">
        <v>53</v>
      </c>
      <c r="E122" s="37" t="s">
        <v>653</v>
      </c>
      <c r="F122" s="63"/>
      <c r="G122" s="44" t="s">
        <v>161</v>
      </c>
      <c r="H122" s="46">
        <v>2.0</v>
      </c>
      <c r="I122" s="49">
        <f>IF(G122="", "", IFERROR(VLOOKUP(G122, Products!A:F, 4, FALSE), ""))
</f>
        <v>80</v>
      </c>
      <c r="J122" s="51">
        <v>0.0</v>
      </c>
      <c r="K122" s="54">
        <f t="shared" si="10"/>
        <v>160</v>
      </c>
      <c r="L122" s="55">
        <v>70.0</v>
      </c>
      <c r="M122" s="42" t="s">
        <v>73</v>
      </c>
      <c r="N122" s="46">
        <f t="shared" si="2"/>
        <v>90</v>
      </c>
      <c r="O122" s="59" t="b">
        <v>1</v>
      </c>
      <c r="P122" s="59" t="b">
        <v>1</v>
      </c>
      <c r="Q122" s="55">
        <v>90.0</v>
      </c>
      <c r="R122" s="42" t="s">
        <v>115</v>
      </c>
      <c r="S122" s="65">
        <f t="shared" si="11"/>
        <v>0</v>
      </c>
      <c r="T122" s="59" t="b">
        <v>1</v>
      </c>
      <c r="U122" s="63"/>
      <c r="V122" s="66" t="b">
        <v>0</v>
      </c>
      <c r="W122" s="66" t="b">
        <v>0</v>
      </c>
      <c r="X122" s="66" t="b">
        <v>0</v>
      </c>
    </row>
    <row r="123" ht="24.0" customHeight="1">
      <c r="A123" s="44" t="s">
        <v>321</v>
      </c>
      <c r="B123" s="29">
        <v>46111.0</v>
      </c>
      <c r="C123" s="272" t="s">
        <v>828</v>
      </c>
      <c r="D123" s="37" t="s">
        <v>93</v>
      </c>
      <c r="E123" s="37" t="s">
        <v>162</v>
      </c>
      <c r="F123" s="63"/>
      <c r="G123" s="44" t="s">
        <v>104</v>
      </c>
      <c r="H123" s="46">
        <v>4.0</v>
      </c>
      <c r="I123" s="49">
        <f>IF(G123="", "", IFERROR(VLOOKUP(G123, Products!A:F, 4, FALSE), ""))
</f>
        <v>80</v>
      </c>
      <c r="J123" s="49">
        <v>0.0</v>
      </c>
      <c r="K123" s="54">
        <f t="shared" si="10"/>
        <v>320</v>
      </c>
      <c r="L123" s="55">
        <v>200.0</v>
      </c>
      <c r="M123" s="42" t="s">
        <v>73</v>
      </c>
      <c r="N123" s="46">
        <f t="shared" si="2"/>
        <v>120</v>
      </c>
      <c r="O123" s="369" t="b">
        <v>1</v>
      </c>
      <c r="P123" s="369" t="b">
        <v>1</v>
      </c>
      <c r="Q123" s="55">
        <v>120.0</v>
      </c>
      <c r="R123" s="42" t="s">
        <v>115</v>
      </c>
      <c r="S123" s="65">
        <f t="shared" si="11"/>
        <v>0</v>
      </c>
      <c r="T123" s="59" t="b">
        <v>1</v>
      </c>
      <c r="U123" s="108"/>
      <c r="V123" s="109" t="b">
        <v>0</v>
      </c>
      <c r="W123" s="109" t="b">
        <v>0</v>
      </c>
      <c r="X123" s="109" t="b">
        <v>0</v>
      </c>
    </row>
    <row r="124" ht="24.0" customHeight="1">
      <c r="A124" s="44" t="s">
        <v>331</v>
      </c>
      <c r="B124" s="29">
        <v>46111.0</v>
      </c>
      <c r="C124" s="272" t="s">
        <v>841</v>
      </c>
      <c r="D124" s="37" t="s">
        <v>164</v>
      </c>
      <c r="E124" s="105"/>
      <c r="F124" s="63"/>
      <c r="G124" s="44" t="s">
        <v>168</v>
      </c>
      <c r="H124" s="46">
        <v>5.0</v>
      </c>
      <c r="I124" s="49">
        <f>IF(G124="", "", IFERROR(VLOOKUP(G124, Products!A:F, 4, FALSE), ""))
</f>
        <v>80</v>
      </c>
      <c r="J124" s="51">
        <v>0.0</v>
      </c>
      <c r="K124" s="54">
        <f t="shared" si="10"/>
        <v>400</v>
      </c>
      <c r="L124" s="55">
        <v>200.0</v>
      </c>
      <c r="M124" s="42" t="s">
        <v>110</v>
      </c>
      <c r="N124" s="46">
        <f t="shared" si="2"/>
        <v>200</v>
      </c>
      <c r="O124" s="59" t="b">
        <v>1</v>
      </c>
      <c r="P124" s="59" t="b">
        <v>1</v>
      </c>
      <c r="Q124" s="55">
        <v>200.0</v>
      </c>
      <c r="R124" s="42" t="s">
        <v>115</v>
      </c>
      <c r="S124" s="65">
        <f t="shared" si="11"/>
        <v>0</v>
      </c>
      <c r="T124" s="59" t="b">
        <v>1</v>
      </c>
      <c r="U124" s="63"/>
      <c r="V124" s="66" t="b">
        <v>0</v>
      </c>
      <c r="W124" s="66" t="b">
        <v>0</v>
      </c>
      <c r="X124" s="66" t="b">
        <v>0</v>
      </c>
    </row>
    <row r="125" ht="24.0" customHeight="1">
      <c r="A125" s="44" t="s">
        <v>341</v>
      </c>
      <c r="B125" s="29">
        <v>46112.0</v>
      </c>
      <c r="C125" s="272" t="s">
        <v>856</v>
      </c>
      <c r="D125" s="116" t="s">
        <v>93</v>
      </c>
      <c r="E125" s="116" t="s">
        <v>156</v>
      </c>
      <c r="F125" s="42" t="s">
        <v>703</v>
      </c>
      <c r="G125" s="44" t="s">
        <v>173</v>
      </c>
      <c r="H125" s="46">
        <v>50.0</v>
      </c>
      <c r="I125" s="49">
        <f>IF(G125="", "", IFERROR(VLOOKUP(G125, Products!A:F, 4, FALSE), ""))
</f>
        <v>15</v>
      </c>
      <c r="J125" s="49">
        <v>0.0</v>
      </c>
      <c r="K125" s="54">
        <f t="shared" si="10"/>
        <v>750</v>
      </c>
      <c r="L125" s="55">
        <v>350.0</v>
      </c>
      <c r="M125" s="42" t="s">
        <v>73</v>
      </c>
      <c r="N125" s="46">
        <f t="shared" si="2"/>
        <v>400</v>
      </c>
      <c r="O125" s="59" t="b">
        <v>1</v>
      </c>
      <c r="P125" s="59" t="b">
        <v>1</v>
      </c>
      <c r="Q125" s="55">
        <v>400.0</v>
      </c>
      <c r="R125" s="42" t="s">
        <v>73</v>
      </c>
      <c r="S125" s="65">
        <f t="shared" si="11"/>
        <v>0</v>
      </c>
      <c r="T125" s="59" t="b">
        <v>1</v>
      </c>
      <c r="U125" s="108"/>
      <c r="V125" s="109" t="b">
        <v>0</v>
      </c>
      <c r="W125" s="109" t="b">
        <v>0</v>
      </c>
      <c r="X125" s="109" t="b">
        <v>0</v>
      </c>
    </row>
    <row r="126" ht="24.0" customHeight="1">
      <c r="A126" s="374" t="s">
        <v>346</v>
      </c>
      <c r="B126" s="29">
        <v>46112.0</v>
      </c>
      <c r="C126" s="272" t="s">
        <v>867</v>
      </c>
      <c r="D126" s="37" t="s">
        <v>93</v>
      </c>
      <c r="E126" s="37" t="s">
        <v>347</v>
      </c>
      <c r="F126" s="63"/>
      <c r="G126" s="44" t="s">
        <v>161</v>
      </c>
      <c r="H126" s="46">
        <v>6.0</v>
      </c>
      <c r="I126" s="49">
        <f>IF(G126="", "", IFERROR(VLOOKUP(G126, Products!A:F, 4, FALSE), ""))
</f>
        <v>80</v>
      </c>
      <c r="J126" s="49">
        <v>0.0</v>
      </c>
      <c r="K126" s="54">
        <f t="shared" si="10"/>
        <v>480</v>
      </c>
      <c r="L126" s="55">
        <v>240.0</v>
      </c>
      <c r="M126" s="42" t="s">
        <v>73</v>
      </c>
      <c r="N126" s="46">
        <f t="shared" si="2"/>
        <v>240</v>
      </c>
      <c r="O126" s="59" t="b">
        <v>1</v>
      </c>
      <c r="P126" s="59" t="b">
        <v>1</v>
      </c>
      <c r="Q126" s="55">
        <v>240.0</v>
      </c>
      <c r="R126" s="42" t="s">
        <v>684</v>
      </c>
      <c r="S126" s="65">
        <f t="shared" si="11"/>
        <v>0</v>
      </c>
      <c r="T126" s="59" t="b">
        <v>1</v>
      </c>
      <c r="U126" s="44" t="s">
        <v>750</v>
      </c>
      <c r="V126" s="37" t="b">
        <v>0</v>
      </c>
      <c r="W126" s="37" t="b">
        <v>0</v>
      </c>
      <c r="X126" s="37" t="b">
        <v>0</v>
      </c>
    </row>
    <row r="127" ht="24.0" customHeight="1">
      <c r="A127" s="44" t="s">
        <v>336</v>
      </c>
      <c r="B127" s="29">
        <v>46112.0</v>
      </c>
      <c r="C127" s="272" t="s">
        <v>880</v>
      </c>
      <c r="D127" s="37" t="s">
        <v>53</v>
      </c>
      <c r="E127" s="37" t="s">
        <v>315</v>
      </c>
      <c r="F127" s="42" t="s">
        <v>221</v>
      </c>
      <c r="G127" s="44" t="s">
        <v>104</v>
      </c>
      <c r="H127" s="46">
        <v>1.0</v>
      </c>
      <c r="I127" s="49">
        <f>IF(G127="", "", IFERROR(VLOOKUP(G127, Products!A:F, 4, FALSE), ""))
</f>
        <v>80</v>
      </c>
      <c r="J127" s="51">
        <v>0.0</v>
      </c>
      <c r="K127" s="54">
        <f t="shared" si="10"/>
        <v>80</v>
      </c>
      <c r="L127" s="55">
        <v>80.0</v>
      </c>
      <c r="M127" s="42" t="s">
        <v>73</v>
      </c>
      <c r="N127" s="46">
        <f t="shared" si="2"/>
        <v>0</v>
      </c>
      <c r="O127" s="59" t="b">
        <v>1</v>
      </c>
      <c r="P127" s="59" t="b">
        <v>1</v>
      </c>
      <c r="Q127" s="60"/>
      <c r="R127" s="42" t="s">
        <v>684</v>
      </c>
      <c r="S127" s="65">
        <f t="shared" si="11"/>
        <v>0</v>
      </c>
      <c r="T127" s="59" t="b">
        <v>1</v>
      </c>
      <c r="U127" s="63"/>
      <c r="V127" s="66" t="b">
        <v>0</v>
      </c>
      <c r="W127" s="66" t="b">
        <v>0</v>
      </c>
      <c r="X127" s="66" t="b">
        <v>0</v>
      </c>
    </row>
    <row r="128" ht="24.0" customHeight="1">
      <c r="A128" s="44" t="s">
        <v>336</v>
      </c>
      <c r="B128" s="29">
        <v>46112.0</v>
      </c>
      <c r="C128" s="272" t="s">
        <v>880</v>
      </c>
      <c r="D128" s="37" t="s">
        <v>53</v>
      </c>
      <c r="E128" s="37" t="s">
        <v>315</v>
      </c>
      <c r="F128" s="42" t="s">
        <v>221</v>
      </c>
      <c r="G128" s="44" t="s">
        <v>153</v>
      </c>
      <c r="H128" s="46">
        <v>1.0</v>
      </c>
      <c r="I128" s="49">
        <f>IF(G128="", "", IFERROR(VLOOKUP(G128, Products!A:F, 4, FALSE), ""))
</f>
        <v>80</v>
      </c>
      <c r="J128" s="51">
        <v>0.0</v>
      </c>
      <c r="K128" s="54">
        <f t="shared" si="10"/>
        <v>80</v>
      </c>
      <c r="L128" s="55">
        <v>80.0</v>
      </c>
      <c r="M128" s="42" t="s">
        <v>73</v>
      </c>
      <c r="N128" s="46">
        <f t="shared" si="2"/>
        <v>0</v>
      </c>
      <c r="O128" s="59" t="b">
        <v>1</v>
      </c>
      <c r="P128" s="59" t="b">
        <v>1</v>
      </c>
      <c r="Q128" s="60"/>
      <c r="R128" s="42" t="s">
        <v>684</v>
      </c>
      <c r="S128" s="65">
        <f t="shared" si="11"/>
        <v>0</v>
      </c>
      <c r="T128" s="59" t="b">
        <v>1</v>
      </c>
      <c r="U128" s="63"/>
      <c r="V128" s="66" t="b">
        <v>0</v>
      </c>
      <c r="W128" s="66" t="b">
        <v>0</v>
      </c>
      <c r="X128" s="66" t="b">
        <v>0</v>
      </c>
    </row>
    <row r="129" ht="24.0" customHeight="1">
      <c r="A129" s="374" t="s">
        <v>342</v>
      </c>
      <c r="B129" s="29">
        <v>46112.0</v>
      </c>
      <c r="C129" s="272" t="s">
        <v>898</v>
      </c>
      <c r="D129" s="37" t="s">
        <v>228</v>
      </c>
      <c r="E129" s="105"/>
      <c r="F129" s="63"/>
      <c r="G129" s="44" t="s">
        <v>173</v>
      </c>
      <c r="H129" s="46">
        <v>60.0</v>
      </c>
      <c r="I129" s="49">
        <f>IF(G129="", "", IFERROR(VLOOKUP(G129, Products!A:F, 4, FALSE), ""))
</f>
        <v>15</v>
      </c>
      <c r="J129" s="49">
        <v>0.0</v>
      </c>
      <c r="K129" s="54">
        <f t="shared" si="10"/>
        <v>900</v>
      </c>
      <c r="L129" s="55">
        <v>500.0</v>
      </c>
      <c r="M129" s="42" t="s">
        <v>73</v>
      </c>
      <c r="N129" s="46">
        <f t="shared" si="2"/>
        <v>400</v>
      </c>
      <c r="O129" s="59" t="b">
        <v>1</v>
      </c>
      <c r="P129" s="59" t="b">
        <v>1</v>
      </c>
      <c r="Q129" s="55">
        <v>400.0</v>
      </c>
      <c r="R129" s="42" t="s">
        <v>684</v>
      </c>
      <c r="S129" s="65">
        <f t="shared" si="11"/>
        <v>0</v>
      </c>
      <c r="T129" s="59" t="b">
        <v>1</v>
      </c>
      <c r="U129" s="44" t="s">
        <v>750</v>
      </c>
      <c r="V129" s="37" t="b">
        <v>0</v>
      </c>
      <c r="W129" s="37" t="b">
        <v>0</v>
      </c>
      <c r="X129" s="37" t="b">
        <v>0</v>
      </c>
    </row>
    <row r="130" ht="24.0" customHeight="1">
      <c r="A130" s="374" t="s">
        <v>348</v>
      </c>
      <c r="B130" s="29">
        <v>46112.0</v>
      </c>
      <c r="C130" s="272" t="s">
        <v>904</v>
      </c>
      <c r="D130" s="37" t="s">
        <v>93</v>
      </c>
      <c r="E130" s="37" t="s">
        <v>148</v>
      </c>
      <c r="F130" s="63"/>
      <c r="G130" s="44" t="s">
        <v>168</v>
      </c>
      <c r="H130" s="46">
        <v>9.0</v>
      </c>
      <c r="I130" s="49">
        <f>IF(G130="", "", IFERROR(VLOOKUP(G130, Products!A:F, 4, FALSE), ""))
</f>
        <v>80</v>
      </c>
      <c r="J130" s="49">
        <v>0.0</v>
      </c>
      <c r="K130" s="54">
        <f t="shared" si="10"/>
        <v>720</v>
      </c>
      <c r="L130" s="55">
        <v>300.0</v>
      </c>
      <c r="M130" s="42" t="s">
        <v>73</v>
      </c>
      <c r="N130" s="46">
        <f t="shared" si="2"/>
        <v>420</v>
      </c>
      <c r="O130" s="59" t="b">
        <v>1</v>
      </c>
      <c r="P130" s="59" t="b">
        <v>1</v>
      </c>
      <c r="Q130" s="55">
        <v>420.0</v>
      </c>
      <c r="R130" s="42" t="s">
        <v>684</v>
      </c>
      <c r="S130" s="65">
        <f t="shared" si="11"/>
        <v>0</v>
      </c>
      <c r="T130" s="59" t="b">
        <v>1</v>
      </c>
      <c r="U130" s="44" t="s">
        <v>750</v>
      </c>
      <c r="V130" s="37" t="b">
        <v>0</v>
      </c>
      <c r="W130" s="37" t="b">
        <v>0</v>
      </c>
      <c r="X130" s="37" t="b">
        <v>0</v>
      </c>
    </row>
    <row r="131" ht="24.0" customHeight="1">
      <c r="A131" s="44" t="s">
        <v>343</v>
      </c>
      <c r="B131" s="29">
        <v>46112.0</v>
      </c>
      <c r="C131" s="272" t="s">
        <v>910</v>
      </c>
      <c r="D131" s="37" t="s">
        <v>93</v>
      </c>
      <c r="E131" s="37" t="s">
        <v>148</v>
      </c>
      <c r="F131" s="63"/>
      <c r="G131" s="44" t="s">
        <v>161</v>
      </c>
      <c r="H131" s="46">
        <v>4.0</v>
      </c>
      <c r="I131" s="49">
        <f>IF(G131="", "", IFERROR(VLOOKUP(G131, Products!A:F, 4, FALSE), ""))
</f>
        <v>80</v>
      </c>
      <c r="J131" s="51">
        <v>0.0</v>
      </c>
      <c r="K131" s="54">
        <f t="shared" si="10"/>
        <v>320</v>
      </c>
      <c r="L131" s="55">
        <v>370.0</v>
      </c>
      <c r="M131" s="42" t="s">
        <v>73</v>
      </c>
      <c r="N131" s="46">
        <f t="shared" si="2"/>
        <v>-50</v>
      </c>
      <c r="O131" s="59" t="b">
        <v>1</v>
      </c>
      <c r="P131" s="369" t="b">
        <v>1</v>
      </c>
      <c r="Q131" s="60"/>
      <c r="R131" s="63"/>
      <c r="S131" s="46">
        <v>0.0</v>
      </c>
      <c r="T131" s="59" t="b">
        <v>1</v>
      </c>
      <c r="U131" s="63"/>
      <c r="V131" s="66" t="b">
        <v>0</v>
      </c>
      <c r="W131" s="66" t="b">
        <v>0</v>
      </c>
      <c r="X131" s="66" t="b">
        <v>0</v>
      </c>
    </row>
    <row r="132" ht="24.0" customHeight="1">
      <c r="A132" s="374" t="s">
        <v>339</v>
      </c>
      <c r="B132" s="29">
        <v>46112.0</v>
      </c>
      <c r="C132" s="272" t="s">
        <v>918</v>
      </c>
      <c r="D132" s="37" t="s">
        <v>93</v>
      </c>
      <c r="E132" s="37" t="s">
        <v>162</v>
      </c>
      <c r="F132" s="63"/>
      <c r="G132" s="44" t="s">
        <v>161</v>
      </c>
      <c r="H132" s="46">
        <v>2.0</v>
      </c>
      <c r="I132" s="49">
        <f>IF(G132="", "", IFERROR(VLOOKUP(G132, Products!A:F, 4, FALSE), ""))
</f>
        <v>80</v>
      </c>
      <c r="J132" s="51">
        <v>0.0</v>
      </c>
      <c r="K132" s="54">
        <f t="shared" si="10"/>
        <v>160</v>
      </c>
      <c r="L132" s="55">
        <v>100.0</v>
      </c>
      <c r="M132" s="42" t="s">
        <v>73</v>
      </c>
      <c r="N132" s="46">
        <f t="shared" si="2"/>
        <v>60</v>
      </c>
      <c r="O132" s="59" t="b">
        <v>1</v>
      </c>
      <c r="P132" s="369" t="b">
        <v>1</v>
      </c>
      <c r="Q132" s="55">
        <v>60.0</v>
      </c>
      <c r="R132" s="42" t="s">
        <v>684</v>
      </c>
      <c r="S132" s="65">
        <f t="shared" ref="S132:S139" si="12">N132-Q132</f>
        <v>0</v>
      </c>
      <c r="T132" s="59" t="b">
        <v>1</v>
      </c>
      <c r="U132" s="63"/>
      <c r="V132" s="66" t="b">
        <v>0</v>
      </c>
      <c r="W132" s="66" t="b">
        <v>0</v>
      </c>
      <c r="X132" s="66" t="b">
        <v>0</v>
      </c>
    </row>
    <row r="133" ht="24.0" customHeight="1">
      <c r="A133" s="44" t="s">
        <v>345</v>
      </c>
      <c r="B133" s="29">
        <v>46112.0</v>
      </c>
      <c r="C133" s="272" t="s">
        <v>925</v>
      </c>
      <c r="D133" s="37" t="s">
        <v>53</v>
      </c>
      <c r="E133" s="37" t="s">
        <v>315</v>
      </c>
      <c r="F133" s="63"/>
      <c r="G133" s="44" t="s">
        <v>161</v>
      </c>
      <c r="H133" s="46">
        <v>7.0</v>
      </c>
      <c r="I133" s="49">
        <f>IF(G133="", "", IFERROR(VLOOKUP(G133, Products!A:F, 4, FALSE), ""))
</f>
        <v>80</v>
      </c>
      <c r="J133" s="51">
        <v>0.0</v>
      </c>
      <c r="K133" s="54">
        <f t="shared" si="10"/>
        <v>560</v>
      </c>
      <c r="L133" s="55">
        <v>300.0</v>
      </c>
      <c r="M133" s="42" t="s">
        <v>73</v>
      </c>
      <c r="N133" s="46">
        <f t="shared" si="2"/>
        <v>260</v>
      </c>
      <c r="O133" s="59" t="b">
        <v>1</v>
      </c>
      <c r="P133" s="369" t="b">
        <v>1</v>
      </c>
      <c r="Q133" s="55">
        <v>260.0</v>
      </c>
      <c r="R133" s="42" t="s">
        <v>684</v>
      </c>
      <c r="S133" s="65">
        <f t="shared" si="12"/>
        <v>0</v>
      </c>
      <c r="T133" s="59" t="b">
        <v>1</v>
      </c>
      <c r="U133" s="63"/>
      <c r="V133" s="66" t="b">
        <v>0</v>
      </c>
      <c r="W133" s="66" t="b">
        <v>0</v>
      </c>
      <c r="X133" s="66" t="b">
        <v>0</v>
      </c>
    </row>
    <row r="134" ht="24.0" customHeight="1">
      <c r="A134" s="44" t="s">
        <v>344</v>
      </c>
      <c r="B134" s="29">
        <v>46112.0</v>
      </c>
      <c r="C134" s="272" t="s">
        <v>933</v>
      </c>
      <c r="D134" s="37" t="s">
        <v>228</v>
      </c>
      <c r="E134" s="105"/>
      <c r="F134" s="63"/>
      <c r="G134" s="44" t="s">
        <v>161</v>
      </c>
      <c r="H134" s="46">
        <v>9.0</v>
      </c>
      <c r="I134" s="49">
        <f>IF(G134="", "", IFERROR(VLOOKUP(G134, Products!A:F, 4, FALSE), ""))
</f>
        <v>80</v>
      </c>
      <c r="J134" s="49">
        <v>0.0</v>
      </c>
      <c r="K134" s="54">
        <f t="shared" si="10"/>
        <v>720</v>
      </c>
      <c r="L134" s="55">
        <v>360.0</v>
      </c>
      <c r="M134" s="42" t="s">
        <v>73</v>
      </c>
      <c r="N134" s="46">
        <f t="shared" si="2"/>
        <v>360</v>
      </c>
      <c r="O134" s="59" t="b">
        <v>1</v>
      </c>
      <c r="P134" s="369" t="b">
        <v>1</v>
      </c>
      <c r="Q134" s="55">
        <v>360.0</v>
      </c>
      <c r="R134" s="42" t="s">
        <v>684</v>
      </c>
      <c r="S134" s="65">
        <f t="shared" si="12"/>
        <v>0</v>
      </c>
      <c r="T134" s="59" t="b">
        <v>1</v>
      </c>
      <c r="U134" s="108"/>
      <c r="V134" s="109" t="b">
        <v>0</v>
      </c>
      <c r="W134" s="109" t="b">
        <v>0</v>
      </c>
      <c r="X134" s="109" t="b">
        <v>0</v>
      </c>
    </row>
    <row r="135" ht="24.0" customHeight="1">
      <c r="A135" s="374" t="s">
        <v>337</v>
      </c>
      <c r="B135" s="29">
        <v>46112.0</v>
      </c>
      <c r="C135" s="272" t="s">
        <v>939</v>
      </c>
      <c r="D135" s="37" t="s">
        <v>338</v>
      </c>
      <c r="E135" s="105"/>
      <c r="F135" s="63"/>
      <c r="G135" s="44" t="s">
        <v>168</v>
      </c>
      <c r="H135" s="46">
        <v>4.0</v>
      </c>
      <c r="I135" s="49">
        <f>IF(G135="", "", IFERROR(VLOOKUP(G135, Products!A:F, 4, FALSE), ""))
</f>
        <v>80</v>
      </c>
      <c r="J135" s="51">
        <v>0.0</v>
      </c>
      <c r="K135" s="54">
        <f t="shared" si="10"/>
        <v>320</v>
      </c>
      <c r="L135" s="55">
        <v>160.0</v>
      </c>
      <c r="M135" s="42" t="s">
        <v>73</v>
      </c>
      <c r="N135" s="46">
        <f t="shared" si="2"/>
        <v>160</v>
      </c>
      <c r="O135" s="59" t="b">
        <v>1</v>
      </c>
      <c r="P135" s="369" t="b">
        <v>1</v>
      </c>
      <c r="Q135" s="55">
        <v>160.0</v>
      </c>
      <c r="R135" s="42" t="s">
        <v>684</v>
      </c>
      <c r="S135" s="65">
        <f t="shared" si="12"/>
        <v>0</v>
      </c>
      <c r="T135" s="59" t="b">
        <v>1</v>
      </c>
      <c r="U135" s="63"/>
      <c r="V135" s="66" t="b">
        <v>0</v>
      </c>
      <c r="W135" s="66" t="b">
        <v>0</v>
      </c>
      <c r="X135" s="66" t="b">
        <v>0</v>
      </c>
    </row>
    <row r="136" ht="24.0" customHeight="1">
      <c r="A136" s="76" t="s">
        <v>364</v>
      </c>
      <c r="B136" s="383">
        <v>46113.0</v>
      </c>
      <c r="C136" s="384" t="s">
        <v>950</v>
      </c>
      <c r="D136" s="116" t="s">
        <v>93</v>
      </c>
      <c r="E136" s="116" t="s">
        <v>156</v>
      </c>
      <c r="F136" s="138" t="s">
        <v>221</v>
      </c>
      <c r="G136" s="44" t="s">
        <v>104</v>
      </c>
      <c r="H136" s="385">
        <v>2.0</v>
      </c>
      <c r="I136" s="386">
        <f>IF(G136="", "", IFERROR(VLOOKUP(G136, Products!A:F, 4, FALSE), ""))
</f>
        <v>80</v>
      </c>
      <c r="J136" s="386">
        <v>0.0</v>
      </c>
      <c r="K136" s="54">
        <f t="shared" si="10"/>
        <v>160</v>
      </c>
      <c r="L136" s="387">
        <v>160.0</v>
      </c>
      <c r="M136" s="138" t="s">
        <v>73</v>
      </c>
      <c r="N136" s="46">
        <f t="shared" si="2"/>
        <v>0</v>
      </c>
      <c r="O136" s="369" t="b">
        <v>1</v>
      </c>
      <c r="P136" s="369" t="b">
        <v>1</v>
      </c>
      <c r="Q136" s="387"/>
      <c r="R136" s="388"/>
      <c r="S136" s="65">
        <f t="shared" si="12"/>
        <v>0</v>
      </c>
      <c r="T136" s="369" t="b">
        <v>1</v>
      </c>
      <c r="U136" s="388"/>
      <c r="V136" s="391" t="b">
        <v>0</v>
      </c>
      <c r="W136" s="391" t="b">
        <v>0</v>
      </c>
      <c r="X136" s="391" t="b">
        <v>0</v>
      </c>
    </row>
    <row r="137" ht="24.0" customHeight="1">
      <c r="A137" s="76" t="s">
        <v>364</v>
      </c>
      <c r="B137" s="383">
        <v>46113.0</v>
      </c>
      <c r="C137" s="384"/>
      <c r="D137" s="116" t="s">
        <v>93</v>
      </c>
      <c r="E137" s="116" t="s">
        <v>156</v>
      </c>
      <c r="F137" s="138" t="s">
        <v>221</v>
      </c>
      <c r="G137" s="44" t="s">
        <v>168</v>
      </c>
      <c r="H137" s="385">
        <v>3.0</v>
      </c>
      <c r="I137" s="386">
        <f>IF(G137="", "", IFERROR(VLOOKUP(G137, Products!A:F, 4, FALSE), ""))
</f>
        <v>80</v>
      </c>
      <c r="J137" s="386">
        <v>0.0</v>
      </c>
      <c r="K137" s="54">
        <f t="shared" si="10"/>
        <v>240</v>
      </c>
      <c r="L137" s="387">
        <v>240.0</v>
      </c>
      <c r="M137" s="138" t="s">
        <v>73</v>
      </c>
      <c r="N137" s="46">
        <f t="shared" si="2"/>
        <v>0</v>
      </c>
      <c r="O137" s="369" t="b">
        <v>1</v>
      </c>
      <c r="P137" s="369" t="b">
        <v>1</v>
      </c>
      <c r="Q137" s="387"/>
      <c r="R137" s="388"/>
      <c r="S137" s="65">
        <f t="shared" si="12"/>
        <v>0</v>
      </c>
      <c r="T137" s="369" t="b">
        <v>1</v>
      </c>
      <c r="U137" s="388"/>
      <c r="V137" s="391" t="b">
        <v>0</v>
      </c>
      <c r="W137" s="391" t="b">
        <v>0</v>
      </c>
      <c r="X137" s="391" t="b">
        <v>0</v>
      </c>
    </row>
    <row r="138" ht="24.0" customHeight="1">
      <c r="A138" s="76" t="s">
        <v>965</v>
      </c>
      <c r="B138" s="383">
        <v>46113.0</v>
      </c>
      <c r="C138" s="384" t="s">
        <v>966</v>
      </c>
      <c r="D138" s="116" t="s">
        <v>368</v>
      </c>
      <c r="E138" s="116" t="s">
        <v>369</v>
      </c>
      <c r="F138" s="138" t="s">
        <v>221</v>
      </c>
      <c r="G138" s="44" t="s">
        <v>168</v>
      </c>
      <c r="H138" s="385">
        <v>2.0</v>
      </c>
      <c r="I138" s="386">
        <f>IF(G138="", "", IFERROR(VLOOKUP(G138, Products!A:F, 4, FALSE), ""))
</f>
        <v>80</v>
      </c>
      <c r="J138" s="386">
        <v>0.0</v>
      </c>
      <c r="K138" s="54">
        <f t="shared" si="10"/>
        <v>160</v>
      </c>
      <c r="L138" s="387">
        <v>160.0</v>
      </c>
      <c r="M138" s="138" t="s">
        <v>73</v>
      </c>
      <c r="N138" s="46">
        <f t="shared" si="2"/>
        <v>0</v>
      </c>
      <c r="O138" s="369" t="b">
        <v>1</v>
      </c>
      <c r="P138" s="369" t="b">
        <v>1</v>
      </c>
      <c r="Q138" s="387"/>
      <c r="R138" s="42" t="s">
        <v>684</v>
      </c>
      <c r="S138" s="65">
        <f t="shared" si="12"/>
        <v>0</v>
      </c>
      <c r="T138" s="369" t="b">
        <v>1</v>
      </c>
      <c r="U138" s="44" t="s">
        <v>750</v>
      </c>
      <c r="V138" s="37" t="b">
        <v>0</v>
      </c>
      <c r="W138" s="37" t="b">
        <v>0</v>
      </c>
      <c r="X138" s="37" t="b">
        <v>0</v>
      </c>
    </row>
    <row r="139" ht="24.0" customHeight="1">
      <c r="A139" s="393" t="s">
        <v>363</v>
      </c>
      <c r="B139" s="383">
        <v>46113.0</v>
      </c>
      <c r="C139" s="384" t="s">
        <v>975</v>
      </c>
      <c r="D139" s="91" t="s">
        <v>188</v>
      </c>
      <c r="E139" s="92"/>
      <c r="F139" s="138" t="s">
        <v>703</v>
      </c>
      <c r="G139" s="44" t="s">
        <v>168</v>
      </c>
      <c r="H139" s="385">
        <v>2.0</v>
      </c>
      <c r="I139" s="386">
        <f>IF(G139="", "", IFERROR(VLOOKUP(G139, Products!A:F, 4, FALSE), ""))
</f>
        <v>80</v>
      </c>
      <c r="J139" s="386">
        <v>0.0</v>
      </c>
      <c r="K139" s="54">
        <f t="shared" si="10"/>
        <v>160</v>
      </c>
      <c r="L139" s="387">
        <v>80.0</v>
      </c>
      <c r="M139" s="138" t="s">
        <v>73</v>
      </c>
      <c r="N139" s="46">
        <f t="shared" si="2"/>
        <v>80</v>
      </c>
      <c r="O139" s="369" t="b">
        <v>1</v>
      </c>
      <c r="P139" s="369" t="b">
        <v>1</v>
      </c>
      <c r="Q139" s="387">
        <v>80.0</v>
      </c>
      <c r="R139" s="138" t="s">
        <v>684</v>
      </c>
      <c r="S139" s="65">
        <f t="shared" si="12"/>
        <v>0</v>
      </c>
      <c r="T139" s="369" t="b">
        <v>1</v>
      </c>
      <c r="U139" s="44" t="s">
        <v>750</v>
      </c>
      <c r="V139" s="37" t="b">
        <v>0</v>
      </c>
      <c r="W139" s="37" t="b">
        <v>0</v>
      </c>
      <c r="X139" s="37" t="b">
        <v>0</v>
      </c>
    </row>
    <row r="140" ht="24.0" customHeight="1">
      <c r="A140" s="393" t="s">
        <v>359</v>
      </c>
      <c r="B140" s="383">
        <v>46113.0</v>
      </c>
      <c r="C140" s="384" t="s">
        <v>985</v>
      </c>
      <c r="D140" s="116" t="s">
        <v>53</v>
      </c>
      <c r="E140" s="116" t="s">
        <v>620</v>
      </c>
      <c r="F140" s="388"/>
      <c r="G140" s="44" t="s">
        <v>168</v>
      </c>
      <c r="H140" s="385">
        <v>6.0</v>
      </c>
      <c r="I140" s="386">
        <f>IF(G140="", "", IFERROR(VLOOKUP(G140, Products!A:F, 4, FALSE), ""))
</f>
        <v>80</v>
      </c>
      <c r="J140" s="386">
        <v>180.0</v>
      </c>
      <c r="K140" s="54">
        <f t="shared" si="10"/>
        <v>300</v>
      </c>
      <c r="L140" s="387"/>
      <c r="M140" s="388"/>
      <c r="N140" s="46">
        <f t="shared" si="2"/>
        <v>300</v>
      </c>
      <c r="O140" s="369" t="b">
        <v>1</v>
      </c>
      <c r="P140" s="369" t="b">
        <v>1</v>
      </c>
      <c r="Q140" s="387">
        <v>400.0</v>
      </c>
      <c r="R140" s="138" t="s">
        <v>271</v>
      </c>
      <c r="S140" s="46">
        <v>0.0</v>
      </c>
      <c r="T140" s="369" t="b">
        <v>1</v>
      </c>
      <c r="U140" s="388"/>
      <c r="V140" s="391" t="b">
        <v>0</v>
      </c>
      <c r="W140" s="391" t="b">
        <v>0</v>
      </c>
      <c r="X140" s="391" t="b">
        <v>0</v>
      </c>
    </row>
    <row r="141" ht="24.0" customHeight="1">
      <c r="A141" s="76" t="s">
        <v>370</v>
      </c>
      <c r="B141" s="383">
        <v>46113.0</v>
      </c>
      <c r="C141" s="384" t="s">
        <v>993</v>
      </c>
      <c r="D141" s="116" t="s">
        <v>93</v>
      </c>
      <c r="E141" s="116" t="s">
        <v>99</v>
      </c>
      <c r="F141" s="138" t="s">
        <v>221</v>
      </c>
      <c r="G141" s="76" t="s">
        <v>153</v>
      </c>
      <c r="H141" s="385">
        <v>1.0</v>
      </c>
      <c r="I141" s="386">
        <f>IF(G141="", "", IFERROR(VLOOKUP(G141, Products!A:F, 4, FALSE), ""))
</f>
        <v>80</v>
      </c>
      <c r="J141" s="386">
        <v>0.0</v>
      </c>
      <c r="K141" s="54">
        <f t="shared" si="10"/>
        <v>80</v>
      </c>
      <c r="L141" s="387">
        <v>80.0</v>
      </c>
      <c r="M141" s="138" t="s">
        <v>110</v>
      </c>
      <c r="N141" s="46">
        <f t="shared" si="2"/>
        <v>0</v>
      </c>
      <c r="O141" s="369" t="b">
        <v>1</v>
      </c>
      <c r="P141" s="369" t="b">
        <v>1</v>
      </c>
      <c r="Q141" s="387"/>
      <c r="R141" s="388"/>
      <c r="S141" s="65">
        <f t="shared" ref="S141:S255" si="13">N141-Q141</f>
        <v>0</v>
      </c>
      <c r="T141" s="369" t="b">
        <v>1</v>
      </c>
      <c r="U141" s="388"/>
      <c r="V141" s="391" t="b">
        <v>0</v>
      </c>
      <c r="W141" s="391" t="b">
        <v>0</v>
      </c>
      <c r="X141" s="391" t="b">
        <v>0</v>
      </c>
    </row>
    <row r="142" ht="24.0" customHeight="1">
      <c r="A142" s="76" t="s">
        <v>370</v>
      </c>
      <c r="B142" s="383">
        <v>46113.0</v>
      </c>
      <c r="C142" s="384"/>
      <c r="D142" s="394"/>
      <c r="E142" s="394"/>
      <c r="F142" s="138" t="s">
        <v>221</v>
      </c>
      <c r="G142" s="44" t="s">
        <v>104</v>
      </c>
      <c r="H142" s="385">
        <v>1.0</v>
      </c>
      <c r="I142" s="386">
        <f>IF(G142="", "", IFERROR(VLOOKUP(G142, Products!A:F, 4, FALSE), ""))
</f>
        <v>80</v>
      </c>
      <c r="J142" s="386">
        <v>0.0</v>
      </c>
      <c r="K142" s="54">
        <f t="shared" si="10"/>
        <v>80</v>
      </c>
      <c r="L142" s="387">
        <v>80.0</v>
      </c>
      <c r="M142" s="138" t="s">
        <v>110</v>
      </c>
      <c r="N142" s="46">
        <f t="shared" si="2"/>
        <v>0</v>
      </c>
      <c r="O142" s="369" t="b">
        <v>1</v>
      </c>
      <c r="P142" s="369" t="b">
        <v>1</v>
      </c>
      <c r="Q142" s="387"/>
      <c r="R142" s="388"/>
      <c r="S142" s="65">
        <f t="shared" si="13"/>
        <v>0</v>
      </c>
      <c r="T142" s="369" t="b">
        <v>1</v>
      </c>
      <c r="U142" s="388"/>
      <c r="V142" s="391" t="b">
        <v>0</v>
      </c>
      <c r="W142" s="391" t="b">
        <v>0</v>
      </c>
      <c r="X142" s="391" t="b">
        <v>0</v>
      </c>
    </row>
    <row r="143" ht="24.0" customHeight="1">
      <c r="A143" s="76" t="s">
        <v>370</v>
      </c>
      <c r="B143" s="383">
        <v>46113.0</v>
      </c>
      <c r="C143" s="384"/>
      <c r="D143" s="394"/>
      <c r="E143" s="394"/>
      <c r="F143" s="138" t="s">
        <v>221</v>
      </c>
      <c r="G143" s="44" t="s">
        <v>168</v>
      </c>
      <c r="H143" s="385">
        <v>1.0</v>
      </c>
      <c r="I143" s="386">
        <f>IF(G143="", "", IFERROR(VLOOKUP(G143, Products!A:F, 4, FALSE), ""))
</f>
        <v>80</v>
      </c>
      <c r="J143" s="386">
        <v>0.0</v>
      </c>
      <c r="K143" s="54">
        <f t="shared" si="10"/>
        <v>80</v>
      </c>
      <c r="L143" s="387"/>
      <c r="M143" s="388"/>
      <c r="N143" s="46">
        <f t="shared" si="2"/>
        <v>80</v>
      </c>
      <c r="O143" s="369" t="b">
        <v>1</v>
      </c>
      <c r="P143" s="369" t="b">
        <v>1</v>
      </c>
      <c r="Q143" s="387">
        <v>80.0</v>
      </c>
      <c r="R143" s="138" t="s">
        <v>73</v>
      </c>
      <c r="S143" s="65">
        <f t="shared" si="13"/>
        <v>0</v>
      </c>
      <c r="T143" s="369" t="b">
        <v>1</v>
      </c>
      <c r="U143" s="138" t="s">
        <v>1014</v>
      </c>
      <c r="V143" s="369" t="b">
        <v>0</v>
      </c>
      <c r="W143" s="369" t="b">
        <v>0</v>
      </c>
      <c r="X143" s="369" t="b">
        <v>0</v>
      </c>
    </row>
    <row r="144" ht="24.0" customHeight="1">
      <c r="A144" s="76" t="s">
        <v>372</v>
      </c>
      <c r="B144" s="383">
        <v>46113.0</v>
      </c>
      <c r="C144" s="384"/>
      <c r="D144" s="394"/>
      <c r="E144" s="394"/>
      <c r="F144" s="138" t="s">
        <v>221</v>
      </c>
      <c r="G144" s="44" t="s">
        <v>168</v>
      </c>
      <c r="H144" s="385">
        <v>4.0</v>
      </c>
      <c r="I144" s="386">
        <f>IF(G144="", "", IFERROR(VLOOKUP(G144, Products!A:F, 4, FALSE), ""))
</f>
        <v>80</v>
      </c>
      <c r="J144" s="386">
        <v>0.0</v>
      </c>
      <c r="K144" s="54">
        <f t="shared" si="10"/>
        <v>320</v>
      </c>
      <c r="L144" s="387">
        <v>80.0</v>
      </c>
      <c r="M144" s="138" t="s">
        <v>73</v>
      </c>
      <c r="N144" s="46">
        <f t="shared" si="2"/>
        <v>240</v>
      </c>
      <c r="O144" s="369" t="b">
        <v>1</v>
      </c>
      <c r="P144" s="369" t="b">
        <v>1</v>
      </c>
      <c r="Q144" s="387">
        <v>240.0</v>
      </c>
      <c r="R144" s="42" t="s">
        <v>684</v>
      </c>
      <c r="S144" s="65">
        <f t="shared" si="13"/>
        <v>0</v>
      </c>
      <c r="T144" s="369" t="b">
        <v>1</v>
      </c>
      <c r="U144" s="44" t="s">
        <v>750</v>
      </c>
      <c r="V144" s="37" t="b">
        <v>0</v>
      </c>
      <c r="W144" s="37" t="b">
        <v>0</v>
      </c>
      <c r="X144" s="37" t="b">
        <v>0</v>
      </c>
    </row>
    <row r="145" ht="24.0" customHeight="1">
      <c r="A145" s="76" t="s">
        <v>371</v>
      </c>
      <c r="B145" s="383">
        <v>46113.0</v>
      </c>
      <c r="C145" s="384" t="s">
        <v>1027</v>
      </c>
      <c r="D145" s="116" t="s">
        <v>109</v>
      </c>
      <c r="E145" s="116" t="s">
        <v>111</v>
      </c>
      <c r="F145" s="138" t="s">
        <v>221</v>
      </c>
      <c r="G145" s="76" t="s">
        <v>161</v>
      </c>
      <c r="H145" s="385">
        <v>2.0</v>
      </c>
      <c r="I145" s="386">
        <f>IF(G145="", "", IFERROR(VLOOKUP(G145, Products!A:F, 4, FALSE), ""))
</f>
        <v>80</v>
      </c>
      <c r="J145" s="386">
        <v>0.0</v>
      </c>
      <c r="K145" s="54">
        <f t="shared" si="10"/>
        <v>160</v>
      </c>
      <c r="L145" s="387">
        <v>160.0</v>
      </c>
      <c r="M145" s="138" t="s">
        <v>73</v>
      </c>
      <c r="N145" s="46">
        <f t="shared" si="2"/>
        <v>0</v>
      </c>
      <c r="O145" s="369" t="b">
        <v>1</v>
      </c>
      <c r="P145" s="369" t="b">
        <v>1</v>
      </c>
      <c r="Q145" s="387"/>
      <c r="R145" s="42" t="s">
        <v>684</v>
      </c>
      <c r="S145" s="65">
        <f t="shared" si="13"/>
        <v>0</v>
      </c>
      <c r="T145" s="369" t="b">
        <v>1</v>
      </c>
      <c r="U145" s="44" t="s">
        <v>750</v>
      </c>
      <c r="V145" s="37" t="b">
        <v>0</v>
      </c>
      <c r="W145" s="37" t="b">
        <v>0</v>
      </c>
      <c r="X145" s="37" t="b">
        <v>0</v>
      </c>
    </row>
    <row r="146" ht="24.0" customHeight="1">
      <c r="A146" s="76" t="s">
        <v>356</v>
      </c>
      <c r="B146" s="383">
        <v>46113.0</v>
      </c>
      <c r="C146" s="384" t="s">
        <v>1035</v>
      </c>
      <c r="D146" s="116" t="s">
        <v>93</v>
      </c>
      <c r="E146" s="116" t="s">
        <v>99</v>
      </c>
      <c r="F146" s="388"/>
      <c r="G146" s="44" t="s">
        <v>104</v>
      </c>
      <c r="H146" s="385">
        <v>6.0</v>
      </c>
      <c r="I146" s="386">
        <f>IF(G146="", "", IFERROR(VLOOKUP(G146, Products!A:F, 4, FALSE), ""))
</f>
        <v>80</v>
      </c>
      <c r="J146" s="386">
        <v>0.0</v>
      </c>
      <c r="K146" s="54">
        <f t="shared" si="10"/>
        <v>480</v>
      </c>
      <c r="L146" s="387">
        <v>240.0</v>
      </c>
      <c r="M146" s="138" t="s">
        <v>73</v>
      </c>
      <c r="N146" s="46">
        <f t="shared" si="2"/>
        <v>240</v>
      </c>
      <c r="O146" s="369" t="b">
        <v>1</v>
      </c>
      <c r="P146" s="369" t="b">
        <v>1</v>
      </c>
      <c r="Q146" s="387">
        <v>240.0</v>
      </c>
      <c r="R146" s="138" t="s">
        <v>73</v>
      </c>
      <c r="S146" s="65">
        <f t="shared" si="13"/>
        <v>0</v>
      </c>
      <c r="T146" s="369" t="b">
        <v>1</v>
      </c>
      <c r="U146" s="388"/>
      <c r="V146" s="391" t="b">
        <v>0</v>
      </c>
      <c r="W146" s="391" t="b">
        <v>0</v>
      </c>
      <c r="X146" s="391" t="b">
        <v>0</v>
      </c>
    </row>
    <row r="147" ht="24.0" customHeight="1">
      <c r="A147" s="76" t="s">
        <v>324</v>
      </c>
      <c r="B147" s="383">
        <v>46113.0</v>
      </c>
      <c r="C147" s="384" t="s">
        <v>804</v>
      </c>
      <c r="D147" s="116" t="s">
        <v>53</v>
      </c>
      <c r="E147" s="116" t="s">
        <v>220</v>
      </c>
      <c r="F147" s="138" t="s">
        <v>221</v>
      </c>
      <c r="G147" s="44" t="s">
        <v>168</v>
      </c>
      <c r="H147" s="385">
        <v>3.0</v>
      </c>
      <c r="I147" s="386">
        <f>IF(G147="", "", IFERROR(VLOOKUP(G147, Products!A:F, 4, FALSE), ""))
</f>
        <v>80</v>
      </c>
      <c r="J147" s="386">
        <v>0.0</v>
      </c>
      <c r="K147" s="54">
        <f t="shared" si="10"/>
        <v>240</v>
      </c>
      <c r="L147" s="387">
        <v>120.0</v>
      </c>
      <c r="M147" s="138" t="s">
        <v>73</v>
      </c>
      <c r="N147" s="46">
        <f t="shared" si="2"/>
        <v>120</v>
      </c>
      <c r="O147" s="369" t="b">
        <v>1</v>
      </c>
      <c r="P147" s="369" t="b">
        <v>1</v>
      </c>
      <c r="Q147" s="387">
        <v>120.0</v>
      </c>
      <c r="R147" s="138" t="s">
        <v>73</v>
      </c>
      <c r="S147" s="65">
        <f t="shared" si="13"/>
        <v>0</v>
      </c>
      <c r="T147" s="369" t="b">
        <v>1</v>
      </c>
      <c r="U147" s="388"/>
      <c r="V147" s="391" t="b">
        <v>0</v>
      </c>
      <c r="W147" s="391" t="b">
        <v>0</v>
      </c>
      <c r="X147" s="391" t="b">
        <v>0</v>
      </c>
    </row>
    <row r="148" ht="24.0" customHeight="1">
      <c r="A148" s="76" t="s">
        <v>365</v>
      </c>
      <c r="B148" s="383">
        <v>46113.0</v>
      </c>
      <c r="C148" s="384" t="s">
        <v>1045</v>
      </c>
      <c r="D148" s="116" t="s">
        <v>366</v>
      </c>
      <c r="E148" s="399"/>
      <c r="F148" s="138" t="s">
        <v>221</v>
      </c>
      <c r="G148" s="76" t="s">
        <v>173</v>
      </c>
      <c r="H148" s="385">
        <v>150.0</v>
      </c>
      <c r="I148" s="386">
        <f>IF(G148="", "", IFERROR(VLOOKUP(G148, Products!A:F, 4, FALSE), ""))
</f>
        <v>15</v>
      </c>
      <c r="J148" s="386">
        <v>300.0</v>
      </c>
      <c r="K148" s="54">
        <f t="shared" si="10"/>
        <v>1950</v>
      </c>
      <c r="L148" s="387">
        <v>975.0</v>
      </c>
      <c r="M148" s="138" t="s">
        <v>73</v>
      </c>
      <c r="N148" s="46">
        <f t="shared" si="2"/>
        <v>975</v>
      </c>
      <c r="O148" s="369" t="b">
        <v>1</v>
      </c>
      <c r="P148" s="369" t="b">
        <v>1</v>
      </c>
      <c r="Q148" s="387">
        <v>975.0</v>
      </c>
      <c r="R148" s="138" t="s">
        <v>684</v>
      </c>
      <c r="S148" s="65">
        <f t="shared" si="13"/>
        <v>0</v>
      </c>
      <c r="T148" s="369" t="b">
        <v>1</v>
      </c>
      <c r="U148" s="44" t="s">
        <v>750</v>
      </c>
      <c r="V148" s="37" t="b">
        <v>0</v>
      </c>
      <c r="W148" s="37" t="b">
        <v>0</v>
      </c>
      <c r="X148" s="37" t="b">
        <v>0</v>
      </c>
    </row>
    <row r="149" ht="24.0" customHeight="1">
      <c r="A149" s="76" t="s">
        <v>352</v>
      </c>
      <c r="B149" s="383">
        <v>46113.0</v>
      </c>
      <c r="C149" s="384" t="s">
        <v>1053</v>
      </c>
      <c r="D149" s="116" t="s">
        <v>93</v>
      </c>
      <c r="E149" s="116" t="s">
        <v>605</v>
      </c>
      <c r="F149" s="388"/>
      <c r="G149" s="44" t="s">
        <v>104</v>
      </c>
      <c r="H149" s="385">
        <v>8.0</v>
      </c>
      <c r="I149" s="386">
        <f>IF(G149="", "", IFERROR(VLOOKUP(G149, Products!A:F, 4, FALSE), ""))
</f>
        <v>80</v>
      </c>
      <c r="J149" s="386">
        <v>0.0</v>
      </c>
      <c r="K149" s="54">
        <f t="shared" si="10"/>
        <v>640</v>
      </c>
      <c r="L149" s="387">
        <v>320.0</v>
      </c>
      <c r="M149" s="138" t="s">
        <v>73</v>
      </c>
      <c r="N149" s="46">
        <f t="shared" si="2"/>
        <v>320</v>
      </c>
      <c r="O149" s="59" t="b">
        <v>1</v>
      </c>
      <c r="P149" s="369" t="b">
        <v>1</v>
      </c>
      <c r="Q149" s="387">
        <v>320.0</v>
      </c>
      <c r="R149" s="138" t="s">
        <v>73</v>
      </c>
      <c r="S149" s="65">
        <f t="shared" si="13"/>
        <v>0</v>
      </c>
      <c r="T149" s="369" t="b">
        <v>1</v>
      </c>
      <c r="U149" s="388"/>
      <c r="V149" s="391" t="b">
        <v>0</v>
      </c>
      <c r="W149" s="391" t="b">
        <v>0</v>
      </c>
      <c r="X149" s="391" t="b">
        <v>0</v>
      </c>
    </row>
    <row r="150" ht="24.0" customHeight="1">
      <c r="A150" s="393" t="s">
        <v>349</v>
      </c>
      <c r="B150" s="383">
        <v>46113.0</v>
      </c>
      <c r="C150" s="384" t="s">
        <v>1059</v>
      </c>
      <c r="D150" s="116" t="s">
        <v>78</v>
      </c>
      <c r="E150" s="116" t="s">
        <v>350</v>
      </c>
      <c r="F150" s="388"/>
      <c r="G150" s="44" t="s">
        <v>168</v>
      </c>
      <c r="H150" s="385">
        <v>6.0</v>
      </c>
      <c r="I150" s="386">
        <f>IF(G150="", "", IFERROR(VLOOKUP(G150, Products!A:F, 4, FALSE), ""))
</f>
        <v>80</v>
      </c>
      <c r="J150" s="386">
        <v>0.0</v>
      </c>
      <c r="K150" s="54">
        <f t="shared" si="10"/>
        <v>480</v>
      </c>
      <c r="L150" s="387">
        <v>215.0</v>
      </c>
      <c r="M150" s="138" t="s">
        <v>73</v>
      </c>
      <c r="N150" s="46">
        <f t="shared" si="2"/>
        <v>265</v>
      </c>
      <c r="O150" s="369" t="b">
        <v>1</v>
      </c>
      <c r="P150" s="369" t="b">
        <v>1</v>
      </c>
      <c r="Q150" s="387">
        <v>265.0</v>
      </c>
      <c r="R150" s="42" t="s">
        <v>684</v>
      </c>
      <c r="S150" s="65">
        <f t="shared" si="13"/>
        <v>0</v>
      </c>
      <c r="T150" s="369" t="b">
        <v>1</v>
      </c>
      <c r="U150" s="44" t="s">
        <v>750</v>
      </c>
      <c r="V150" s="37" t="b">
        <v>0</v>
      </c>
      <c r="W150" s="37" t="b">
        <v>0</v>
      </c>
      <c r="X150" s="37" t="b">
        <v>0</v>
      </c>
    </row>
    <row r="151" ht="24.0" customHeight="1">
      <c r="A151" s="402" t="s">
        <v>335</v>
      </c>
      <c r="B151" s="383">
        <v>46114.0</v>
      </c>
      <c r="C151" s="384" t="s">
        <v>740</v>
      </c>
      <c r="D151" s="116" t="s">
        <v>93</v>
      </c>
      <c r="E151" s="116" t="s">
        <v>624</v>
      </c>
      <c r="F151" s="388"/>
      <c r="G151" s="44" t="s">
        <v>168</v>
      </c>
      <c r="H151" s="385">
        <v>5.0</v>
      </c>
      <c r="I151" s="386">
        <f>IF(G151="", "", IFERROR(VLOOKUP(G151, Products!A:F, 4, FALSE), ""))
</f>
        <v>80</v>
      </c>
      <c r="J151" s="386">
        <v>0.0</v>
      </c>
      <c r="K151" s="54">
        <f t="shared" si="10"/>
        <v>400</v>
      </c>
      <c r="L151" s="387">
        <v>200.0</v>
      </c>
      <c r="M151" s="138" t="s">
        <v>73</v>
      </c>
      <c r="N151" s="46">
        <f t="shared" si="2"/>
        <v>200</v>
      </c>
      <c r="O151" s="369" t="b">
        <v>1</v>
      </c>
      <c r="P151" s="369" t="b">
        <v>1</v>
      </c>
      <c r="Q151" s="387">
        <v>200.0</v>
      </c>
      <c r="R151" s="138" t="s">
        <v>684</v>
      </c>
      <c r="S151" s="65">
        <f t="shared" si="13"/>
        <v>0</v>
      </c>
      <c r="T151" s="369" t="b">
        <v>1</v>
      </c>
      <c r="U151" s="44" t="s">
        <v>750</v>
      </c>
      <c r="V151" s="37" t="b">
        <v>0</v>
      </c>
      <c r="W151" s="37" t="b">
        <v>0</v>
      </c>
      <c r="X151" s="37" t="b">
        <v>0</v>
      </c>
    </row>
    <row r="152" ht="24.0" customHeight="1">
      <c r="A152" s="76" t="s">
        <v>390</v>
      </c>
      <c r="B152" s="383">
        <v>46114.0</v>
      </c>
      <c r="C152" s="384" t="s">
        <v>1074</v>
      </c>
      <c r="D152" s="116" t="s">
        <v>195</v>
      </c>
      <c r="E152" s="399"/>
      <c r="F152" s="388"/>
      <c r="G152" s="44" t="s">
        <v>168</v>
      </c>
      <c r="H152" s="385">
        <v>3.0</v>
      </c>
      <c r="I152" s="386">
        <f>IF(G152="", "", IFERROR(VLOOKUP(G152, Products!A:F, 4, FALSE), ""))
</f>
        <v>80</v>
      </c>
      <c r="J152" s="386">
        <v>0.0</v>
      </c>
      <c r="K152" s="54">
        <f t="shared" si="10"/>
        <v>240</v>
      </c>
      <c r="L152" s="387">
        <v>120.0</v>
      </c>
      <c r="M152" s="138" t="s">
        <v>110</v>
      </c>
      <c r="N152" s="46">
        <f t="shared" si="2"/>
        <v>120</v>
      </c>
      <c r="O152" s="369" t="b">
        <v>1</v>
      </c>
      <c r="P152" s="369" t="b">
        <v>1</v>
      </c>
      <c r="Q152" s="387">
        <v>120.0</v>
      </c>
      <c r="R152" s="42" t="s">
        <v>684</v>
      </c>
      <c r="S152" s="65">
        <f t="shared" si="13"/>
        <v>0</v>
      </c>
      <c r="T152" s="369" t="b">
        <v>1</v>
      </c>
      <c r="U152" s="44" t="s">
        <v>750</v>
      </c>
      <c r="V152" s="37" t="b">
        <v>0</v>
      </c>
      <c r="W152" s="37" t="b">
        <v>0</v>
      </c>
      <c r="X152" s="37" t="b">
        <v>0</v>
      </c>
    </row>
    <row r="153" ht="24.0" customHeight="1">
      <c r="A153" s="76" t="s">
        <v>384</v>
      </c>
      <c r="B153" s="383">
        <v>46114.0</v>
      </c>
      <c r="C153" s="384" t="s">
        <v>1082</v>
      </c>
      <c r="D153" s="116" t="s">
        <v>134</v>
      </c>
      <c r="E153" s="399"/>
      <c r="F153" s="388"/>
      <c r="G153" s="44" t="s">
        <v>168</v>
      </c>
      <c r="H153" s="385">
        <v>3.0</v>
      </c>
      <c r="I153" s="386">
        <f>IF(G153="", "", IFERROR(VLOOKUP(G153, Products!A:F, 4, FALSE), ""))
</f>
        <v>80</v>
      </c>
      <c r="J153" s="386">
        <v>0.0</v>
      </c>
      <c r="K153" s="54">
        <f t="shared" si="10"/>
        <v>240</v>
      </c>
      <c r="L153" s="387">
        <v>240.0</v>
      </c>
      <c r="M153" s="138" t="s">
        <v>73</v>
      </c>
      <c r="N153" s="46">
        <f t="shared" si="2"/>
        <v>0</v>
      </c>
      <c r="O153" s="369" t="b">
        <v>1</v>
      </c>
      <c r="P153" s="369" t="b">
        <v>1</v>
      </c>
      <c r="Q153" s="387"/>
      <c r="R153" s="42" t="s">
        <v>684</v>
      </c>
      <c r="S153" s="65">
        <f t="shared" si="13"/>
        <v>0</v>
      </c>
      <c r="T153" s="369" t="b">
        <v>1</v>
      </c>
      <c r="U153" s="44" t="s">
        <v>750</v>
      </c>
      <c r="V153" s="37" t="b">
        <v>0</v>
      </c>
      <c r="W153" s="37" t="b">
        <v>0</v>
      </c>
      <c r="X153" s="37" t="b">
        <v>0</v>
      </c>
    </row>
    <row r="154" ht="24.0" customHeight="1">
      <c r="A154" s="76" t="s">
        <v>378</v>
      </c>
      <c r="B154" s="383">
        <v>46114.0</v>
      </c>
      <c r="C154" s="384" t="s">
        <v>1091</v>
      </c>
      <c r="D154" s="116" t="s">
        <v>93</v>
      </c>
      <c r="E154" s="116" t="s">
        <v>379</v>
      </c>
      <c r="F154" s="388"/>
      <c r="G154" s="44" t="s">
        <v>168</v>
      </c>
      <c r="H154" s="385">
        <v>4.0</v>
      </c>
      <c r="I154" s="386">
        <f>IF(G154="", "", IFERROR(VLOOKUP(G154, Products!A:F, 4, FALSE), ""))
</f>
        <v>80</v>
      </c>
      <c r="J154" s="386">
        <v>0.0</v>
      </c>
      <c r="K154" s="54">
        <f t="shared" si="10"/>
        <v>320</v>
      </c>
      <c r="L154" s="387">
        <v>160.0</v>
      </c>
      <c r="M154" s="138" t="s">
        <v>73</v>
      </c>
      <c r="N154" s="46">
        <f t="shared" si="2"/>
        <v>160</v>
      </c>
      <c r="O154" s="369" t="b">
        <v>1</v>
      </c>
      <c r="P154" s="369" t="b">
        <v>1</v>
      </c>
      <c r="Q154" s="387">
        <v>160.0</v>
      </c>
      <c r="R154" s="42" t="s">
        <v>684</v>
      </c>
      <c r="S154" s="65">
        <f t="shared" si="13"/>
        <v>0</v>
      </c>
      <c r="T154" s="369" t="b">
        <v>1</v>
      </c>
      <c r="U154" s="44" t="s">
        <v>750</v>
      </c>
      <c r="V154" s="37" t="b">
        <v>0</v>
      </c>
      <c r="W154" s="37" t="b">
        <v>0</v>
      </c>
      <c r="X154" s="37" t="b">
        <v>0</v>
      </c>
    </row>
    <row r="155" ht="24.0" customHeight="1">
      <c r="A155" s="76" t="s">
        <v>1098</v>
      </c>
      <c r="B155" s="383">
        <v>46114.0</v>
      </c>
      <c r="C155" s="384" t="s">
        <v>1099</v>
      </c>
      <c r="D155" s="116" t="s">
        <v>93</v>
      </c>
      <c r="E155" s="116" t="s">
        <v>376</v>
      </c>
      <c r="F155" s="388"/>
      <c r="G155" s="44" t="s">
        <v>168</v>
      </c>
      <c r="H155" s="385">
        <v>3.0</v>
      </c>
      <c r="I155" s="386">
        <f>IF(G155="", "", IFERROR(VLOOKUP(G155, Products!A:F, 4, FALSE), ""))
</f>
        <v>80</v>
      </c>
      <c r="J155" s="386">
        <v>25.0</v>
      </c>
      <c r="K155" s="54">
        <f t="shared" si="10"/>
        <v>215</v>
      </c>
      <c r="L155" s="387">
        <v>215.0</v>
      </c>
      <c r="M155" s="138" t="s">
        <v>110</v>
      </c>
      <c r="N155" s="46">
        <f t="shared" si="2"/>
        <v>0</v>
      </c>
      <c r="O155" s="369" t="b">
        <v>1</v>
      </c>
      <c r="P155" s="369" t="b">
        <v>1</v>
      </c>
      <c r="Q155" s="387"/>
      <c r="R155" s="42" t="s">
        <v>684</v>
      </c>
      <c r="S155" s="65">
        <f t="shared" si="13"/>
        <v>0</v>
      </c>
      <c r="T155" s="369" t="b">
        <v>1</v>
      </c>
      <c r="U155" s="44" t="s">
        <v>750</v>
      </c>
      <c r="V155" s="37" t="b">
        <v>0</v>
      </c>
      <c r="W155" s="37" t="b">
        <v>0</v>
      </c>
      <c r="X155" s="37" t="b">
        <v>0</v>
      </c>
    </row>
    <row r="156" ht="24.0" customHeight="1">
      <c r="A156" s="76" t="s">
        <v>374</v>
      </c>
      <c r="B156" s="383">
        <v>46114.0</v>
      </c>
      <c r="C156" s="384" t="s">
        <v>1105</v>
      </c>
      <c r="D156" s="116" t="s">
        <v>109</v>
      </c>
      <c r="E156" s="116" t="s">
        <v>111</v>
      </c>
      <c r="F156" s="388"/>
      <c r="G156" s="44" t="s">
        <v>168</v>
      </c>
      <c r="H156" s="385">
        <v>3.0</v>
      </c>
      <c r="I156" s="386">
        <f>IF(G156="", "", IFERROR(VLOOKUP(G156, Products!A:F, 4, FALSE), ""))
</f>
        <v>80</v>
      </c>
      <c r="J156" s="386">
        <v>25.0</v>
      </c>
      <c r="K156" s="54">
        <f t="shared" si="10"/>
        <v>215</v>
      </c>
      <c r="L156" s="387">
        <v>120.0</v>
      </c>
      <c r="M156" s="138" t="s">
        <v>73</v>
      </c>
      <c r="N156" s="46">
        <f t="shared" si="2"/>
        <v>95</v>
      </c>
      <c r="O156" s="369" t="b">
        <v>1</v>
      </c>
      <c r="P156" s="369" t="b">
        <v>1</v>
      </c>
      <c r="Q156" s="387">
        <v>95.0</v>
      </c>
      <c r="R156" s="42" t="s">
        <v>684</v>
      </c>
      <c r="S156" s="65">
        <f t="shared" si="13"/>
        <v>0</v>
      </c>
      <c r="T156" s="369" t="b">
        <v>1</v>
      </c>
      <c r="U156" s="44" t="s">
        <v>750</v>
      </c>
      <c r="V156" s="37" t="b">
        <v>0</v>
      </c>
      <c r="W156" s="37" t="b">
        <v>0</v>
      </c>
      <c r="X156" s="37" t="b">
        <v>0</v>
      </c>
    </row>
    <row r="157" ht="24.0" customHeight="1">
      <c r="A157" s="402" t="s">
        <v>391</v>
      </c>
      <c r="B157" s="383">
        <v>46114.0</v>
      </c>
      <c r="C157" s="384" t="s">
        <v>1110</v>
      </c>
      <c r="D157" s="116" t="s">
        <v>78</v>
      </c>
      <c r="E157" s="399"/>
      <c r="F157" s="388"/>
      <c r="G157" s="44" t="s">
        <v>168</v>
      </c>
      <c r="H157" s="385">
        <v>4.0</v>
      </c>
      <c r="I157" s="386">
        <f>IF(G157="", "", IFERROR(VLOOKUP(G157, Products!A:F, 4, FALSE), ""))
</f>
        <v>80</v>
      </c>
      <c r="J157" s="386">
        <v>0.0</v>
      </c>
      <c r="K157" s="54">
        <f t="shared" si="10"/>
        <v>320</v>
      </c>
      <c r="L157" s="387">
        <v>120.0</v>
      </c>
      <c r="M157" s="138" t="s">
        <v>73</v>
      </c>
      <c r="N157" s="46">
        <f t="shared" si="2"/>
        <v>200</v>
      </c>
      <c r="O157" s="369" t="b">
        <v>1</v>
      </c>
      <c r="P157" s="369" t="b">
        <v>1</v>
      </c>
      <c r="Q157" s="387">
        <v>200.0</v>
      </c>
      <c r="R157" s="138" t="s">
        <v>73</v>
      </c>
      <c r="S157" s="65">
        <f t="shared" si="13"/>
        <v>0</v>
      </c>
      <c r="T157" s="369" t="b">
        <v>1</v>
      </c>
      <c r="U157" s="388"/>
      <c r="V157" s="391" t="b">
        <v>0</v>
      </c>
      <c r="W157" s="391" t="b">
        <v>0</v>
      </c>
      <c r="X157" s="391" t="b">
        <v>0</v>
      </c>
    </row>
    <row r="158" ht="24.0" customHeight="1">
      <c r="A158" s="76" t="s">
        <v>380</v>
      </c>
      <c r="B158" s="383">
        <v>46114.0</v>
      </c>
      <c r="C158" s="384" t="s">
        <v>1117</v>
      </c>
      <c r="D158" s="91" t="s">
        <v>188</v>
      </c>
      <c r="E158" s="92"/>
      <c r="F158" s="388"/>
      <c r="G158" s="44" t="s">
        <v>168</v>
      </c>
      <c r="H158" s="385">
        <v>5.0</v>
      </c>
      <c r="I158" s="386">
        <f>IF(G158="", "", IFERROR(VLOOKUP(G158, Products!A:F, 4, FALSE), ""))
</f>
        <v>80</v>
      </c>
      <c r="J158" s="386">
        <v>0.0</v>
      </c>
      <c r="K158" s="54">
        <f t="shared" si="10"/>
        <v>400</v>
      </c>
      <c r="L158" s="387">
        <v>250.0</v>
      </c>
      <c r="M158" s="138" t="s">
        <v>110</v>
      </c>
      <c r="N158" s="46">
        <f t="shared" si="2"/>
        <v>150</v>
      </c>
      <c r="O158" s="369" t="b">
        <v>1</v>
      </c>
      <c r="P158" s="369" t="b">
        <v>1</v>
      </c>
      <c r="Q158" s="387">
        <v>150.0</v>
      </c>
      <c r="R158" s="42" t="s">
        <v>684</v>
      </c>
      <c r="S158" s="65">
        <f t="shared" si="13"/>
        <v>0</v>
      </c>
      <c r="T158" s="369" t="b">
        <v>1</v>
      </c>
      <c r="U158" s="44" t="s">
        <v>750</v>
      </c>
      <c r="V158" s="37" t="b">
        <v>0</v>
      </c>
      <c r="W158" s="37" t="b">
        <v>0</v>
      </c>
      <c r="X158" s="37" t="b">
        <v>0</v>
      </c>
    </row>
    <row r="159" ht="24.0" customHeight="1">
      <c r="A159" s="76" t="s">
        <v>377</v>
      </c>
      <c r="B159" s="383">
        <v>46114.0</v>
      </c>
      <c r="C159" s="384" t="s">
        <v>1125</v>
      </c>
      <c r="D159" s="116" t="s">
        <v>93</v>
      </c>
      <c r="E159" s="116" t="s">
        <v>94</v>
      </c>
      <c r="F159" s="388"/>
      <c r="G159" s="44" t="s">
        <v>168</v>
      </c>
      <c r="H159" s="385">
        <v>4.0</v>
      </c>
      <c r="I159" s="386">
        <f>IF(G159="", "", IFERROR(VLOOKUP(G159, Products!A:F, 4, FALSE), ""))
</f>
        <v>80</v>
      </c>
      <c r="J159" s="386">
        <v>0.0</v>
      </c>
      <c r="K159" s="54">
        <f t="shared" si="10"/>
        <v>320</v>
      </c>
      <c r="L159" s="387">
        <v>200.0</v>
      </c>
      <c r="M159" s="138" t="s">
        <v>73</v>
      </c>
      <c r="N159" s="46">
        <f t="shared" si="2"/>
        <v>120</v>
      </c>
      <c r="O159" s="369" t="b">
        <v>1</v>
      </c>
      <c r="P159" s="369" t="b">
        <v>1</v>
      </c>
      <c r="Q159" s="387">
        <v>120.0</v>
      </c>
      <c r="R159" s="138" t="s">
        <v>73</v>
      </c>
      <c r="S159" s="65">
        <f t="shared" si="13"/>
        <v>0</v>
      </c>
      <c r="T159" s="369" t="b">
        <v>1</v>
      </c>
      <c r="U159" s="388"/>
      <c r="V159" s="391" t="b">
        <v>0</v>
      </c>
      <c r="W159" s="391" t="b">
        <v>0</v>
      </c>
      <c r="X159" s="391" t="b">
        <v>0</v>
      </c>
    </row>
    <row r="160" ht="24.0" customHeight="1">
      <c r="A160" s="76" t="s">
        <v>377</v>
      </c>
      <c r="B160" s="383">
        <v>46114.0</v>
      </c>
      <c r="C160" s="384" t="s">
        <v>1125</v>
      </c>
      <c r="D160" s="116" t="s">
        <v>93</v>
      </c>
      <c r="E160" s="116" t="s">
        <v>94</v>
      </c>
      <c r="F160" s="388"/>
      <c r="G160" s="76" t="s">
        <v>161</v>
      </c>
      <c r="H160" s="385">
        <v>3.0</v>
      </c>
      <c r="I160" s="386">
        <f>IF(G160="", "", IFERROR(VLOOKUP(G160, Products!A:F, 4, FALSE), ""))
</f>
        <v>80</v>
      </c>
      <c r="J160" s="386">
        <v>60.0</v>
      </c>
      <c r="K160" s="54">
        <f t="shared" si="10"/>
        <v>180</v>
      </c>
      <c r="L160" s="387">
        <v>40.0</v>
      </c>
      <c r="M160" s="138" t="s">
        <v>73</v>
      </c>
      <c r="N160" s="46">
        <f t="shared" si="2"/>
        <v>140</v>
      </c>
      <c r="O160" s="369" t="b">
        <v>1</v>
      </c>
      <c r="P160" s="369" t="b">
        <v>1</v>
      </c>
      <c r="Q160" s="387">
        <v>140.0</v>
      </c>
      <c r="R160" s="138" t="s">
        <v>73</v>
      </c>
      <c r="S160" s="65">
        <f t="shared" si="13"/>
        <v>0</v>
      </c>
      <c r="T160" s="369" t="b">
        <v>1</v>
      </c>
      <c r="U160" s="388"/>
      <c r="V160" s="391" t="b">
        <v>0</v>
      </c>
      <c r="W160" s="391" t="b">
        <v>0</v>
      </c>
      <c r="X160" s="391" t="b">
        <v>0</v>
      </c>
    </row>
    <row r="161" ht="24.0" customHeight="1">
      <c r="A161" s="76" t="s">
        <v>389</v>
      </c>
      <c r="B161" s="383">
        <v>46114.0</v>
      </c>
      <c r="C161" s="384" t="s">
        <v>1138</v>
      </c>
      <c r="D161" s="91" t="s">
        <v>188</v>
      </c>
      <c r="E161" s="92"/>
      <c r="F161" s="388"/>
      <c r="G161" s="44" t="s">
        <v>168</v>
      </c>
      <c r="H161" s="385">
        <v>2.0</v>
      </c>
      <c r="I161" s="386">
        <f>IF(G161="", "", IFERROR(VLOOKUP(G161, Products!A:F, 4, FALSE), ""))
</f>
        <v>80</v>
      </c>
      <c r="J161" s="386">
        <v>0.0</v>
      </c>
      <c r="K161" s="54">
        <f t="shared" si="10"/>
        <v>160</v>
      </c>
      <c r="L161" s="387">
        <v>160.0</v>
      </c>
      <c r="M161" s="138" t="s">
        <v>110</v>
      </c>
      <c r="N161" s="46">
        <f t="shared" si="2"/>
        <v>0</v>
      </c>
      <c r="O161" s="369" t="b">
        <v>1</v>
      </c>
      <c r="P161" s="369" t="b">
        <v>1</v>
      </c>
      <c r="Q161" s="387"/>
      <c r="R161" s="42" t="s">
        <v>684</v>
      </c>
      <c r="S161" s="65">
        <f t="shared" si="13"/>
        <v>0</v>
      </c>
      <c r="T161" s="369" t="b">
        <v>1</v>
      </c>
      <c r="U161" s="44" t="s">
        <v>750</v>
      </c>
      <c r="V161" s="37" t="b">
        <v>0</v>
      </c>
      <c r="W161" s="37" t="b">
        <v>0</v>
      </c>
      <c r="X161" s="37" t="b">
        <v>0</v>
      </c>
    </row>
    <row r="162" ht="24.0" customHeight="1">
      <c r="A162" s="76" t="s">
        <v>373</v>
      </c>
      <c r="B162" s="383">
        <v>46114.0</v>
      </c>
      <c r="C162" s="384" t="s">
        <v>1145</v>
      </c>
      <c r="D162" s="116" t="s">
        <v>93</v>
      </c>
      <c r="E162" s="116" t="s">
        <v>156</v>
      </c>
      <c r="F162" s="138" t="s">
        <v>221</v>
      </c>
      <c r="G162" s="44" t="s">
        <v>168</v>
      </c>
      <c r="H162" s="385">
        <v>2.0</v>
      </c>
      <c r="I162" s="386">
        <f>IF(G162="", "", IFERROR(VLOOKUP(G162, Products!A:F, 4, FALSE), ""))
</f>
        <v>80</v>
      </c>
      <c r="J162" s="386">
        <v>0.0</v>
      </c>
      <c r="K162" s="54">
        <f t="shared" si="10"/>
        <v>160</v>
      </c>
      <c r="L162" s="387">
        <v>80.0</v>
      </c>
      <c r="M162" s="138" t="s">
        <v>73</v>
      </c>
      <c r="N162" s="46">
        <f t="shared" si="2"/>
        <v>80</v>
      </c>
      <c r="O162" s="369" t="b">
        <v>1</v>
      </c>
      <c r="P162" s="369" t="b">
        <v>1</v>
      </c>
      <c r="Q162" s="387">
        <v>80.0</v>
      </c>
      <c r="R162" s="138" t="s">
        <v>73</v>
      </c>
      <c r="S162" s="65">
        <f t="shared" si="13"/>
        <v>0</v>
      </c>
      <c r="T162" s="369" t="b">
        <v>1</v>
      </c>
      <c r="U162" s="388"/>
      <c r="V162" s="391" t="b">
        <v>0</v>
      </c>
      <c r="W162" s="391" t="b">
        <v>0</v>
      </c>
      <c r="X162" s="391" t="b">
        <v>0</v>
      </c>
    </row>
    <row r="163" ht="24.0" customHeight="1">
      <c r="A163" s="76" t="s">
        <v>1149</v>
      </c>
      <c r="B163" s="383">
        <v>46115.0</v>
      </c>
      <c r="C163" s="404" t="s">
        <v>1150</v>
      </c>
      <c r="D163" s="91" t="s">
        <v>188</v>
      </c>
      <c r="E163" s="92"/>
      <c r="F163" s="388"/>
      <c r="G163" s="44" t="s">
        <v>168</v>
      </c>
      <c r="H163" s="385">
        <v>4.0</v>
      </c>
      <c r="I163" s="386">
        <f>IF(G163="", "", IFERROR(VLOOKUP(G163, Products!A:F, 4, FALSE), ""))
</f>
        <v>80</v>
      </c>
      <c r="J163" s="386">
        <v>0.0</v>
      </c>
      <c r="K163" s="54">
        <f t="shared" si="10"/>
        <v>320</v>
      </c>
      <c r="L163" s="387">
        <v>150.0</v>
      </c>
      <c r="M163" s="138" t="s">
        <v>110</v>
      </c>
      <c r="N163" s="46">
        <f t="shared" si="2"/>
        <v>170</v>
      </c>
      <c r="O163" s="369" t="b">
        <v>1</v>
      </c>
      <c r="P163" s="369" t="b">
        <v>1</v>
      </c>
      <c r="Q163" s="387">
        <v>170.0</v>
      </c>
      <c r="R163" s="138" t="s">
        <v>684</v>
      </c>
      <c r="S163" s="65">
        <f t="shared" si="13"/>
        <v>0</v>
      </c>
      <c r="T163" s="369" t="b">
        <v>1</v>
      </c>
      <c r="U163" s="44" t="s">
        <v>750</v>
      </c>
      <c r="V163" s="37" t="b">
        <v>0</v>
      </c>
      <c r="W163" s="37" t="b">
        <v>0</v>
      </c>
      <c r="X163" s="37" t="b">
        <v>0</v>
      </c>
    </row>
    <row r="164" ht="24.0" customHeight="1">
      <c r="A164" s="402" t="s">
        <v>393</v>
      </c>
      <c r="B164" s="383">
        <v>46115.0</v>
      </c>
      <c r="C164" s="384" t="s">
        <v>1152</v>
      </c>
      <c r="D164" s="116" t="s">
        <v>93</v>
      </c>
      <c r="E164" s="116" t="s">
        <v>176</v>
      </c>
      <c r="F164" s="388"/>
      <c r="G164" s="44" t="s">
        <v>168</v>
      </c>
      <c r="H164" s="385">
        <v>5.0</v>
      </c>
      <c r="I164" s="386">
        <f>IF(G164="", "", IFERROR(VLOOKUP(G164, Products!A:F, 4, FALSE), ""))
</f>
        <v>80</v>
      </c>
      <c r="J164" s="405">
        <v>0.0</v>
      </c>
      <c r="K164" s="54">
        <f t="shared" si="10"/>
        <v>400</v>
      </c>
      <c r="L164" s="387">
        <v>175.0</v>
      </c>
      <c r="M164" s="138" t="s">
        <v>73</v>
      </c>
      <c r="N164" s="46">
        <f t="shared" si="2"/>
        <v>225</v>
      </c>
      <c r="O164" s="369" t="b">
        <v>1</v>
      </c>
      <c r="P164" s="369" t="b">
        <v>1</v>
      </c>
      <c r="Q164" s="387">
        <v>225.0</v>
      </c>
      <c r="R164" s="138" t="s">
        <v>115</v>
      </c>
      <c r="S164" s="65">
        <f t="shared" si="13"/>
        <v>0</v>
      </c>
      <c r="T164" s="369" t="b">
        <v>1</v>
      </c>
      <c r="U164" s="388"/>
      <c r="V164" s="391" t="b">
        <v>0</v>
      </c>
      <c r="W164" s="391" t="b">
        <v>0</v>
      </c>
      <c r="X164" s="391" t="b">
        <v>0</v>
      </c>
    </row>
    <row r="165" ht="24.0" customHeight="1">
      <c r="A165" s="402" t="s">
        <v>412</v>
      </c>
      <c r="B165" s="383">
        <v>46116.0</v>
      </c>
      <c r="C165" s="384" t="s">
        <v>1155</v>
      </c>
      <c r="D165" s="116" t="s">
        <v>243</v>
      </c>
      <c r="E165" s="399"/>
      <c r="F165" s="388"/>
      <c r="G165" s="44" t="s">
        <v>168</v>
      </c>
      <c r="H165" s="385">
        <v>4.0</v>
      </c>
      <c r="I165" s="386">
        <f>IF(G165="", "", IFERROR(VLOOKUP(G165, Products!A:F, 4, FALSE), ""))
</f>
        <v>80</v>
      </c>
      <c r="J165" s="386">
        <v>0.0</v>
      </c>
      <c r="K165" s="54">
        <f t="shared" si="10"/>
        <v>320</v>
      </c>
      <c r="L165" s="387">
        <v>160.0</v>
      </c>
      <c r="M165" s="138" t="s">
        <v>73</v>
      </c>
      <c r="N165" s="46">
        <f t="shared" si="2"/>
        <v>160</v>
      </c>
      <c r="O165" s="369" t="b">
        <v>1</v>
      </c>
      <c r="P165" s="369" t="b">
        <v>1</v>
      </c>
      <c r="Q165" s="387">
        <v>160.0</v>
      </c>
      <c r="R165" s="138" t="s">
        <v>684</v>
      </c>
      <c r="S165" s="65">
        <f t="shared" si="13"/>
        <v>0</v>
      </c>
      <c r="T165" s="369" t="b">
        <v>1</v>
      </c>
      <c r="U165" s="44" t="s">
        <v>750</v>
      </c>
      <c r="V165" s="37" t="b">
        <v>0</v>
      </c>
      <c r="W165" s="37" t="b">
        <v>0</v>
      </c>
      <c r="X165" s="37" t="b">
        <v>0</v>
      </c>
    </row>
    <row r="166" ht="24.0" customHeight="1">
      <c r="A166" s="402" t="s">
        <v>406</v>
      </c>
      <c r="B166" s="383">
        <v>46116.0</v>
      </c>
      <c r="C166" s="384" t="s">
        <v>1156</v>
      </c>
      <c r="D166" s="116" t="s">
        <v>195</v>
      </c>
      <c r="E166" s="399"/>
      <c r="F166" s="388"/>
      <c r="G166" s="44" t="s">
        <v>168</v>
      </c>
      <c r="H166" s="385">
        <v>13.0</v>
      </c>
      <c r="I166" s="386">
        <f>IF(G166="", "", IFERROR(VLOOKUP(G166, Products!A:F, 4, FALSE), ""))
</f>
        <v>80</v>
      </c>
      <c r="J166" s="386">
        <v>100.0</v>
      </c>
      <c r="K166" s="54">
        <f t="shared" si="10"/>
        <v>940</v>
      </c>
      <c r="L166" s="387">
        <v>940.0</v>
      </c>
      <c r="M166" s="138" t="s">
        <v>73</v>
      </c>
      <c r="N166" s="46">
        <f t="shared" si="2"/>
        <v>0</v>
      </c>
      <c r="O166" s="369" t="b">
        <v>1</v>
      </c>
      <c r="P166" s="369" t="b">
        <v>1</v>
      </c>
      <c r="Q166" s="387"/>
      <c r="R166" s="138" t="s">
        <v>684</v>
      </c>
      <c r="S166" s="65">
        <f t="shared" si="13"/>
        <v>0</v>
      </c>
      <c r="T166" s="369" t="b">
        <v>1</v>
      </c>
      <c r="U166" s="44" t="s">
        <v>750</v>
      </c>
      <c r="V166" s="37" t="b">
        <v>0</v>
      </c>
      <c r="W166" s="37" t="b">
        <v>0</v>
      </c>
      <c r="X166" s="37" t="b">
        <v>0</v>
      </c>
    </row>
    <row r="167" ht="24.0" customHeight="1">
      <c r="A167" s="402" t="s">
        <v>408</v>
      </c>
      <c r="B167" s="383">
        <v>46116.0</v>
      </c>
      <c r="C167" s="384" t="s">
        <v>1157</v>
      </c>
      <c r="D167" s="116" t="s">
        <v>243</v>
      </c>
      <c r="E167" s="116" t="s">
        <v>409</v>
      </c>
      <c r="F167" s="388"/>
      <c r="G167" s="44" t="s">
        <v>168</v>
      </c>
      <c r="H167" s="385">
        <v>10.0</v>
      </c>
      <c r="I167" s="386">
        <f>IF(G167="", "", IFERROR(VLOOKUP(G167, Products!A:F, 4, FALSE), ""))
</f>
        <v>80</v>
      </c>
      <c r="J167" s="386">
        <v>0.0</v>
      </c>
      <c r="K167" s="54">
        <f t="shared" si="10"/>
        <v>800</v>
      </c>
      <c r="L167" s="387">
        <v>400.0</v>
      </c>
      <c r="M167" s="138" t="s">
        <v>73</v>
      </c>
      <c r="N167" s="46">
        <f t="shared" si="2"/>
        <v>400</v>
      </c>
      <c r="O167" s="369" t="b">
        <v>1</v>
      </c>
      <c r="P167" s="369" t="b">
        <v>1</v>
      </c>
      <c r="Q167" s="387">
        <v>400.0</v>
      </c>
      <c r="R167" s="138" t="s">
        <v>684</v>
      </c>
      <c r="S167" s="65">
        <f t="shared" si="13"/>
        <v>0</v>
      </c>
      <c r="T167" s="369" t="b">
        <v>1</v>
      </c>
      <c r="U167" s="44" t="s">
        <v>750</v>
      </c>
      <c r="V167" s="37" t="b">
        <v>0</v>
      </c>
      <c r="W167" s="37" t="b">
        <v>0</v>
      </c>
      <c r="X167" s="37" t="b">
        <v>0</v>
      </c>
    </row>
    <row r="168" ht="31.5" customHeight="1">
      <c r="A168" s="402" t="s">
        <v>669</v>
      </c>
      <c r="B168" s="383">
        <v>46116.0</v>
      </c>
      <c r="C168" s="384" t="s">
        <v>1158</v>
      </c>
      <c r="D168" s="116" t="s">
        <v>53</v>
      </c>
      <c r="E168" s="399"/>
      <c r="F168" s="388"/>
      <c r="G168" s="44" t="s">
        <v>168</v>
      </c>
      <c r="H168" s="385">
        <v>10.0</v>
      </c>
      <c r="I168" s="386">
        <f>IF(G168="", "", IFERROR(VLOOKUP(G168, Products!A:F, 4, FALSE), ""))
</f>
        <v>80</v>
      </c>
      <c r="J168" s="386">
        <v>0.0</v>
      </c>
      <c r="K168" s="54">
        <f t="shared" si="10"/>
        <v>800</v>
      </c>
      <c r="L168" s="387">
        <v>400.0</v>
      </c>
      <c r="M168" s="138" t="s">
        <v>73</v>
      </c>
      <c r="N168" s="46">
        <f t="shared" si="2"/>
        <v>400</v>
      </c>
      <c r="O168" s="369" t="b">
        <v>1</v>
      </c>
      <c r="P168" s="369" t="b">
        <v>1</v>
      </c>
      <c r="Q168" s="387">
        <v>400.0</v>
      </c>
      <c r="R168" s="138" t="s">
        <v>684</v>
      </c>
      <c r="S168" s="65">
        <f t="shared" si="13"/>
        <v>0</v>
      </c>
      <c r="T168" s="369" t="b">
        <v>1</v>
      </c>
      <c r="U168" s="44" t="s">
        <v>750</v>
      </c>
      <c r="V168" s="37" t="b">
        <v>0</v>
      </c>
      <c r="W168" s="37" t="b">
        <v>0</v>
      </c>
      <c r="X168" s="37" t="b">
        <v>0</v>
      </c>
    </row>
    <row r="169" ht="24.0" customHeight="1">
      <c r="A169" s="402" t="s">
        <v>396</v>
      </c>
      <c r="B169" s="383">
        <v>46116.0</v>
      </c>
      <c r="C169" s="384" t="s">
        <v>1159</v>
      </c>
      <c r="D169" s="116" t="s">
        <v>93</v>
      </c>
      <c r="E169" s="116" t="s">
        <v>250</v>
      </c>
      <c r="F169" s="388"/>
      <c r="G169" s="44" t="s">
        <v>168</v>
      </c>
      <c r="H169" s="385">
        <v>7.0</v>
      </c>
      <c r="I169" s="386">
        <f>IF(G169="", "", IFERROR(VLOOKUP(G169, Products!A:F, 4, FALSE), ""))
</f>
        <v>80</v>
      </c>
      <c r="J169" s="386">
        <v>0.0</v>
      </c>
      <c r="K169" s="54">
        <f t="shared" si="10"/>
        <v>560</v>
      </c>
      <c r="L169" s="387">
        <v>330.0</v>
      </c>
      <c r="M169" s="138" t="s">
        <v>73</v>
      </c>
      <c r="N169" s="46">
        <f t="shared" si="2"/>
        <v>230</v>
      </c>
      <c r="O169" s="369" t="b">
        <v>1</v>
      </c>
      <c r="P169" s="369" t="b">
        <v>1</v>
      </c>
      <c r="Q169" s="387">
        <v>230.0</v>
      </c>
      <c r="R169" s="138" t="s">
        <v>684</v>
      </c>
      <c r="S169" s="65">
        <f t="shared" si="13"/>
        <v>0</v>
      </c>
      <c r="T169" s="369" t="b">
        <v>1</v>
      </c>
      <c r="U169" s="44" t="s">
        <v>750</v>
      </c>
      <c r="V169" s="37" t="b">
        <v>0</v>
      </c>
      <c r="W169" s="37" t="b">
        <v>0</v>
      </c>
      <c r="X169" s="37" t="b">
        <v>0</v>
      </c>
    </row>
    <row r="170" ht="24.0" customHeight="1">
      <c r="A170" s="76" t="s">
        <v>398</v>
      </c>
      <c r="B170" s="383">
        <v>46116.0</v>
      </c>
      <c r="C170" s="384" t="s">
        <v>1160</v>
      </c>
      <c r="D170" s="116" t="s">
        <v>195</v>
      </c>
      <c r="E170" s="399"/>
      <c r="F170" s="388"/>
      <c r="G170" s="76" t="s">
        <v>173</v>
      </c>
      <c r="H170" s="385">
        <v>50.0</v>
      </c>
      <c r="I170" s="386">
        <f>IF(G170="", "", IFERROR(VLOOKUP(G170, Products!A:F, 4, FALSE), ""))
</f>
        <v>15</v>
      </c>
      <c r="J170" s="386">
        <v>0.0</v>
      </c>
      <c r="K170" s="54">
        <f t="shared" si="10"/>
        <v>750</v>
      </c>
      <c r="L170" s="387">
        <v>400.0</v>
      </c>
      <c r="M170" s="138" t="s">
        <v>73</v>
      </c>
      <c r="N170" s="46">
        <f t="shared" si="2"/>
        <v>350</v>
      </c>
      <c r="O170" s="369" t="b">
        <v>1</v>
      </c>
      <c r="P170" s="369" t="b">
        <v>1</v>
      </c>
      <c r="Q170" s="387">
        <v>350.0</v>
      </c>
      <c r="R170" s="138" t="s">
        <v>684</v>
      </c>
      <c r="S170" s="65">
        <f t="shared" si="13"/>
        <v>0</v>
      </c>
      <c r="T170" s="369" t="b">
        <v>1</v>
      </c>
      <c r="U170" s="44" t="s">
        <v>750</v>
      </c>
      <c r="V170" s="37" t="b">
        <v>0</v>
      </c>
      <c r="W170" s="37" t="b">
        <v>0</v>
      </c>
      <c r="X170" s="37" t="b">
        <v>0</v>
      </c>
    </row>
    <row r="171" ht="24.0" customHeight="1">
      <c r="A171" s="76" t="s">
        <v>398</v>
      </c>
      <c r="B171" s="383">
        <v>46116.0</v>
      </c>
      <c r="C171" s="384" t="s">
        <v>1160</v>
      </c>
      <c r="D171" s="116" t="s">
        <v>195</v>
      </c>
      <c r="E171" s="399"/>
      <c r="F171" s="388"/>
      <c r="G171" s="44" t="s">
        <v>168</v>
      </c>
      <c r="H171" s="385">
        <v>2.0</v>
      </c>
      <c r="I171" s="386">
        <f>IF(G171="", "", IFERROR(VLOOKUP(G171, Products!A:F, 4, FALSE), ""))
</f>
        <v>80</v>
      </c>
      <c r="J171" s="386">
        <v>0.0</v>
      </c>
      <c r="K171" s="54">
        <f t="shared" si="10"/>
        <v>160</v>
      </c>
      <c r="L171" s="387">
        <v>55.0</v>
      </c>
      <c r="M171" s="138" t="s">
        <v>73</v>
      </c>
      <c r="N171" s="46">
        <f t="shared" si="2"/>
        <v>105</v>
      </c>
      <c r="O171" s="369" t="b">
        <v>1</v>
      </c>
      <c r="P171" s="369" t="b">
        <v>1</v>
      </c>
      <c r="Q171" s="387">
        <v>105.0</v>
      </c>
      <c r="R171" s="138" t="s">
        <v>684</v>
      </c>
      <c r="S171" s="65">
        <f t="shared" si="13"/>
        <v>0</v>
      </c>
      <c r="T171" s="369" t="b">
        <v>1</v>
      </c>
      <c r="U171" s="44" t="s">
        <v>750</v>
      </c>
      <c r="V171" s="37" t="b">
        <v>0</v>
      </c>
      <c r="W171" s="37" t="b">
        <v>0</v>
      </c>
      <c r="X171" s="37" t="b">
        <v>0</v>
      </c>
    </row>
    <row r="172" ht="24.0" customHeight="1">
      <c r="A172" s="402" t="s">
        <v>401</v>
      </c>
      <c r="B172" s="383">
        <v>46116.0</v>
      </c>
      <c r="C172" s="384" t="s">
        <v>1161</v>
      </c>
      <c r="D172" s="116" t="s">
        <v>204</v>
      </c>
      <c r="E172" s="399"/>
      <c r="F172" s="388"/>
      <c r="G172" s="44" t="s">
        <v>168</v>
      </c>
      <c r="H172" s="385">
        <v>1.0</v>
      </c>
      <c r="I172" s="386">
        <f>IF(G172="", "", IFERROR(VLOOKUP(G172, Products!A:F, 4, FALSE), ""))
</f>
        <v>80</v>
      </c>
      <c r="J172" s="386">
        <v>0.0</v>
      </c>
      <c r="K172" s="54">
        <f t="shared" si="10"/>
        <v>80</v>
      </c>
      <c r="L172" s="387">
        <v>40.0</v>
      </c>
      <c r="M172" s="138" t="s">
        <v>73</v>
      </c>
      <c r="N172" s="46">
        <f t="shared" si="2"/>
        <v>40</v>
      </c>
      <c r="O172" s="369" t="b">
        <v>1</v>
      </c>
      <c r="P172" s="369" t="b">
        <v>1</v>
      </c>
      <c r="Q172" s="387">
        <v>40.0</v>
      </c>
      <c r="R172" s="138" t="s">
        <v>684</v>
      </c>
      <c r="S172" s="65">
        <f t="shared" si="13"/>
        <v>0</v>
      </c>
      <c r="T172" s="369" t="b">
        <v>1</v>
      </c>
      <c r="U172" s="44" t="s">
        <v>750</v>
      </c>
      <c r="V172" s="37" t="b">
        <v>0</v>
      </c>
      <c r="W172" s="37" t="b">
        <v>0</v>
      </c>
      <c r="X172" s="37" t="b">
        <v>0</v>
      </c>
    </row>
    <row r="173" ht="24.0" customHeight="1">
      <c r="A173" s="76" t="s">
        <v>280</v>
      </c>
      <c r="B173" s="383">
        <v>46116.0</v>
      </c>
      <c r="C173" s="384" t="s">
        <v>1162</v>
      </c>
      <c r="D173" s="116" t="s">
        <v>93</v>
      </c>
      <c r="E173" s="116" t="s">
        <v>512</v>
      </c>
      <c r="F173" s="388"/>
      <c r="G173" s="44" t="s">
        <v>168</v>
      </c>
      <c r="H173" s="385">
        <v>4.0</v>
      </c>
      <c r="I173" s="386">
        <f>IF(G173="", "", IFERROR(VLOOKUP(G173, Products!A:F, 4, FALSE), ""))
</f>
        <v>80</v>
      </c>
      <c r="J173" s="386">
        <v>0.0</v>
      </c>
      <c r="K173" s="54">
        <f t="shared" si="10"/>
        <v>320</v>
      </c>
      <c r="L173" s="387">
        <v>288.0</v>
      </c>
      <c r="M173" s="138" t="s">
        <v>73</v>
      </c>
      <c r="N173" s="46">
        <f t="shared" si="2"/>
        <v>32</v>
      </c>
      <c r="O173" s="369" t="b">
        <v>1</v>
      </c>
      <c r="P173" s="369" t="b">
        <v>1</v>
      </c>
      <c r="Q173" s="387">
        <v>32.0</v>
      </c>
      <c r="R173" s="138" t="s">
        <v>684</v>
      </c>
      <c r="S173" s="65">
        <f t="shared" si="13"/>
        <v>0</v>
      </c>
      <c r="T173" s="369" t="b">
        <v>1</v>
      </c>
      <c r="U173" s="44" t="s">
        <v>750</v>
      </c>
      <c r="V173" s="37" t="b">
        <v>0</v>
      </c>
      <c r="W173" s="37" t="b">
        <v>0</v>
      </c>
      <c r="X173" s="37" t="b">
        <v>0</v>
      </c>
    </row>
    <row r="174" ht="24.0" customHeight="1">
      <c r="A174" s="402" t="s">
        <v>410</v>
      </c>
      <c r="B174" s="383">
        <v>46116.0</v>
      </c>
      <c r="C174" s="384" t="s">
        <v>1163</v>
      </c>
      <c r="D174" s="116" t="s">
        <v>93</v>
      </c>
      <c r="E174" s="116" t="s">
        <v>411</v>
      </c>
      <c r="F174" s="388"/>
      <c r="G174" s="44" t="s">
        <v>168</v>
      </c>
      <c r="H174" s="385">
        <v>2.0</v>
      </c>
      <c r="I174" s="386">
        <f>IF(G174="", "", IFERROR(VLOOKUP(G174, Products!A:F, 4, FALSE), ""))
</f>
        <v>80</v>
      </c>
      <c r="J174" s="386">
        <v>0.0</v>
      </c>
      <c r="K174" s="54">
        <f t="shared" si="10"/>
        <v>160</v>
      </c>
      <c r="L174" s="387">
        <v>80.0</v>
      </c>
      <c r="M174" s="138" t="s">
        <v>73</v>
      </c>
      <c r="N174" s="46">
        <f t="shared" si="2"/>
        <v>80</v>
      </c>
      <c r="O174" s="369" t="b">
        <v>1</v>
      </c>
      <c r="P174" s="369" t="b">
        <v>1</v>
      </c>
      <c r="Q174" s="387">
        <v>80.0</v>
      </c>
      <c r="R174" s="138" t="s">
        <v>684</v>
      </c>
      <c r="S174" s="65">
        <f t="shared" si="13"/>
        <v>0</v>
      </c>
      <c r="T174" s="369" t="b">
        <v>1</v>
      </c>
      <c r="U174" s="44" t="s">
        <v>750</v>
      </c>
      <c r="V174" s="37" t="b">
        <v>0</v>
      </c>
      <c r="W174" s="37" t="b">
        <v>0</v>
      </c>
      <c r="X174" s="37" t="b">
        <v>0</v>
      </c>
    </row>
    <row r="175" ht="24.0" customHeight="1">
      <c r="A175" s="76" t="s">
        <v>402</v>
      </c>
      <c r="B175" s="383">
        <v>46116.0</v>
      </c>
      <c r="C175" s="384" t="s">
        <v>1164</v>
      </c>
      <c r="D175" s="91" t="s">
        <v>188</v>
      </c>
      <c r="E175" s="92"/>
      <c r="F175" s="388"/>
      <c r="G175" s="44" t="s">
        <v>168</v>
      </c>
      <c r="H175" s="385">
        <v>15.0</v>
      </c>
      <c r="I175" s="386">
        <f>IF(G175="", "", IFERROR(VLOOKUP(G175, Products!A:F, 4, FALSE), ""))
</f>
        <v>80</v>
      </c>
      <c r="J175" s="386">
        <v>0.0</v>
      </c>
      <c r="K175" s="54">
        <f t="shared" si="10"/>
        <v>1200</v>
      </c>
      <c r="L175" s="387">
        <v>600.0</v>
      </c>
      <c r="M175" s="138" t="s">
        <v>73</v>
      </c>
      <c r="N175" s="46">
        <f t="shared" si="2"/>
        <v>600</v>
      </c>
      <c r="O175" s="369" t="b">
        <v>1</v>
      </c>
      <c r="P175" s="369" t="b">
        <v>1</v>
      </c>
      <c r="Q175" s="387">
        <v>600.0</v>
      </c>
      <c r="R175" s="138" t="s">
        <v>684</v>
      </c>
      <c r="S175" s="65">
        <f t="shared" si="13"/>
        <v>0</v>
      </c>
      <c r="T175" s="369" t="b">
        <v>1</v>
      </c>
      <c r="U175" s="44" t="s">
        <v>750</v>
      </c>
      <c r="V175" s="37" t="b">
        <v>0</v>
      </c>
      <c r="W175" s="37" t="b">
        <v>0</v>
      </c>
      <c r="X175" s="37" t="b">
        <v>0</v>
      </c>
    </row>
    <row r="176" ht="24.0" customHeight="1">
      <c r="A176" s="402" t="s">
        <v>317</v>
      </c>
      <c r="B176" s="383">
        <v>46116.0</v>
      </c>
      <c r="C176" s="384" t="s">
        <v>702</v>
      </c>
      <c r="D176" s="116" t="s">
        <v>243</v>
      </c>
      <c r="E176" s="399"/>
      <c r="F176" s="388"/>
      <c r="G176" s="44" t="s">
        <v>168</v>
      </c>
      <c r="H176" s="385">
        <v>4.0</v>
      </c>
      <c r="I176" s="386">
        <f>IF(G176="", "", IFERROR(VLOOKUP(G176, Products!A:F, 4, FALSE), ""))
</f>
        <v>80</v>
      </c>
      <c r="J176" s="386">
        <v>0.0</v>
      </c>
      <c r="K176" s="54">
        <f t="shared" si="10"/>
        <v>320</v>
      </c>
      <c r="L176" s="387">
        <v>155.0</v>
      </c>
      <c r="M176" s="138" t="s">
        <v>73</v>
      </c>
      <c r="N176" s="46">
        <f t="shared" si="2"/>
        <v>165</v>
      </c>
      <c r="O176" s="369" t="b">
        <v>1</v>
      </c>
      <c r="P176" s="369" t="b">
        <v>1</v>
      </c>
      <c r="Q176" s="387">
        <v>165.0</v>
      </c>
      <c r="R176" s="138" t="s">
        <v>684</v>
      </c>
      <c r="S176" s="65">
        <f t="shared" si="13"/>
        <v>0</v>
      </c>
      <c r="T176" s="369" t="b">
        <v>1</v>
      </c>
      <c r="U176" s="44" t="s">
        <v>750</v>
      </c>
      <c r="V176" s="37" t="b">
        <v>0</v>
      </c>
      <c r="W176" s="37" t="b">
        <v>0</v>
      </c>
      <c r="X176" s="37" t="b">
        <v>0</v>
      </c>
    </row>
    <row r="177" ht="24.0" customHeight="1">
      <c r="A177" s="402" t="s">
        <v>397</v>
      </c>
      <c r="B177" s="383">
        <v>46116.0</v>
      </c>
      <c r="C177" s="384" t="s">
        <v>1165</v>
      </c>
      <c r="D177" s="116" t="s">
        <v>93</v>
      </c>
      <c r="E177" s="116" t="s">
        <v>309</v>
      </c>
      <c r="F177" s="388"/>
      <c r="G177" s="76" t="s">
        <v>173</v>
      </c>
      <c r="H177" s="385">
        <v>100.0</v>
      </c>
      <c r="I177" s="386">
        <f>IF(G177="", "", IFERROR(VLOOKUP(G177, Products!A:F, 4, FALSE), ""))
</f>
        <v>15</v>
      </c>
      <c r="J177" s="386">
        <v>100.0</v>
      </c>
      <c r="K177" s="54">
        <f t="shared" si="10"/>
        <v>1400</v>
      </c>
      <c r="L177" s="387">
        <v>700.0</v>
      </c>
      <c r="M177" s="138" t="s">
        <v>73</v>
      </c>
      <c r="N177" s="46">
        <f t="shared" si="2"/>
        <v>700</v>
      </c>
      <c r="O177" s="369" t="b">
        <v>1</v>
      </c>
      <c r="P177" s="369" t="b">
        <v>1</v>
      </c>
      <c r="Q177" s="387">
        <v>700.0</v>
      </c>
      <c r="R177" s="138" t="s">
        <v>684</v>
      </c>
      <c r="S177" s="65">
        <f t="shared" si="13"/>
        <v>0</v>
      </c>
      <c r="T177" s="369" t="b">
        <v>1</v>
      </c>
      <c r="U177" s="44" t="s">
        <v>750</v>
      </c>
      <c r="V177" s="37" t="b">
        <v>0</v>
      </c>
      <c r="W177" s="37" t="b">
        <v>0</v>
      </c>
      <c r="X177" s="37" t="b">
        <v>0</v>
      </c>
    </row>
    <row r="178" ht="24.0" customHeight="1">
      <c r="A178" s="402" t="s">
        <v>397</v>
      </c>
      <c r="B178" s="383">
        <v>46116.0</v>
      </c>
      <c r="C178" s="384" t="s">
        <v>1165</v>
      </c>
      <c r="D178" s="116" t="s">
        <v>93</v>
      </c>
      <c r="E178" s="116" t="s">
        <v>309</v>
      </c>
      <c r="F178" s="388"/>
      <c r="G178" s="44" t="s">
        <v>168</v>
      </c>
      <c r="H178" s="385">
        <v>5.0</v>
      </c>
      <c r="I178" s="386">
        <f>IF(G178="", "", IFERROR(VLOOKUP(G178, Products!A:F, 4, FALSE), ""))
</f>
        <v>80</v>
      </c>
      <c r="J178" s="386">
        <v>0.0</v>
      </c>
      <c r="K178" s="54">
        <f t="shared" si="10"/>
        <v>400</v>
      </c>
      <c r="L178" s="387">
        <v>0.0</v>
      </c>
      <c r="M178" s="138" t="s">
        <v>73</v>
      </c>
      <c r="N178" s="46">
        <f t="shared" si="2"/>
        <v>400</v>
      </c>
      <c r="O178" s="369" t="b">
        <v>1</v>
      </c>
      <c r="P178" s="369" t="b">
        <v>1</v>
      </c>
      <c r="Q178" s="387">
        <v>400.0</v>
      </c>
      <c r="R178" s="138" t="s">
        <v>684</v>
      </c>
      <c r="S178" s="65">
        <f t="shared" si="13"/>
        <v>0</v>
      </c>
      <c r="T178" s="369" t="b">
        <v>1</v>
      </c>
      <c r="U178" s="44" t="s">
        <v>750</v>
      </c>
      <c r="V178" s="37" t="b">
        <v>0</v>
      </c>
      <c r="W178" s="37" t="b">
        <v>0</v>
      </c>
      <c r="X178" s="37" t="b">
        <v>0</v>
      </c>
    </row>
    <row r="179" ht="24.0" customHeight="1">
      <c r="A179" s="402" t="s">
        <v>404</v>
      </c>
      <c r="B179" s="383">
        <v>46116.0</v>
      </c>
      <c r="C179" s="384" t="s">
        <v>1170</v>
      </c>
      <c r="D179" s="91" t="s">
        <v>188</v>
      </c>
      <c r="E179" s="92"/>
      <c r="F179" s="388"/>
      <c r="G179" s="44" t="s">
        <v>168</v>
      </c>
      <c r="H179" s="385">
        <v>1.0</v>
      </c>
      <c r="I179" s="386">
        <f>IF(G179="", "", IFERROR(VLOOKUP(G179, Products!A:F, 4, FALSE), ""))
</f>
        <v>80</v>
      </c>
      <c r="J179" s="386">
        <v>0.0</v>
      </c>
      <c r="K179" s="54">
        <f t="shared" si="10"/>
        <v>80</v>
      </c>
      <c r="L179" s="387">
        <v>80.0</v>
      </c>
      <c r="M179" s="138" t="s">
        <v>73</v>
      </c>
      <c r="N179" s="46">
        <f t="shared" si="2"/>
        <v>0</v>
      </c>
      <c r="O179" s="369" t="b">
        <v>1</v>
      </c>
      <c r="P179" s="369" t="b">
        <v>1</v>
      </c>
      <c r="Q179" s="387"/>
      <c r="R179" s="388"/>
      <c r="S179" s="65">
        <f t="shared" si="13"/>
        <v>0</v>
      </c>
      <c r="T179" s="369" t="b">
        <v>1</v>
      </c>
      <c r="U179" s="411"/>
      <c r="V179" s="105" t="b">
        <v>0</v>
      </c>
      <c r="W179" s="105" t="b">
        <v>0</v>
      </c>
      <c r="X179" s="105" t="b">
        <v>0</v>
      </c>
    </row>
    <row r="180" ht="24.0" customHeight="1">
      <c r="A180" s="402" t="s">
        <v>407</v>
      </c>
      <c r="B180" s="383">
        <v>46116.0</v>
      </c>
      <c r="C180" s="384" t="s">
        <v>1175</v>
      </c>
      <c r="D180" s="116" t="s">
        <v>93</v>
      </c>
      <c r="E180" s="116" t="s">
        <v>658</v>
      </c>
      <c r="F180" s="388"/>
      <c r="G180" s="44" t="s">
        <v>168</v>
      </c>
      <c r="H180" s="385">
        <v>1.0</v>
      </c>
      <c r="I180" s="386">
        <f>IF(G180="", "", IFERROR(VLOOKUP(G180, Products!A:F, 4, FALSE), ""))
</f>
        <v>80</v>
      </c>
      <c r="J180" s="386">
        <v>0.0</v>
      </c>
      <c r="K180" s="54">
        <f t="shared" si="10"/>
        <v>80</v>
      </c>
      <c r="L180" s="387">
        <v>40.0</v>
      </c>
      <c r="M180" s="138" t="s">
        <v>73</v>
      </c>
      <c r="N180" s="46">
        <f t="shared" si="2"/>
        <v>40</v>
      </c>
      <c r="O180" s="369" t="b">
        <v>1</v>
      </c>
      <c r="P180" s="369" t="b">
        <v>1</v>
      </c>
      <c r="Q180" s="387">
        <v>40.0</v>
      </c>
      <c r="R180" s="138" t="s">
        <v>684</v>
      </c>
      <c r="S180" s="65">
        <f t="shared" si="13"/>
        <v>0</v>
      </c>
      <c r="T180" s="369" t="b">
        <v>1</v>
      </c>
      <c r="U180" s="44" t="s">
        <v>750</v>
      </c>
      <c r="V180" s="37" t="b">
        <v>0</v>
      </c>
      <c r="W180" s="37" t="b">
        <v>0</v>
      </c>
      <c r="X180" s="37" t="b">
        <v>0</v>
      </c>
    </row>
    <row r="181" ht="24.0" customHeight="1">
      <c r="A181" s="402" t="s">
        <v>394</v>
      </c>
      <c r="B181" s="383">
        <v>46116.0</v>
      </c>
      <c r="C181" s="384" t="s">
        <v>1190</v>
      </c>
      <c r="D181" s="394"/>
      <c r="E181" s="394"/>
      <c r="F181" s="388"/>
      <c r="G181" s="44" t="s">
        <v>168</v>
      </c>
      <c r="H181" s="385">
        <v>9.0</v>
      </c>
      <c r="I181" s="386">
        <f>IF(G181="", "", IFERROR(VLOOKUP(G181, Products!A:F, 4, FALSE), ""))
</f>
        <v>80</v>
      </c>
      <c r="J181" s="386">
        <v>0.0</v>
      </c>
      <c r="K181" s="54">
        <f t="shared" si="10"/>
        <v>720</v>
      </c>
      <c r="L181" s="387">
        <v>360.0</v>
      </c>
      <c r="M181" s="138" t="s">
        <v>73</v>
      </c>
      <c r="N181" s="46">
        <f t="shared" si="2"/>
        <v>360</v>
      </c>
      <c r="O181" s="369" t="b">
        <v>1</v>
      </c>
      <c r="P181" s="369" t="b">
        <v>1</v>
      </c>
      <c r="Q181" s="387">
        <v>360.0</v>
      </c>
      <c r="R181" s="138" t="s">
        <v>684</v>
      </c>
      <c r="S181" s="65">
        <f t="shared" si="13"/>
        <v>0</v>
      </c>
      <c r="T181" s="369" t="b">
        <v>1</v>
      </c>
      <c r="U181" s="44" t="s">
        <v>750</v>
      </c>
      <c r="V181" s="37" t="b">
        <v>0</v>
      </c>
      <c r="W181" s="37" t="b">
        <v>0</v>
      </c>
      <c r="X181" s="37" t="b">
        <v>0</v>
      </c>
    </row>
    <row r="182" ht="24.0" customHeight="1">
      <c r="A182" s="76" t="s">
        <v>395</v>
      </c>
      <c r="B182" s="383">
        <v>46116.0</v>
      </c>
      <c r="C182" s="384" t="s">
        <v>1191</v>
      </c>
      <c r="D182" s="116" t="s">
        <v>109</v>
      </c>
      <c r="E182" s="116" t="s">
        <v>111</v>
      </c>
      <c r="F182" s="388"/>
      <c r="G182" s="44" t="s">
        <v>168</v>
      </c>
      <c r="H182" s="385">
        <v>3.0</v>
      </c>
      <c r="I182" s="386">
        <f>IF(G182="", "", IFERROR(VLOOKUP(G182, Products!A:F, 4, FALSE), ""))
</f>
        <v>80</v>
      </c>
      <c r="J182" s="386">
        <v>0.0</v>
      </c>
      <c r="K182" s="54">
        <f t="shared" si="10"/>
        <v>240</v>
      </c>
      <c r="L182" s="387">
        <v>240.0</v>
      </c>
      <c r="M182" s="138" t="s">
        <v>73</v>
      </c>
      <c r="N182" s="46">
        <f t="shared" si="2"/>
        <v>0</v>
      </c>
      <c r="O182" s="369" t="b">
        <v>1</v>
      </c>
      <c r="P182" s="369" t="b">
        <v>1</v>
      </c>
      <c r="Q182" s="387"/>
      <c r="R182" s="42" t="s">
        <v>684</v>
      </c>
      <c r="S182" s="65">
        <f t="shared" si="13"/>
        <v>0</v>
      </c>
      <c r="T182" s="369" t="b">
        <v>1</v>
      </c>
      <c r="U182" s="44" t="s">
        <v>750</v>
      </c>
      <c r="V182" s="37" t="b">
        <v>0</v>
      </c>
      <c r="W182" s="37" t="b">
        <v>0</v>
      </c>
      <c r="X182" s="37" t="b">
        <v>0</v>
      </c>
    </row>
    <row r="183" ht="24.0" customHeight="1">
      <c r="A183" s="402" t="s">
        <v>399</v>
      </c>
      <c r="B183" s="420">
        <v>46116.0</v>
      </c>
      <c r="C183" s="384" t="s">
        <v>1192</v>
      </c>
      <c r="D183" s="116" t="s">
        <v>93</v>
      </c>
      <c r="E183" s="116" t="s">
        <v>148</v>
      </c>
      <c r="F183" s="388"/>
      <c r="G183" s="76" t="s">
        <v>161</v>
      </c>
      <c r="H183" s="385">
        <v>4.0</v>
      </c>
      <c r="I183" s="386">
        <f>IF(G183="", "", IFERROR(VLOOKUP(G183, Products!A:F, 4, FALSE), ""))
</f>
        <v>80</v>
      </c>
      <c r="J183" s="386">
        <v>0.0</v>
      </c>
      <c r="K183" s="54">
        <f t="shared" si="10"/>
        <v>320</v>
      </c>
      <c r="L183" s="387">
        <v>160.0</v>
      </c>
      <c r="M183" s="138" t="s">
        <v>110</v>
      </c>
      <c r="N183" s="46">
        <f t="shared" si="2"/>
        <v>160</v>
      </c>
      <c r="O183" s="369" t="b">
        <v>1</v>
      </c>
      <c r="P183" s="369" t="b">
        <v>1</v>
      </c>
      <c r="Q183" s="387">
        <v>160.0</v>
      </c>
      <c r="R183" s="138" t="s">
        <v>684</v>
      </c>
      <c r="S183" s="65">
        <f t="shared" si="13"/>
        <v>0</v>
      </c>
      <c r="T183" s="369" t="b">
        <v>1</v>
      </c>
      <c r="U183" s="44" t="s">
        <v>750</v>
      </c>
      <c r="V183" s="37" t="b">
        <v>0</v>
      </c>
      <c r="W183" s="37" t="b">
        <v>0</v>
      </c>
      <c r="X183" s="37" t="b">
        <v>0</v>
      </c>
    </row>
    <row r="184" ht="24.0" customHeight="1">
      <c r="A184" s="402" t="s">
        <v>400</v>
      </c>
      <c r="B184" s="383">
        <v>46116.0</v>
      </c>
      <c r="C184" s="384" t="s">
        <v>1193</v>
      </c>
      <c r="D184" s="91" t="s">
        <v>188</v>
      </c>
      <c r="E184" s="92"/>
      <c r="F184" s="388"/>
      <c r="G184" s="422" t="s">
        <v>173</v>
      </c>
      <c r="H184" s="385">
        <v>50.0</v>
      </c>
      <c r="I184" s="386">
        <f>IF(G184="", "", IFERROR(VLOOKUP(G184, Products!A:F, 4, FALSE), ""))
</f>
        <v>15</v>
      </c>
      <c r="J184" s="386">
        <v>0.0</v>
      </c>
      <c r="K184" s="54">
        <f t="shared" si="10"/>
        <v>750</v>
      </c>
      <c r="L184" s="387">
        <v>400.0</v>
      </c>
      <c r="M184" s="138" t="s">
        <v>73</v>
      </c>
      <c r="N184" s="46">
        <f t="shared" si="2"/>
        <v>350</v>
      </c>
      <c r="O184" s="369" t="b">
        <v>1</v>
      </c>
      <c r="P184" s="369" t="b">
        <v>1</v>
      </c>
      <c r="Q184" s="387">
        <v>350.0</v>
      </c>
      <c r="R184" s="138" t="s">
        <v>684</v>
      </c>
      <c r="S184" s="65">
        <f t="shared" si="13"/>
        <v>0</v>
      </c>
      <c r="T184" s="369" t="b">
        <v>1</v>
      </c>
      <c r="U184" s="44" t="s">
        <v>750</v>
      </c>
      <c r="V184" s="37" t="b">
        <v>0</v>
      </c>
      <c r="W184" s="37" t="b">
        <v>0</v>
      </c>
      <c r="X184" s="37" t="b">
        <v>0</v>
      </c>
    </row>
    <row r="185" ht="24.0" customHeight="1">
      <c r="A185" s="402" t="s">
        <v>415</v>
      </c>
      <c r="B185" s="383">
        <v>46117.0</v>
      </c>
      <c r="C185" s="384" t="s">
        <v>1194</v>
      </c>
      <c r="D185" s="116" t="s">
        <v>416</v>
      </c>
      <c r="E185" s="399"/>
      <c r="F185" s="388"/>
      <c r="G185" s="44" t="s">
        <v>168</v>
      </c>
      <c r="H185" s="385">
        <v>6.0</v>
      </c>
      <c r="I185" s="386">
        <f>IF(G185="", "", IFERROR(VLOOKUP(G185, Products!A:F, 4, FALSE), ""))
</f>
        <v>80</v>
      </c>
      <c r="J185" s="386">
        <v>0.0</v>
      </c>
      <c r="K185" s="54">
        <f t="shared" si="10"/>
        <v>480</v>
      </c>
      <c r="L185" s="387">
        <v>240.0</v>
      </c>
      <c r="M185" s="138" t="s">
        <v>73</v>
      </c>
      <c r="N185" s="46">
        <f t="shared" si="2"/>
        <v>240</v>
      </c>
      <c r="O185" s="369" t="b">
        <v>0</v>
      </c>
      <c r="P185" s="369" t="b">
        <v>1</v>
      </c>
      <c r="Q185" s="387">
        <v>240.0</v>
      </c>
      <c r="R185" s="138" t="s">
        <v>684</v>
      </c>
      <c r="S185" s="65">
        <f t="shared" si="13"/>
        <v>0</v>
      </c>
      <c r="T185" s="369" t="b">
        <v>1</v>
      </c>
      <c r="U185" s="27" t="s">
        <v>750</v>
      </c>
      <c r="V185" s="46" t="b">
        <v>0</v>
      </c>
      <c r="W185" s="46" t="b">
        <v>0</v>
      </c>
      <c r="X185" s="46" t="b">
        <v>0</v>
      </c>
    </row>
    <row r="186" ht="24.0" customHeight="1">
      <c r="A186" s="76" t="s">
        <v>422</v>
      </c>
      <c r="B186" s="383">
        <v>46117.0</v>
      </c>
      <c r="C186" s="384" t="s">
        <v>1195</v>
      </c>
      <c r="D186" s="116" t="s">
        <v>93</v>
      </c>
      <c r="E186" s="116" t="s">
        <v>379</v>
      </c>
      <c r="F186" s="388"/>
      <c r="G186" s="44" t="s">
        <v>168</v>
      </c>
      <c r="H186" s="385">
        <v>5.0</v>
      </c>
      <c r="I186" s="386">
        <f>IF(G186="", "", IFERROR(VLOOKUP(G186, Products!A:F, 4, FALSE), ""))
</f>
        <v>80</v>
      </c>
      <c r="J186" s="386">
        <v>0.0</v>
      </c>
      <c r="K186" s="54">
        <f t="shared" si="10"/>
        <v>400</v>
      </c>
      <c r="L186" s="387">
        <v>400.0</v>
      </c>
      <c r="M186" s="138" t="s">
        <v>73</v>
      </c>
      <c r="N186" s="46">
        <f t="shared" si="2"/>
        <v>0</v>
      </c>
      <c r="O186" s="369" t="b">
        <v>1</v>
      </c>
      <c r="P186" s="369" t="b">
        <v>1</v>
      </c>
      <c r="Q186" s="387"/>
      <c r="R186" s="388"/>
      <c r="S186" s="65">
        <f t="shared" si="13"/>
        <v>0</v>
      </c>
      <c r="T186" s="369" t="b">
        <v>1</v>
      </c>
      <c r="U186" s="411"/>
      <c r="V186" s="105" t="b">
        <v>0</v>
      </c>
      <c r="W186" s="105" t="b">
        <v>0</v>
      </c>
      <c r="X186" s="105" t="b">
        <v>0</v>
      </c>
    </row>
    <row r="187" ht="24.0" customHeight="1">
      <c r="A187" s="76" t="s">
        <v>420</v>
      </c>
      <c r="B187" s="383">
        <v>46117.0</v>
      </c>
      <c r="C187" s="384" t="s">
        <v>1196</v>
      </c>
      <c r="D187" s="116" t="s">
        <v>164</v>
      </c>
      <c r="E187" s="399"/>
      <c r="F187" s="388"/>
      <c r="G187" s="44" t="s">
        <v>168</v>
      </c>
      <c r="H187" s="385">
        <v>5.0</v>
      </c>
      <c r="I187" s="386">
        <f>IF(G187="", "", IFERROR(VLOOKUP(G187, Products!A:F, 4, FALSE), ""))
</f>
        <v>80</v>
      </c>
      <c r="J187" s="386">
        <v>0.0</v>
      </c>
      <c r="K187" s="54">
        <f t="shared" si="10"/>
        <v>400</v>
      </c>
      <c r="L187" s="387">
        <v>400.0</v>
      </c>
      <c r="M187" s="138" t="s">
        <v>73</v>
      </c>
      <c r="N187" s="46">
        <f t="shared" si="2"/>
        <v>0</v>
      </c>
      <c r="O187" s="369" t="b">
        <v>1</v>
      </c>
      <c r="P187" s="369" t="b">
        <v>1</v>
      </c>
      <c r="Q187" s="387"/>
      <c r="R187" s="388"/>
      <c r="S187" s="65">
        <f t="shared" si="13"/>
        <v>0</v>
      </c>
      <c r="T187" s="369" t="b">
        <v>1</v>
      </c>
      <c r="U187" s="411"/>
      <c r="V187" s="105" t="b">
        <v>0</v>
      </c>
      <c r="W187" s="105" t="b">
        <v>0</v>
      </c>
      <c r="X187" s="105" t="b">
        <v>0</v>
      </c>
    </row>
    <row r="188" ht="24.0" customHeight="1">
      <c r="A188" s="402" t="s">
        <v>414</v>
      </c>
      <c r="B188" s="383">
        <v>46117.0</v>
      </c>
      <c r="C188" s="384" t="s">
        <v>1197</v>
      </c>
      <c r="D188" s="116" t="s">
        <v>78</v>
      </c>
      <c r="E188" s="116" t="s">
        <v>239</v>
      </c>
      <c r="F188" s="388"/>
      <c r="G188" s="44" t="s">
        <v>168</v>
      </c>
      <c r="H188" s="385">
        <v>1.0</v>
      </c>
      <c r="I188" s="386">
        <f>IF(G188="", "", IFERROR(VLOOKUP(G188, Products!A:F, 4, FALSE), ""))
</f>
        <v>80</v>
      </c>
      <c r="J188" s="386">
        <v>0.0</v>
      </c>
      <c r="K188" s="54">
        <f t="shared" si="10"/>
        <v>80</v>
      </c>
      <c r="L188" s="387">
        <v>20.0</v>
      </c>
      <c r="M188" s="138" t="s">
        <v>73</v>
      </c>
      <c r="N188" s="46">
        <f t="shared" si="2"/>
        <v>60</v>
      </c>
      <c r="O188" s="369" t="b">
        <v>1</v>
      </c>
      <c r="P188" s="369" t="b">
        <v>1</v>
      </c>
      <c r="Q188" s="387">
        <v>60.0</v>
      </c>
      <c r="R188" s="138" t="s">
        <v>684</v>
      </c>
      <c r="S188" s="65">
        <f t="shared" si="13"/>
        <v>0</v>
      </c>
      <c r="T188" s="369" t="b">
        <v>1</v>
      </c>
      <c r="U188" s="44" t="s">
        <v>750</v>
      </c>
      <c r="V188" s="37" t="b">
        <v>0</v>
      </c>
      <c r="W188" s="37" t="b">
        <v>0</v>
      </c>
      <c r="X188" s="37" t="b">
        <v>0</v>
      </c>
    </row>
    <row r="189" ht="24.0" customHeight="1">
      <c r="A189" s="402" t="s">
        <v>414</v>
      </c>
      <c r="B189" s="383">
        <v>46117.0</v>
      </c>
      <c r="C189" s="384" t="s">
        <v>1197</v>
      </c>
      <c r="D189" s="116" t="s">
        <v>78</v>
      </c>
      <c r="E189" s="116" t="s">
        <v>239</v>
      </c>
      <c r="F189" s="388"/>
      <c r="G189" s="76" t="s">
        <v>161</v>
      </c>
      <c r="H189" s="385">
        <v>2.0</v>
      </c>
      <c r="I189" s="386">
        <f>IF(G189="", "", IFERROR(VLOOKUP(G189, Products!A:F, 4, FALSE), ""))
</f>
        <v>80</v>
      </c>
      <c r="J189" s="386">
        <v>0.0</v>
      </c>
      <c r="K189" s="54">
        <f t="shared" si="10"/>
        <v>160</v>
      </c>
      <c r="L189" s="387">
        <v>100.0</v>
      </c>
      <c r="M189" s="138" t="s">
        <v>73</v>
      </c>
      <c r="N189" s="46">
        <f t="shared" si="2"/>
        <v>60</v>
      </c>
      <c r="O189" s="369" t="b">
        <v>1</v>
      </c>
      <c r="P189" s="369" t="b">
        <v>1</v>
      </c>
      <c r="Q189" s="387">
        <v>60.0</v>
      </c>
      <c r="R189" s="138" t="s">
        <v>684</v>
      </c>
      <c r="S189" s="65">
        <f t="shared" si="13"/>
        <v>0</v>
      </c>
      <c r="T189" s="369" t="b">
        <v>1</v>
      </c>
      <c r="U189" s="44" t="s">
        <v>750</v>
      </c>
      <c r="V189" s="37" t="b">
        <v>0</v>
      </c>
      <c r="W189" s="37" t="b">
        <v>0</v>
      </c>
      <c r="X189" s="37" t="b">
        <v>0</v>
      </c>
    </row>
    <row r="190" ht="24.0" customHeight="1">
      <c r="A190" s="76" t="s">
        <v>424</v>
      </c>
      <c r="B190" s="383">
        <v>46117.0</v>
      </c>
      <c r="C190" s="384" t="s">
        <v>1198</v>
      </c>
      <c r="D190" s="116" t="s">
        <v>425</v>
      </c>
      <c r="E190" s="116" t="s">
        <v>426</v>
      </c>
      <c r="F190" s="388"/>
      <c r="G190" s="44" t="s">
        <v>168</v>
      </c>
      <c r="H190" s="385">
        <v>12.0</v>
      </c>
      <c r="I190" s="386">
        <f>IF(G190="", "", IFERROR(VLOOKUP(G190, Products!A:F, 4, FALSE), ""))
</f>
        <v>80</v>
      </c>
      <c r="J190" s="386">
        <v>0.0</v>
      </c>
      <c r="K190" s="54">
        <f t="shared" si="10"/>
        <v>960</v>
      </c>
      <c r="L190" s="387">
        <v>864.0</v>
      </c>
      <c r="M190" s="138" t="s">
        <v>73</v>
      </c>
      <c r="N190" s="46">
        <f t="shared" si="2"/>
        <v>96</v>
      </c>
      <c r="O190" s="369" t="b">
        <v>1</v>
      </c>
      <c r="P190" s="369" t="b">
        <v>1</v>
      </c>
      <c r="Q190" s="387">
        <v>96.0</v>
      </c>
      <c r="R190" s="138" t="s">
        <v>684</v>
      </c>
      <c r="S190" s="65">
        <f t="shared" si="13"/>
        <v>0</v>
      </c>
      <c r="T190" s="369" t="b">
        <v>1</v>
      </c>
      <c r="U190" s="44" t="s">
        <v>750</v>
      </c>
      <c r="V190" s="37" t="b">
        <v>0</v>
      </c>
      <c r="W190" s="37" t="b">
        <v>0</v>
      </c>
      <c r="X190" s="37" t="b">
        <v>0</v>
      </c>
    </row>
    <row r="191" ht="24.0" customHeight="1">
      <c r="A191" s="76" t="s">
        <v>314</v>
      </c>
      <c r="B191" s="383">
        <v>46117.0</v>
      </c>
      <c r="C191" s="384" t="s">
        <v>692</v>
      </c>
      <c r="D191" s="116" t="s">
        <v>53</v>
      </c>
      <c r="E191" s="116" t="s">
        <v>315</v>
      </c>
      <c r="F191" s="388"/>
      <c r="G191" s="44" t="s">
        <v>168</v>
      </c>
      <c r="H191" s="385">
        <v>10.0</v>
      </c>
      <c r="I191" s="386">
        <f>IF(G191="", "", IFERROR(VLOOKUP(G191, Products!A:F, 4, FALSE), ""))
</f>
        <v>80</v>
      </c>
      <c r="J191" s="386">
        <v>60.0</v>
      </c>
      <c r="K191" s="54">
        <f t="shared" si="10"/>
        <v>740</v>
      </c>
      <c r="L191" s="387">
        <v>340.0</v>
      </c>
      <c r="M191" s="138" t="s">
        <v>73</v>
      </c>
      <c r="N191" s="46">
        <f t="shared" si="2"/>
        <v>400</v>
      </c>
      <c r="O191" s="369" t="b">
        <v>1</v>
      </c>
      <c r="P191" s="369" t="b">
        <v>1</v>
      </c>
      <c r="Q191" s="387">
        <v>400.0</v>
      </c>
      <c r="R191" s="138" t="s">
        <v>73</v>
      </c>
      <c r="S191" s="65">
        <f t="shared" si="13"/>
        <v>0</v>
      </c>
      <c r="T191" s="369" t="b">
        <v>1</v>
      </c>
      <c r="U191" s="27" t="s">
        <v>1014</v>
      </c>
      <c r="V191" s="46" t="b">
        <v>0</v>
      </c>
      <c r="W191" s="46" t="b">
        <v>0</v>
      </c>
      <c r="X191" s="46" t="b">
        <v>0</v>
      </c>
    </row>
    <row r="192" ht="24.0" customHeight="1">
      <c r="A192" s="76" t="s">
        <v>423</v>
      </c>
      <c r="B192" s="383">
        <v>46117.0</v>
      </c>
      <c r="C192" s="384" t="s">
        <v>1199</v>
      </c>
      <c r="D192" s="116" t="s">
        <v>228</v>
      </c>
      <c r="E192" s="399"/>
      <c r="F192" s="388"/>
      <c r="G192" s="44" t="s">
        <v>168</v>
      </c>
      <c r="H192" s="385">
        <v>2.0</v>
      </c>
      <c r="I192" s="386">
        <f>IF(G192="", "", IFERROR(VLOOKUP(G192, Products!A:F, 4, FALSE), ""))
</f>
        <v>80</v>
      </c>
      <c r="J192" s="386">
        <v>0.0</v>
      </c>
      <c r="K192" s="54">
        <f t="shared" si="10"/>
        <v>160</v>
      </c>
      <c r="L192" s="387">
        <v>80.0</v>
      </c>
      <c r="M192" s="138" t="s">
        <v>73</v>
      </c>
      <c r="N192" s="46">
        <f t="shared" si="2"/>
        <v>80</v>
      </c>
      <c r="O192" s="369" t="b">
        <v>1</v>
      </c>
      <c r="P192" s="369" t="b">
        <v>1</v>
      </c>
      <c r="Q192" s="387">
        <v>80.0</v>
      </c>
      <c r="R192" s="138" t="s">
        <v>684</v>
      </c>
      <c r="S192" s="65">
        <f t="shared" si="13"/>
        <v>0</v>
      </c>
      <c r="T192" s="369" t="b">
        <v>1</v>
      </c>
      <c r="U192" s="44" t="s">
        <v>750</v>
      </c>
      <c r="V192" s="37" t="b">
        <v>0</v>
      </c>
      <c r="W192" s="37" t="b">
        <v>0</v>
      </c>
      <c r="X192" s="37" t="b">
        <v>0</v>
      </c>
    </row>
    <row r="193" ht="24.0" customHeight="1">
      <c r="A193" s="76" t="s">
        <v>340</v>
      </c>
      <c r="B193" s="383">
        <v>46117.0</v>
      </c>
      <c r="C193" s="384" t="s">
        <v>1200</v>
      </c>
      <c r="D193" s="116" t="s">
        <v>243</v>
      </c>
      <c r="E193" s="116" t="s">
        <v>565</v>
      </c>
      <c r="F193" s="388"/>
      <c r="G193" s="44" t="s">
        <v>168</v>
      </c>
      <c r="H193" s="385">
        <v>4.0</v>
      </c>
      <c r="I193" s="386">
        <f>IF(G193="", "", IFERROR(VLOOKUP(G193, Products!A:F, 4, FALSE), ""))
</f>
        <v>80</v>
      </c>
      <c r="J193" s="386">
        <v>0.0</v>
      </c>
      <c r="K193" s="54">
        <f t="shared" si="10"/>
        <v>320</v>
      </c>
      <c r="L193" s="387">
        <v>150.0</v>
      </c>
      <c r="M193" s="138" t="s">
        <v>73</v>
      </c>
      <c r="N193" s="46">
        <f t="shared" si="2"/>
        <v>170</v>
      </c>
      <c r="O193" s="369" t="b">
        <v>1</v>
      </c>
      <c r="P193" s="369" t="b">
        <v>1</v>
      </c>
      <c r="Q193" s="387">
        <v>170.0</v>
      </c>
      <c r="R193" s="138" t="s">
        <v>684</v>
      </c>
      <c r="S193" s="65">
        <f t="shared" si="13"/>
        <v>0</v>
      </c>
      <c r="T193" s="369" t="b">
        <v>1</v>
      </c>
      <c r="U193" s="44" t="s">
        <v>750</v>
      </c>
      <c r="V193" s="37" t="b">
        <v>0</v>
      </c>
      <c r="W193" s="37" t="b">
        <v>0</v>
      </c>
      <c r="X193" s="37" t="b">
        <v>0</v>
      </c>
    </row>
    <row r="194" ht="24.0" customHeight="1">
      <c r="A194" s="76" t="s">
        <v>418</v>
      </c>
      <c r="B194" s="383">
        <v>46117.0</v>
      </c>
      <c r="C194" s="384" t="s">
        <v>1201</v>
      </c>
      <c r="D194" s="116" t="s">
        <v>93</v>
      </c>
      <c r="E194" s="116" t="s">
        <v>176</v>
      </c>
      <c r="F194" s="388"/>
      <c r="G194" s="44" t="s">
        <v>168</v>
      </c>
      <c r="H194" s="385">
        <v>5.0</v>
      </c>
      <c r="I194" s="386">
        <f>IF(G194="", "", IFERROR(VLOOKUP(G194, Products!A:F, 4, FALSE), ""))
</f>
        <v>80</v>
      </c>
      <c r="J194" s="386">
        <v>0.0</v>
      </c>
      <c r="K194" s="54">
        <f t="shared" si="10"/>
        <v>400</v>
      </c>
      <c r="L194" s="387">
        <v>200.0</v>
      </c>
      <c r="M194" s="138" t="s">
        <v>73</v>
      </c>
      <c r="N194" s="46">
        <f t="shared" si="2"/>
        <v>200</v>
      </c>
      <c r="O194" s="369" t="b">
        <v>1</v>
      </c>
      <c r="P194" s="369" t="b">
        <v>1</v>
      </c>
      <c r="Q194" s="387">
        <v>200.0</v>
      </c>
      <c r="R194" s="138" t="s">
        <v>684</v>
      </c>
      <c r="S194" s="65">
        <f t="shared" si="13"/>
        <v>0</v>
      </c>
      <c r="T194" s="369" t="b">
        <v>1</v>
      </c>
      <c r="U194" s="44" t="s">
        <v>750</v>
      </c>
      <c r="V194" s="37" t="b">
        <v>0</v>
      </c>
      <c r="W194" s="37" t="b">
        <v>0</v>
      </c>
      <c r="X194" s="37" t="b">
        <v>0</v>
      </c>
    </row>
    <row r="195" ht="24.0" customHeight="1">
      <c r="A195" s="76" t="s">
        <v>421</v>
      </c>
      <c r="B195" s="383">
        <v>46117.0</v>
      </c>
      <c r="C195" s="384" t="s">
        <v>1202</v>
      </c>
      <c r="D195" s="116" t="s">
        <v>256</v>
      </c>
      <c r="E195" s="116" t="s">
        <v>287</v>
      </c>
      <c r="F195" s="388"/>
      <c r="G195" s="76" t="s">
        <v>161</v>
      </c>
      <c r="H195" s="385">
        <v>5.0</v>
      </c>
      <c r="I195" s="386">
        <f>IF(G195="", "", IFERROR(VLOOKUP(G195, Products!A:F, 4, FALSE), ""))
</f>
        <v>80</v>
      </c>
      <c r="J195" s="386">
        <v>0.0</v>
      </c>
      <c r="K195" s="54">
        <f t="shared" si="10"/>
        <v>400</v>
      </c>
      <c r="L195" s="387">
        <v>200.0</v>
      </c>
      <c r="M195" s="138" t="s">
        <v>73</v>
      </c>
      <c r="N195" s="46">
        <f t="shared" si="2"/>
        <v>200</v>
      </c>
      <c r="O195" s="369" t="b">
        <v>1</v>
      </c>
      <c r="P195" s="369" t="b">
        <v>1</v>
      </c>
      <c r="Q195" s="387">
        <v>200.0</v>
      </c>
      <c r="R195" s="138" t="s">
        <v>684</v>
      </c>
      <c r="S195" s="65">
        <f t="shared" si="13"/>
        <v>0</v>
      </c>
      <c r="T195" s="369" t="b">
        <v>1</v>
      </c>
      <c r="U195" s="44" t="s">
        <v>750</v>
      </c>
      <c r="V195" s="37" t="b">
        <v>0</v>
      </c>
      <c r="W195" s="37" t="b">
        <v>0</v>
      </c>
      <c r="X195" s="37" t="b">
        <v>0</v>
      </c>
    </row>
    <row r="196" ht="24.0" customHeight="1">
      <c r="A196" s="76" t="s">
        <v>419</v>
      </c>
      <c r="B196" s="383">
        <v>46117.0</v>
      </c>
      <c r="C196" s="384" t="s">
        <v>1203</v>
      </c>
      <c r="D196" s="116" t="s">
        <v>78</v>
      </c>
      <c r="E196" s="116" t="s">
        <v>574</v>
      </c>
      <c r="F196" s="388"/>
      <c r="G196" s="44" t="s">
        <v>168</v>
      </c>
      <c r="H196" s="385">
        <v>4.0</v>
      </c>
      <c r="I196" s="386">
        <f>IF(G196="", "", IFERROR(VLOOKUP(G196, Products!A:F, 4, FALSE), ""))
</f>
        <v>80</v>
      </c>
      <c r="J196" s="386">
        <v>0.0</v>
      </c>
      <c r="K196" s="54">
        <f t="shared" si="10"/>
        <v>320</v>
      </c>
      <c r="L196" s="387">
        <v>320.0</v>
      </c>
      <c r="M196" s="138" t="s">
        <v>73</v>
      </c>
      <c r="N196" s="46">
        <f t="shared" si="2"/>
        <v>0</v>
      </c>
      <c r="O196" s="369" t="b">
        <v>1</v>
      </c>
      <c r="P196" s="369" t="b">
        <v>1</v>
      </c>
      <c r="Q196" s="387"/>
      <c r="R196" s="388"/>
      <c r="S196" s="65">
        <f t="shared" si="13"/>
        <v>0</v>
      </c>
      <c r="T196" s="369" t="b">
        <v>1</v>
      </c>
      <c r="U196" s="411"/>
      <c r="V196" s="105" t="b">
        <v>0</v>
      </c>
      <c r="W196" s="105" t="b">
        <v>0</v>
      </c>
      <c r="X196" s="105" t="b">
        <v>0</v>
      </c>
    </row>
    <row r="197" ht="24.0" customHeight="1">
      <c r="A197" s="76" t="s">
        <v>297</v>
      </c>
      <c r="B197" s="383">
        <v>46117.0</v>
      </c>
      <c r="C197" s="384" t="s">
        <v>1204</v>
      </c>
      <c r="D197" s="116" t="s">
        <v>93</v>
      </c>
      <c r="E197" s="116" t="s">
        <v>156</v>
      </c>
      <c r="F197" s="388"/>
      <c r="G197" s="44" t="s">
        <v>168</v>
      </c>
      <c r="H197" s="385">
        <v>12.0</v>
      </c>
      <c r="I197" s="386">
        <f>IF(G197="", "", IFERROR(VLOOKUP(G197, Products!A:F, 4, FALSE), ""))
</f>
        <v>80</v>
      </c>
      <c r="J197" s="386">
        <v>0.0</v>
      </c>
      <c r="K197" s="54">
        <f t="shared" si="10"/>
        <v>960</v>
      </c>
      <c r="L197" s="387">
        <v>500.0</v>
      </c>
      <c r="M197" s="138" t="s">
        <v>73</v>
      </c>
      <c r="N197" s="46">
        <f t="shared" si="2"/>
        <v>460</v>
      </c>
      <c r="O197" s="369" t="b">
        <v>1</v>
      </c>
      <c r="P197" s="369" t="b">
        <v>1</v>
      </c>
      <c r="Q197" s="387">
        <v>460.0</v>
      </c>
      <c r="R197" s="138" t="s">
        <v>684</v>
      </c>
      <c r="S197" s="65">
        <f t="shared" si="13"/>
        <v>0</v>
      </c>
      <c r="T197" s="369" t="b">
        <v>1</v>
      </c>
      <c r="U197" s="44" t="s">
        <v>750</v>
      </c>
      <c r="V197" s="37" t="b">
        <v>0</v>
      </c>
      <c r="W197" s="37" t="b">
        <v>0</v>
      </c>
      <c r="X197" s="37" t="b">
        <v>0</v>
      </c>
    </row>
    <row r="198" ht="24.0" customHeight="1">
      <c r="A198" s="402" t="s">
        <v>413</v>
      </c>
      <c r="B198" s="383">
        <v>46117.0</v>
      </c>
      <c r="C198" s="384" t="s">
        <v>1205</v>
      </c>
      <c r="D198" s="116" t="s">
        <v>93</v>
      </c>
      <c r="E198" s="116" t="s">
        <v>156</v>
      </c>
      <c r="F198" s="388"/>
      <c r="G198" s="44" t="s">
        <v>168</v>
      </c>
      <c r="H198" s="385">
        <v>8.0</v>
      </c>
      <c r="I198" s="386">
        <f>IF(G198="", "", IFERROR(VLOOKUP(G198, Products!A:F, 4, FALSE), ""))
</f>
        <v>80</v>
      </c>
      <c r="J198" s="386">
        <v>0.0</v>
      </c>
      <c r="K198" s="54">
        <f t="shared" si="10"/>
        <v>640</v>
      </c>
      <c r="L198" s="387">
        <v>300.0</v>
      </c>
      <c r="M198" s="138" t="s">
        <v>73</v>
      </c>
      <c r="N198" s="46">
        <f t="shared" si="2"/>
        <v>340</v>
      </c>
      <c r="O198" s="369" t="b">
        <v>1</v>
      </c>
      <c r="P198" s="369" t="b">
        <v>1</v>
      </c>
      <c r="Q198" s="387">
        <v>340.0</v>
      </c>
      <c r="R198" s="138" t="s">
        <v>684</v>
      </c>
      <c r="S198" s="65">
        <f t="shared" si="13"/>
        <v>0</v>
      </c>
      <c r="T198" s="369" t="b">
        <v>1</v>
      </c>
      <c r="U198" s="44" t="s">
        <v>750</v>
      </c>
      <c r="V198" s="37" t="b">
        <v>0</v>
      </c>
      <c r="W198" s="37" t="b">
        <v>0</v>
      </c>
      <c r="X198" s="37" t="b">
        <v>0</v>
      </c>
    </row>
    <row r="199" ht="24.0" customHeight="1">
      <c r="A199" s="402" t="s">
        <v>417</v>
      </c>
      <c r="B199" s="383">
        <v>46117.0</v>
      </c>
      <c r="C199" s="384" t="s">
        <v>1206</v>
      </c>
      <c r="D199" s="116" t="s">
        <v>78</v>
      </c>
      <c r="E199" s="399"/>
      <c r="F199" s="388"/>
      <c r="G199" s="44" t="s">
        <v>168</v>
      </c>
      <c r="H199" s="385">
        <v>4.0</v>
      </c>
      <c r="I199" s="386">
        <f>IF(G199="", "", IFERROR(VLOOKUP(G199, Products!A:F, 4, FALSE), ""))
</f>
        <v>80</v>
      </c>
      <c r="J199" s="386">
        <v>0.0</v>
      </c>
      <c r="K199" s="54">
        <f t="shared" si="10"/>
        <v>320</v>
      </c>
      <c r="L199" s="387">
        <v>160.0</v>
      </c>
      <c r="M199" s="138" t="s">
        <v>73</v>
      </c>
      <c r="N199" s="46">
        <f t="shared" si="2"/>
        <v>160</v>
      </c>
      <c r="O199" s="369" t="b">
        <v>1</v>
      </c>
      <c r="P199" s="369" t="b">
        <v>1</v>
      </c>
      <c r="Q199" s="387">
        <v>160.0</v>
      </c>
      <c r="R199" s="138" t="s">
        <v>684</v>
      </c>
      <c r="S199" s="65">
        <f t="shared" si="13"/>
        <v>0</v>
      </c>
      <c r="T199" s="369" t="b">
        <v>1</v>
      </c>
      <c r="U199" s="44" t="s">
        <v>750</v>
      </c>
      <c r="V199" s="37" t="b">
        <v>0</v>
      </c>
      <c r="W199" s="37" t="b">
        <v>0</v>
      </c>
      <c r="X199" s="37" t="b">
        <v>0</v>
      </c>
    </row>
    <row r="200" ht="24.0" customHeight="1">
      <c r="A200" s="76" t="s">
        <v>433</v>
      </c>
      <c r="B200" s="383">
        <v>46119.0</v>
      </c>
      <c r="C200" s="384" t="s">
        <v>1207</v>
      </c>
      <c r="D200" s="116" t="s">
        <v>93</v>
      </c>
      <c r="E200" s="116" t="s">
        <v>156</v>
      </c>
      <c r="F200" s="388"/>
      <c r="G200" s="44" t="s">
        <v>168</v>
      </c>
      <c r="H200" s="385">
        <v>3.0</v>
      </c>
      <c r="I200" s="386">
        <f>IF(G200="", "", IFERROR(VLOOKUP(G200, Products!A:F, 4, FALSE), ""))
</f>
        <v>80</v>
      </c>
      <c r="J200" s="386">
        <v>0.0</v>
      </c>
      <c r="K200" s="54">
        <f t="shared" si="10"/>
        <v>240</v>
      </c>
      <c r="L200" s="387">
        <v>120.0</v>
      </c>
      <c r="M200" s="138" t="s">
        <v>73</v>
      </c>
      <c r="N200" s="46">
        <f t="shared" si="2"/>
        <v>120</v>
      </c>
      <c r="O200" s="369" t="b">
        <v>1</v>
      </c>
      <c r="P200" s="369" t="b">
        <v>1</v>
      </c>
      <c r="Q200" s="387">
        <v>120.0</v>
      </c>
      <c r="R200" s="138" t="s">
        <v>684</v>
      </c>
      <c r="S200" s="65">
        <f t="shared" si="13"/>
        <v>0</v>
      </c>
      <c r="T200" s="369" t="b">
        <v>1</v>
      </c>
      <c r="U200" s="44" t="s">
        <v>750</v>
      </c>
      <c r="V200" s="37" t="b">
        <v>0</v>
      </c>
      <c r="W200" s="37" t="b">
        <v>0</v>
      </c>
      <c r="X200" s="37" t="b">
        <v>0</v>
      </c>
    </row>
    <row r="201" ht="24.0" customHeight="1">
      <c r="A201" s="76" t="s">
        <v>672</v>
      </c>
      <c r="B201" s="383">
        <v>46119.0</v>
      </c>
      <c r="C201" s="384" t="s">
        <v>1208</v>
      </c>
      <c r="D201" s="116" t="s">
        <v>109</v>
      </c>
      <c r="E201" s="399"/>
      <c r="F201" s="388"/>
      <c r="G201" s="44" t="s">
        <v>168</v>
      </c>
      <c r="H201" s="385">
        <v>4.0</v>
      </c>
      <c r="I201" s="386">
        <f>IF(G201="", "", IFERROR(VLOOKUP(G201, Products!A:F, 4, FALSE), ""))
</f>
        <v>80</v>
      </c>
      <c r="J201" s="386">
        <v>0.0</v>
      </c>
      <c r="K201" s="54">
        <f t="shared" si="10"/>
        <v>320</v>
      </c>
      <c r="L201" s="387">
        <v>160.0</v>
      </c>
      <c r="M201" s="138" t="s">
        <v>73</v>
      </c>
      <c r="N201" s="46">
        <f t="shared" si="2"/>
        <v>160</v>
      </c>
      <c r="O201" s="369" t="b">
        <v>1</v>
      </c>
      <c r="P201" s="369" t="b">
        <v>1</v>
      </c>
      <c r="Q201" s="387">
        <v>160.0</v>
      </c>
      <c r="R201" s="138" t="s">
        <v>684</v>
      </c>
      <c r="S201" s="65">
        <f t="shared" si="13"/>
        <v>0</v>
      </c>
      <c r="T201" s="369" t="b">
        <v>1</v>
      </c>
      <c r="U201" s="44" t="s">
        <v>750</v>
      </c>
      <c r="V201" s="37" t="b">
        <v>0</v>
      </c>
      <c r="W201" s="37" t="b">
        <v>0</v>
      </c>
      <c r="X201" s="37" t="b">
        <v>0</v>
      </c>
    </row>
    <row r="202" ht="24.0" customHeight="1">
      <c r="A202" s="76" t="s">
        <v>432</v>
      </c>
      <c r="B202" s="383">
        <v>46119.0</v>
      </c>
      <c r="C202" s="384" t="s">
        <v>1209</v>
      </c>
      <c r="D202" s="116" t="s">
        <v>93</v>
      </c>
      <c r="E202" s="116" t="s">
        <v>241</v>
      </c>
      <c r="F202" s="388"/>
      <c r="G202" s="44" t="s">
        <v>168</v>
      </c>
      <c r="H202" s="385">
        <v>12.0</v>
      </c>
      <c r="I202" s="386">
        <f>IF(G202="", "", IFERROR(VLOOKUP(G202, Products!A:F, 4, FALSE), ""))
</f>
        <v>80</v>
      </c>
      <c r="J202" s="386">
        <v>0.0</v>
      </c>
      <c r="K202" s="54">
        <f t="shared" si="10"/>
        <v>960</v>
      </c>
      <c r="L202" s="387">
        <v>500.0</v>
      </c>
      <c r="M202" s="138" t="s">
        <v>73</v>
      </c>
      <c r="N202" s="46">
        <f t="shared" si="2"/>
        <v>460</v>
      </c>
      <c r="O202" s="369" t="b">
        <v>1</v>
      </c>
      <c r="P202" s="369" t="b">
        <v>1</v>
      </c>
      <c r="Q202" s="387">
        <v>460.0</v>
      </c>
      <c r="R202" s="138" t="s">
        <v>684</v>
      </c>
      <c r="S202" s="65">
        <f t="shared" si="13"/>
        <v>0</v>
      </c>
      <c r="T202" s="369" t="b">
        <v>1</v>
      </c>
      <c r="U202" s="44" t="s">
        <v>750</v>
      </c>
      <c r="V202" s="37" t="b">
        <v>0</v>
      </c>
      <c r="W202" s="37" t="b">
        <v>0</v>
      </c>
      <c r="X202" s="37" t="b">
        <v>0</v>
      </c>
    </row>
    <row r="203" ht="24.0" customHeight="1">
      <c r="A203" s="76" t="s">
        <v>670</v>
      </c>
      <c r="B203" s="383">
        <v>46119.0</v>
      </c>
      <c r="C203" s="384" t="s">
        <v>1210</v>
      </c>
      <c r="D203" s="91" t="s">
        <v>188</v>
      </c>
      <c r="E203" s="399"/>
      <c r="F203" s="388"/>
      <c r="G203" s="44" t="s">
        <v>168</v>
      </c>
      <c r="H203" s="385">
        <v>5.0</v>
      </c>
      <c r="I203" s="386">
        <f>IF(G203="", "", IFERROR(VLOOKUP(G203, Products!A:F, 4, FALSE), ""))
</f>
        <v>80</v>
      </c>
      <c r="J203" s="386">
        <v>0.0</v>
      </c>
      <c r="K203" s="54">
        <f t="shared" si="10"/>
        <v>400</v>
      </c>
      <c r="L203" s="387">
        <v>400.0</v>
      </c>
      <c r="M203" s="138" t="s">
        <v>73</v>
      </c>
      <c r="N203" s="46">
        <f t="shared" si="2"/>
        <v>0</v>
      </c>
      <c r="O203" s="369" t="b">
        <v>1</v>
      </c>
      <c r="P203" s="369" t="b">
        <v>1</v>
      </c>
      <c r="Q203" s="387"/>
      <c r="R203" s="388"/>
      <c r="S203" s="65">
        <f t="shared" si="13"/>
        <v>0</v>
      </c>
      <c r="T203" s="369" t="b">
        <v>1</v>
      </c>
      <c r="U203" s="388"/>
      <c r="V203" s="391" t="b">
        <v>0</v>
      </c>
      <c r="W203" s="391" t="b">
        <v>0</v>
      </c>
      <c r="X203" s="391" t="b">
        <v>0</v>
      </c>
    </row>
    <row r="204" ht="24.0" customHeight="1">
      <c r="A204" s="76" t="s">
        <v>434</v>
      </c>
      <c r="B204" s="383">
        <v>46119.0</v>
      </c>
      <c r="C204" s="384" t="s">
        <v>1211</v>
      </c>
      <c r="D204" s="116" t="s">
        <v>78</v>
      </c>
      <c r="E204" s="399"/>
      <c r="F204" s="388"/>
      <c r="G204" s="44" t="s">
        <v>168</v>
      </c>
      <c r="H204" s="385">
        <v>4.0</v>
      </c>
      <c r="I204" s="386">
        <f>IF(G204="", "", IFERROR(VLOOKUP(G204, Products!A:F, 4, FALSE), ""))
</f>
        <v>80</v>
      </c>
      <c r="J204" s="386">
        <v>0.0</v>
      </c>
      <c r="K204" s="54">
        <f t="shared" si="10"/>
        <v>320</v>
      </c>
      <c r="L204" s="387">
        <v>160.0</v>
      </c>
      <c r="M204" s="138" t="s">
        <v>73</v>
      </c>
      <c r="N204" s="46">
        <f t="shared" si="2"/>
        <v>160</v>
      </c>
      <c r="O204" s="369" t="b">
        <v>1</v>
      </c>
      <c r="P204" s="369" t="b">
        <v>1</v>
      </c>
      <c r="Q204" s="387">
        <v>160.0</v>
      </c>
      <c r="R204" s="138" t="s">
        <v>73</v>
      </c>
      <c r="S204" s="65">
        <f t="shared" si="13"/>
        <v>0</v>
      </c>
      <c r="T204" s="369" t="b">
        <v>1</v>
      </c>
      <c r="U204" s="388"/>
      <c r="V204" s="391" t="b">
        <v>0</v>
      </c>
      <c r="W204" s="391" t="b">
        <v>0</v>
      </c>
      <c r="X204" s="391" t="b">
        <v>0</v>
      </c>
    </row>
    <row r="205" ht="24.0" customHeight="1">
      <c r="A205" s="76" t="s">
        <v>427</v>
      </c>
      <c r="B205" s="383">
        <v>46119.0</v>
      </c>
      <c r="C205" s="384" t="s">
        <v>1212</v>
      </c>
      <c r="D205" s="116" t="s">
        <v>256</v>
      </c>
      <c r="E205" s="116" t="s">
        <v>428</v>
      </c>
      <c r="F205" s="388"/>
      <c r="G205" s="44" t="s">
        <v>168</v>
      </c>
      <c r="H205" s="385">
        <v>5.0</v>
      </c>
      <c r="I205" s="386">
        <f>IF(G205="", "", IFERROR(VLOOKUP(G205, Products!A:F, 4, FALSE), ""))
</f>
        <v>80</v>
      </c>
      <c r="J205" s="386">
        <v>0.0</v>
      </c>
      <c r="K205" s="54">
        <f t="shared" si="10"/>
        <v>400</v>
      </c>
      <c r="L205" s="387">
        <v>200.0</v>
      </c>
      <c r="M205" s="138" t="s">
        <v>73</v>
      </c>
      <c r="N205" s="46">
        <f t="shared" si="2"/>
        <v>200</v>
      </c>
      <c r="O205" s="369" t="b">
        <v>1</v>
      </c>
      <c r="P205" s="369" t="b">
        <v>1</v>
      </c>
      <c r="Q205" s="387">
        <v>200.0</v>
      </c>
      <c r="R205" s="138" t="s">
        <v>684</v>
      </c>
      <c r="S205" s="65">
        <f t="shared" si="13"/>
        <v>0</v>
      </c>
      <c r="T205" s="369" t="b">
        <v>1</v>
      </c>
      <c r="U205" s="44" t="s">
        <v>750</v>
      </c>
      <c r="V205" s="37" t="b">
        <v>0</v>
      </c>
      <c r="W205" s="37" t="b">
        <v>0</v>
      </c>
      <c r="X205" s="37" t="b">
        <v>0</v>
      </c>
    </row>
    <row r="206" ht="24.0" customHeight="1">
      <c r="A206" s="76" t="s">
        <v>435</v>
      </c>
      <c r="B206" s="383">
        <v>46119.0</v>
      </c>
      <c r="C206" s="384" t="s">
        <v>1213</v>
      </c>
      <c r="D206" s="116" t="s">
        <v>93</v>
      </c>
      <c r="E206" s="116" t="s">
        <v>156</v>
      </c>
      <c r="F206" s="388"/>
      <c r="G206" s="44" t="s">
        <v>168</v>
      </c>
      <c r="H206" s="385">
        <v>4.0</v>
      </c>
      <c r="I206" s="386">
        <f>IF(G206="", "", IFERROR(VLOOKUP(G206, Products!A:F, 4, FALSE), ""))
</f>
        <v>80</v>
      </c>
      <c r="J206" s="386">
        <v>0.0</v>
      </c>
      <c r="K206" s="54">
        <f t="shared" si="10"/>
        <v>320</v>
      </c>
      <c r="L206" s="387">
        <v>160.0</v>
      </c>
      <c r="M206" s="138" t="s">
        <v>73</v>
      </c>
      <c r="N206" s="46">
        <f t="shared" si="2"/>
        <v>160</v>
      </c>
      <c r="O206" s="369" t="b">
        <v>1</v>
      </c>
      <c r="P206" s="369" t="b">
        <v>1</v>
      </c>
      <c r="Q206" s="387">
        <v>160.0</v>
      </c>
      <c r="R206" s="138" t="s">
        <v>684</v>
      </c>
      <c r="S206" s="65">
        <f t="shared" si="13"/>
        <v>0</v>
      </c>
      <c r="T206" s="369" t="b">
        <v>1</v>
      </c>
      <c r="U206" s="44" t="s">
        <v>750</v>
      </c>
      <c r="V206" s="37" t="b">
        <v>0</v>
      </c>
      <c r="W206" s="37" t="b">
        <v>0</v>
      </c>
      <c r="X206" s="37" t="b">
        <v>0</v>
      </c>
    </row>
    <row r="207" ht="24.0" customHeight="1">
      <c r="A207" s="76" t="s">
        <v>597</v>
      </c>
      <c r="B207" s="383">
        <v>46119.0</v>
      </c>
      <c r="C207" s="384" t="s">
        <v>1214</v>
      </c>
      <c r="D207" s="116" t="s">
        <v>93</v>
      </c>
      <c r="E207" s="116" t="s">
        <v>588</v>
      </c>
      <c r="F207" s="388"/>
      <c r="G207" s="44" t="s">
        <v>168</v>
      </c>
      <c r="H207" s="385">
        <v>3.0</v>
      </c>
      <c r="I207" s="386">
        <f>IF(G207="", "", IFERROR(VLOOKUP(G207, Products!A:F, 4, FALSE), ""))
</f>
        <v>80</v>
      </c>
      <c r="J207" s="386">
        <v>0.0</v>
      </c>
      <c r="K207" s="54">
        <f t="shared" si="10"/>
        <v>240</v>
      </c>
      <c r="L207" s="387">
        <v>240.0</v>
      </c>
      <c r="M207" s="138" t="s">
        <v>73</v>
      </c>
      <c r="N207" s="46">
        <f t="shared" si="2"/>
        <v>0</v>
      </c>
      <c r="O207" s="369" t="b">
        <v>1</v>
      </c>
      <c r="P207" s="369" t="b">
        <v>1</v>
      </c>
      <c r="Q207" s="387"/>
      <c r="R207" s="388"/>
      <c r="S207" s="65">
        <f t="shared" si="13"/>
        <v>0</v>
      </c>
      <c r="T207" s="369" t="b">
        <v>1</v>
      </c>
      <c r="U207" s="388"/>
      <c r="V207" s="391" t="b">
        <v>0</v>
      </c>
      <c r="W207" s="391" t="b">
        <v>0</v>
      </c>
      <c r="X207" s="391" t="b">
        <v>0</v>
      </c>
    </row>
    <row r="208" ht="24.0" customHeight="1">
      <c r="A208" s="76" t="s">
        <v>673</v>
      </c>
      <c r="B208" s="383">
        <v>46119.0</v>
      </c>
      <c r="C208" s="384" t="s">
        <v>828</v>
      </c>
      <c r="D208" s="116" t="s">
        <v>93</v>
      </c>
      <c r="E208" s="116" t="s">
        <v>645</v>
      </c>
      <c r="F208" s="388"/>
      <c r="G208" s="44" t="s">
        <v>168</v>
      </c>
      <c r="H208" s="385">
        <v>4.0</v>
      </c>
      <c r="I208" s="386">
        <f>IF(G208="", "", IFERROR(VLOOKUP(G208, Products!A:F, 4, FALSE), ""))
</f>
        <v>80</v>
      </c>
      <c r="J208" s="386">
        <v>32.0</v>
      </c>
      <c r="K208" s="54">
        <f t="shared" si="10"/>
        <v>288</v>
      </c>
      <c r="L208" s="387">
        <v>0.0</v>
      </c>
      <c r="M208" s="388"/>
      <c r="N208" s="46">
        <f t="shared" si="2"/>
        <v>288</v>
      </c>
      <c r="O208" s="369" t="b">
        <v>1</v>
      </c>
      <c r="P208" s="369" t="b">
        <v>1</v>
      </c>
      <c r="Q208" s="387">
        <v>288.0</v>
      </c>
      <c r="R208" s="138" t="s">
        <v>684</v>
      </c>
      <c r="S208" s="65">
        <f t="shared" si="13"/>
        <v>0</v>
      </c>
      <c r="T208" s="369" t="b">
        <v>1</v>
      </c>
      <c r="U208" s="44" t="s">
        <v>750</v>
      </c>
      <c r="V208" s="37" t="b">
        <v>0</v>
      </c>
      <c r="W208" s="37" t="b">
        <v>0</v>
      </c>
      <c r="X208" s="37" t="b">
        <v>0</v>
      </c>
    </row>
    <row r="209" ht="24.0" customHeight="1">
      <c r="A209" s="76" t="s">
        <v>429</v>
      </c>
      <c r="B209" s="383">
        <v>46119.0</v>
      </c>
      <c r="C209" s="384" t="s">
        <v>1215</v>
      </c>
      <c r="D209" s="116" t="s">
        <v>78</v>
      </c>
      <c r="E209" s="116" t="s">
        <v>79</v>
      </c>
      <c r="F209" s="388"/>
      <c r="G209" s="44" t="s">
        <v>168</v>
      </c>
      <c r="H209" s="385">
        <v>4.0</v>
      </c>
      <c r="I209" s="386">
        <f>IF(G209="", "", IFERROR(VLOOKUP(G209, Products!A:F, 4, FALSE), ""))
</f>
        <v>80</v>
      </c>
      <c r="J209" s="386">
        <v>30.0</v>
      </c>
      <c r="K209" s="54">
        <f t="shared" si="10"/>
        <v>290</v>
      </c>
      <c r="L209" s="387">
        <v>290.0</v>
      </c>
      <c r="M209" s="138" t="s">
        <v>73</v>
      </c>
      <c r="N209" s="46">
        <f t="shared" si="2"/>
        <v>0</v>
      </c>
      <c r="O209" s="369" t="b">
        <v>1</v>
      </c>
      <c r="P209" s="369" t="b">
        <v>1</v>
      </c>
      <c r="Q209" s="387"/>
      <c r="R209" s="388"/>
      <c r="S209" s="65">
        <f t="shared" si="13"/>
        <v>0</v>
      </c>
      <c r="T209" s="369" t="b">
        <v>1</v>
      </c>
      <c r="U209" s="411"/>
      <c r="V209" s="105" t="b">
        <v>0</v>
      </c>
      <c r="W209" s="105" t="b">
        <v>0</v>
      </c>
      <c r="X209" s="105" t="b">
        <v>0</v>
      </c>
    </row>
    <row r="210" ht="24.0" customHeight="1">
      <c r="A210" s="76" t="s">
        <v>436</v>
      </c>
      <c r="B210" s="383">
        <v>46119.0</v>
      </c>
      <c r="C210" s="384" t="s">
        <v>1216</v>
      </c>
      <c r="D210" s="116" t="s">
        <v>53</v>
      </c>
      <c r="E210" s="116" t="s">
        <v>648</v>
      </c>
      <c r="F210" s="388"/>
      <c r="G210" s="44" t="s">
        <v>168</v>
      </c>
      <c r="H210" s="385">
        <v>3.0</v>
      </c>
      <c r="I210" s="386">
        <f>IF(G210="", "", IFERROR(VLOOKUP(G210, Products!A:F, 4, FALSE), ""))
</f>
        <v>80</v>
      </c>
      <c r="J210" s="386">
        <v>0.0</v>
      </c>
      <c r="K210" s="54">
        <f t="shared" si="10"/>
        <v>240</v>
      </c>
      <c r="L210" s="387">
        <v>240.0</v>
      </c>
      <c r="M210" s="138" t="s">
        <v>73</v>
      </c>
      <c r="N210" s="46">
        <f t="shared" si="2"/>
        <v>0</v>
      </c>
      <c r="O210" s="369" t="b">
        <v>1</v>
      </c>
      <c r="P210" s="369" t="b">
        <v>1</v>
      </c>
      <c r="Q210" s="387"/>
      <c r="R210" s="138" t="s">
        <v>684</v>
      </c>
      <c r="S210" s="65">
        <f t="shared" si="13"/>
        <v>0</v>
      </c>
      <c r="T210" s="369" t="b">
        <v>1</v>
      </c>
      <c r="U210" s="44" t="s">
        <v>750</v>
      </c>
      <c r="V210" s="37" t="b">
        <v>0</v>
      </c>
      <c r="W210" s="37" t="b">
        <v>0</v>
      </c>
      <c r="X210" s="37" t="b">
        <v>0</v>
      </c>
    </row>
    <row r="211" ht="24.0" customHeight="1">
      <c r="A211" s="76" t="s">
        <v>677</v>
      </c>
      <c r="B211" s="383">
        <v>46124.0</v>
      </c>
      <c r="C211" s="384" t="s">
        <v>1217</v>
      </c>
      <c r="D211" s="116" t="s">
        <v>93</v>
      </c>
      <c r="E211" s="116" t="s">
        <v>156</v>
      </c>
      <c r="F211" s="388"/>
      <c r="G211" s="44" t="s">
        <v>168</v>
      </c>
      <c r="H211" s="385">
        <v>8.0</v>
      </c>
      <c r="I211" s="386">
        <f>IF(G211="", "", IFERROR(VLOOKUP(G211, Products!A:F, 4, FALSE), ""))
</f>
        <v>80</v>
      </c>
      <c r="J211" s="386">
        <v>0.0</v>
      </c>
      <c r="K211" s="54">
        <f t="shared" si="10"/>
        <v>640</v>
      </c>
      <c r="L211" s="387">
        <v>340.0</v>
      </c>
      <c r="M211" s="138" t="s">
        <v>73</v>
      </c>
      <c r="N211" s="46">
        <f t="shared" si="2"/>
        <v>300</v>
      </c>
      <c r="O211" s="369" t="b">
        <v>1</v>
      </c>
      <c r="P211" s="369" t="b">
        <v>1</v>
      </c>
      <c r="Q211" s="387">
        <v>300.0</v>
      </c>
      <c r="R211" s="138" t="s">
        <v>684</v>
      </c>
      <c r="S211" s="65">
        <f t="shared" si="13"/>
        <v>0</v>
      </c>
      <c r="T211" s="369" t="b">
        <v>1</v>
      </c>
      <c r="U211" s="44" t="s">
        <v>750</v>
      </c>
      <c r="V211" s="37" t="b">
        <v>0</v>
      </c>
      <c r="W211" s="37" t="b">
        <v>0</v>
      </c>
      <c r="X211" s="37" t="b">
        <v>0</v>
      </c>
    </row>
    <row r="212" ht="24.0" customHeight="1">
      <c r="A212" s="76" t="s">
        <v>679</v>
      </c>
      <c r="B212" s="383">
        <v>46124.0</v>
      </c>
      <c r="C212" s="384" t="s">
        <v>681</v>
      </c>
      <c r="D212" s="116" t="s">
        <v>78</v>
      </c>
      <c r="E212" s="116" t="s">
        <v>614</v>
      </c>
      <c r="F212" s="388"/>
      <c r="G212" s="44" t="s">
        <v>168</v>
      </c>
      <c r="H212" s="385">
        <v>3.0</v>
      </c>
      <c r="I212" s="386">
        <f>IF(G212="", "", IFERROR(VLOOKUP(G212, Products!A:F, 4, FALSE), ""))
</f>
        <v>80</v>
      </c>
      <c r="J212" s="386">
        <v>0.0</v>
      </c>
      <c r="K212" s="54">
        <f t="shared" si="10"/>
        <v>240</v>
      </c>
      <c r="L212" s="387">
        <v>120.0</v>
      </c>
      <c r="M212" s="138" t="s">
        <v>73</v>
      </c>
      <c r="N212" s="46">
        <f t="shared" si="2"/>
        <v>120</v>
      </c>
      <c r="O212" s="369" t="b">
        <v>1</v>
      </c>
      <c r="P212" s="369" t="b">
        <v>1</v>
      </c>
      <c r="Q212" s="387">
        <v>120.0</v>
      </c>
      <c r="R212" s="138" t="s">
        <v>684</v>
      </c>
      <c r="S212" s="65">
        <f t="shared" si="13"/>
        <v>0</v>
      </c>
      <c r="T212" s="369" t="b">
        <v>1</v>
      </c>
      <c r="U212" s="44" t="s">
        <v>750</v>
      </c>
      <c r="V212" s="37" t="b">
        <v>0</v>
      </c>
      <c r="W212" s="37" t="b">
        <v>0</v>
      </c>
      <c r="X212" s="37" t="b">
        <v>0</v>
      </c>
    </row>
    <row r="213" ht="24.0" customHeight="1">
      <c r="A213" s="76" t="s">
        <v>609</v>
      </c>
      <c r="B213" s="383">
        <v>46124.0</v>
      </c>
      <c r="C213" s="384" t="s">
        <v>1220</v>
      </c>
      <c r="D213" s="116" t="s">
        <v>93</v>
      </c>
      <c r="E213" s="116" t="s">
        <v>154</v>
      </c>
      <c r="F213" s="388"/>
      <c r="G213" s="44" t="s">
        <v>168</v>
      </c>
      <c r="H213" s="385">
        <v>9.0</v>
      </c>
      <c r="I213" s="386">
        <f>IF(G213="", "", IFERROR(VLOOKUP(G213, Products!A:F, 4, FALSE), ""))
</f>
        <v>80</v>
      </c>
      <c r="J213" s="386">
        <v>0.0</v>
      </c>
      <c r="K213" s="54">
        <f t="shared" si="10"/>
        <v>720</v>
      </c>
      <c r="L213" s="387">
        <v>360.0</v>
      </c>
      <c r="M213" s="138" t="s">
        <v>73</v>
      </c>
      <c r="N213" s="46">
        <f t="shared" si="2"/>
        <v>360</v>
      </c>
      <c r="O213" s="369" t="b">
        <v>1</v>
      </c>
      <c r="P213" s="369" t="b">
        <v>1</v>
      </c>
      <c r="Q213" s="387">
        <v>360.0</v>
      </c>
      <c r="R213" s="138" t="s">
        <v>684</v>
      </c>
      <c r="S213" s="65">
        <f t="shared" si="13"/>
        <v>0</v>
      </c>
      <c r="T213" s="369" t="b">
        <v>1</v>
      </c>
      <c r="U213" s="44" t="s">
        <v>750</v>
      </c>
      <c r="V213" s="37" t="b">
        <v>0</v>
      </c>
      <c r="W213" s="37" t="b">
        <v>0</v>
      </c>
      <c r="X213" s="37" t="b">
        <v>0</v>
      </c>
    </row>
    <row r="214" ht="24.0" customHeight="1">
      <c r="A214" s="76" t="s">
        <v>680</v>
      </c>
      <c r="B214" s="383">
        <v>46124.0</v>
      </c>
      <c r="C214" s="384" t="s">
        <v>1230</v>
      </c>
      <c r="D214" s="116" t="s">
        <v>454</v>
      </c>
      <c r="E214" s="399"/>
      <c r="F214" s="388"/>
      <c r="G214" s="44" t="s">
        <v>168</v>
      </c>
      <c r="H214" s="385">
        <v>2.0</v>
      </c>
      <c r="I214" s="386">
        <f>IF(G214="", "", IFERROR(VLOOKUP(G214, Products!A:F, 4, FALSE), ""))
</f>
        <v>80</v>
      </c>
      <c r="J214" s="386">
        <v>0.0</v>
      </c>
      <c r="K214" s="54">
        <f t="shared" si="10"/>
        <v>160</v>
      </c>
      <c r="L214" s="387">
        <v>160.0</v>
      </c>
      <c r="M214" s="138" t="s">
        <v>73</v>
      </c>
      <c r="N214" s="46">
        <f t="shared" si="2"/>
        <v>0</v>
      </c>
      <c r="O214" s="369" t="b">
        <v>1</v>
      </c>
      <c r="P214" s="369" t="b">
        <v>1</v>
      </c>
      <c r="Q214" s="387"/>
      <c r="R214" s="138" t="s">
        <v>684</v>
      </c>
      <c r="S214" s="65">
        <f t="shared" si="13"/>
        <v>0</v>
      </c>
      <c r="T214" s="369" t="b">
        <v>1</v>
      </c>
      <c r="U214" s="44" t="s">
        <v>750</v>
      </c>
      <c r="V214" s="37" t="b">
        <v>0</v>
      </c>
      <c r="W214" s="37" t="b">
        <v>0</v>
      </c>
      <c r="X214" s="37" t="b">
        <v>0</v>
      </c>
    </row>
    <row r="215" ht="24.0" customHeight="1">
      <c r="A215" s="76" t="s">
        <v>680</v>
      </c>
      <c r="B215" s="383">
        <v>46124.0</v>
      </c>
      <c r="C215" s="384" t="s">
        <v>1236</v>
      </c>
      <c r="D215" s="116" t="s">
        <v>454</v>
      </c>
      <c r="E215" s="399"/>
      <c r="F215" s="388"/>
      <c r="G215" s="76" t="s">
        <v>161</v>
      </c>
      <c r="H215" s="385">
        <v>6.0</v>
      </c>
      <c r="I215" s="386">
        <f>IF(G215="", "", IFERROR(VLOOKUP(G215, Products!A:F, 4, FALSE), ""))
</f>
        <v>80</v>
      </c>
      <c r="J215" s="386">
        <v>0.0</v>
      </c>
      <c r="K215" s="54">
        <f t="shared" si="10"/>
        <v>480</v>
      </c>
      <c r="L215" s="387">
        <v>480.0</v>
      </c>
      <c r="M215" s="138" t="s">
        <v>73</v>
      </c>
      <c r="N215" s="46">
        <f t="shared" si="2"/>
        <v>0</v>
      </c>
      <c r="O215" s="369" t="b">
        <v>1</v>
      </c>
      <c r="P215" s="369" t="b">
        <v>1</v>
      </c>
      <c r="Q215" s="387"/>
      <c r="R215" s="138" t="s">
        <v>684</v>
      </c>
      <c r="S215" s="65">
        <f t="shared" si="13"/>
        <v>0</v>
      </c>
      <c r="T215" s="369" t="b">
        <v>1</v>
      </c>
      <c r="U215" s="44" t="s">
        <v>750</v>
      </c>
      <c r="V215" s="37" t="b">
        <v>0</v>
      </c>
      <c r="W215" s="37" t="b">
        <v>0</v>
      </c>
      <c r="X215" s="37" t="b">
        <v>0</v>
      </c>
    </row>
    <row r="216" ht="24.0" customHeight="1">
      <c r="A216" s="76" t="s">
        <v>603</v>
      </c>
      <c r="B216" s="383">
        <v>46124.0</v>
      </c>
      <c r="C216" s="384" t="s">
        <v>1237</v>
      </c>
      <c r="D216" s="91" t="s">
        <v>188</v>
      </c>
      <c r="E216" s="92"/>
      <c r="F216" s="388"/>
      <c r="G216" s="44" t="s">
        <v>168</v>
      </c>
      <c r="H216" s="385">
        <v>6.0</v>
      </c>
      <c r="I216" s="386">
        <f>IF(G216="", "", IFERROR(VLOOKUP(G216, Products!A:F, 4, FALSE), ""))
</f>
        <v>80</v>
      </c>
      <c r="J216" s="386">
        <v>48.0</v>
      </c>
      <c r="K216" s="54">
        <f t="shared" si="10"/>
        <v>432</v>
      </c>
      <c r="L216" s="387">
        <v>220.0</v>
      </c>
      <c r="M216" s="138" t="s">
        <v>73</v>
      </c>
      <c r="N216" s="46">
        <f t="shared" si="2"/>
        <v>212</v>
      </c>
      <c r="O216" s="369" t="b">
        <v>1</v>
      </c>
      <c r="P216" s="369" t="b">
        <v>1</v>
      </c>
      <c r="Q216" s="387">
        <v>212.0</v>
      </c>
      <c r="R216" s="138" t="s">
        <v>684</v>
      </c>
      <c r="S216" s="65">
        <f t="shared" si="13"/>
        <v>0</v>
      </c>
      <c r="T216" s="369" t="b">
        <v>1</v>
      </c>
      <c r="U216" s="44" t="s">
        <v>750</v>
      </c>
      <c r="V216" s="37" t="b">
        <v>0</v>
      </c>
      <c r="W216" s="37" t="b">
        <v>0</v>
      </c>
      <c r="X216" s="37" t="b">
        <v>0</v>
      </c>
    </row>
    <row r="217" ht="24.0" customHeight="1">
      <c r="A217" s="76" t="s">
        <v>683</v>
      </c>
      <c r="B217" s="383">
        <v>46125.0</v>
      </c>
      <c r="C217" s="384" t="s">
        <v>1238</v>
      </c>
      <c r="D217" s="116" t="s">
        <v>93</v>
      </c>
      <c r="E217" s="116" t="s">
        <v>612</v>
      </c>
      <c r="F217" s="388"/>
      <c r="G217" s="44" t="s">
        <v>168</v>
      </c>
      <c r="H217" s="385">
        <v>6.0</v>
      </c>
      <c r="I217" s="386">
        <f>IF(G217="", "", IFERROR(VLOOKUP(G217, Products!A:F, 4, FALSE), ""))
</f>
        <v>80</v>
      </c>
      <c r="J217" s="386">
        <v>0.0</v>
      </c>
      <c r="K217" s="54">
        <f t="shared" si="10"/>
        <v>480</v>
      </c>
      <c r="L217" s="387">
        <v>240.0</v>
      </c>
      <c r="M217" s="138" t="s">
        <v>73</v>
      </c>
      <c r="N217" s="46">
        <f t="shared" si="2"/>
        <v>240</v>
      </c>
      <c r="O217" s="369" t="b">
        <v>1</v>
      </c>
      <c r="P217" s="369" t="b">
        <v>1</v>
      </c>
      <c r="Q217" s="387">
        <v>240.0</v>
      </c>
      <c r="R217" s="138" t="s">
        <v>684</v>
      </c>
      <c r="S217" s="65">
        <f t="shared" si="13"/>
        <v>0</v>
      </c>
      <c r="T217" s="369" t="b">
        <v>1</v>
      </c>
      <c r="U217" s="44" t="s">
        <v>750</v>
      </c>
      <c r="V217" s="37" t="b">
        <v>0</v>
      </c>
      <c r="W217" s="37" t="b">
        <v>0</v>
      </c>
      <c r="X217" s="37" t="b">
        <v>0</v>
      </c>
    </row>
    <row r="218" ht="24.0" customHeight="1">
      <c r="A218" s="76" t="s">
        <v>701</v>
      </c>
      <c r="B218" s="383">
        <v>46126.0</v>
      </c>
      <c r="C218" s="384" t="s">
        <v>1245</v>
      </c>
      <c r="D218" s="91" t="s">
        <v>188</v>
      </c>
      <c r="E218" s="92"/>
      <c r="F218" s="388"/>
      <c r="G218" s="44" t="s">
        <v>168</v>
      </c>
      <c r="H218" s="385">
        <v>3.0</v>
      </c>
      <c r="I218" s="386">
        <f>IF(G218="", "", IFERROR(VLOOKUP(G218, Products!A:F, 4, FALSE), ""))
</f>
        <v>80</v>
      </c>
      <c r="J218" s="386">
        <v>0.0</v>
      </c>
      <c r="K218" s="54">
        <f t="shared" si="10"/>
        <v>240</v>
      </c>
      <c r="L218" s="387">
        <v>200.0</v>
      </c>
      <c r="M218" s="138" t="s">
        <v>73</v>
      </c>
      <c r="N218" s="46">
        <f t="shared" si="2"/>
        <v>40</v>
      </c>
      <c r="O218" s="369" t="b">
        <v>1</v>
      </c>
      <c r="P218" s="369" t="b">
        <v>1</v>
      </c>
      <c r="Q218" s="387">
        <v>40.0</v>
      </c>
      <c r="R218" s="138" t="s">
        <v>684</v>
      </c>
      <c r="S218" s="65">
        <f t="shared" si="13"/>
        <v>0</v>
      </c>
      <c r="T218" s="369" t="b">
        <v>1</v>
      </c>
      <c r="U218" s="44" t="s">
        <v>750</v>
      </c>
      <c r="V218" s="37" t="b">
        <v>0</v>
      </c>
      <c r="W218" s="37" t="b">
        <v>0</v>
      </c>
      <c r="X218" s="37" t="b">
        <v>0</v>
      </c>
    </row>
    <row r="219" ht="24.0" customHeight="1">
      <c r="A219" s="76" t="s">
        <v>700</v>
      </c>
      <c r="B219" s="383">
        <v>46126.0</v>
      </c>
      <c r="C219" s="384" t="s">
        <v>1246</v>
      </c>
      <c r="D219" s="116" t="s">
        <v>93</v>
      </c>
      <c r="E219" s="116" t="s">
        <v>148</v>
      </c>
      <c r="F219" s="388"/>
      <c r="G219" s="44" t="s">
        <v>168</v>
      </c>
      <c r="H219" s="385">
        <v>5.0</v>
      </c>
      <c r="I219" s="386">
        <f>IF(G219="", "", IFERROR(VLOOKUP(G219, Products!A:F, 4, FALSE), ""))
</f>
        <v>80</v>
      </c>
      <c r="J219" s="386">
        <v>0.0</v>
      </c>
      <c r="K219" s="54">
        <f t="shared" si="10"/>
        <v>400</v>
      </c>
      <c r="L219" s="387">
        <v>255.0</v>
      </c>
      <c r="M219" s="138" t="s">
        <v>110</v>
      </c>
      <c r="N219" s="46">
        <f t="shared" si="2"/>
        <v>145</v>
      </c>
      <c r="O219" s="369" t="b">
        <v>1</v>
      </c>
      <c r="P219" s="369" t="b">
        <v>1</v>
      </c>
      <c r="Q219" s="387">
        <v>145.0</v>
      </c>
      <c r="R219" s="138" t="s">
        <v>684</v>
      </c>
      <c r="S219" s="65">
        <f t="shared" si="13"/>
        <v>0</v>
      </c>
      <c r="T219" s="369" t="b">
        <v>1</v>
      </c>
      <c r="U219" s="44" t="s">
        <v>750</v>
      </c>
      <c r="V219" s="37" t="b">
        <v>0</v>
      </c>
      <c r="W219" s="37" t="b">
        <v>0</v>
      </c>
      <c r="X219" s="37" t="b">
        <v>0</v>
      </c>
    </row>
    <row r="220" ht="24.0" customHeight="1">
      <c r="A220" s="76" t="s">
        <v>700</v>
      </c>
      <c r="B220" s="383">
        <v>46126.0</v>
      </c>
      <c r="C220" s="384"/>
      <c r="D220" s="116" t="s">
        <v>93</v>
      </c>
      <c r="E220" s="116" t="s">
        <v>148</v>
      </c>
      <c r="F220" s="388"/>
      <c r="G220" s="44" t="s">
        <v>168</v>
      </c>
      <c r="H220" s="385">
        <v>5.0</v>
      </c>
      <c r="I220" s="386">
        <f>IF(G220="", "", IFERROR(VLOOKUP(G220, Products!A:F, 4, FALSE), ""))
</f>
        <v>80</v>
      </c>
      <c r="J220" s="386">
        <v>0.0</v>
      </c>
      <c r="K220" s="54">
        <f t="shared" si="10"/>
        <v>400</v>
      </c>
      <c r="L220" s="387">
        <v>235.0</v>
      </c>
      <c r="M220" s="138" t="s">
        <v>73</v>
      </c>
      <c r="N220" s="46">
        <f t="shared" si="2"/>
        <v>165</v>
      </c>
      <c r="O220" s="369" t="b">
        <v>1</v>
      </c>
      <c r="P220" s="369" t="b">
        <v>1</v>
      </c>
      <c r="Q220" s="387">
        <v>165.0</v>
      </c>
      <c r="R220" s="138" t="s">
        <v>684</v>
      </c>
      <c r="S220" s="65">
        <f t="shared" si="13"/>
        <v>0</v>
      </c>
      <c r="T220" s="369" t="b">
        <v>1</v>
      </c>
      <c r="U220" s="44" t="s">
        <v>750</v>
      </c>
      <c r="V220" s="37" t="b">
        <v>0</v>
      </c>
      <c r="W220" s="37" t="b">
        <v>0</v>
      </c>
      <c r="X220" s="37" t="b">
        <v>0</v>
      </c>
    </row>
    <row r="221" ht="24.0" customHeight="1">
      <c r="A221" s="76" t="s">
        <v>685</v>
      </c>
      <c r="B221" s="383">
        <v>46126.0</v>
      </c>
      <c r="C221" s="384" t="s">
        <v>1247</v>
      </c>
      <c r="D221" s="116" t="s">
        <v>256</v>
      </c>
      <c r="E221" s="116" t="s">
        <v>428</v>
      </c>
      <c r="F221" s="388"/>
      <c r="G221" s="44" t="s">
        <v>168</v>
      </c>
      <c r="H221" s="385">
        <v>6.0</v>
      </c>
      <c r="I221" s="386">
        <f>IF(G221="", "", IFERROR(VLOOKUP(G221, Products!A:F, 4, FALSE), ""))
</f>
        <v>80</v>
      </c>
      <c r="J221" s="386">
        <v>0.0</v>
      </c>
      <c r="K221" s="54">
        <f t="shared" si="10"/>
        <v>480</v>
      </c>
      <c r="L221" s="387">
        <v>480.0</v>
      </c>
      <c r="M221" s="138" t="s">
        <v>73</v>
      </c>
      <c r="N221" s="46">
        <f t="shared" si="2"/>
        <v>0</v>
      </c>
      <c r="O221" s="369" t="b">
        <v>1</v>
      </c>
      <c r="P221" s="369" t="b">
        <v>1</v>
      </c>
      <c r="Q221" s="387"/>
      <c r="R221" s="138" t="s">
        <v>684</v>
      </c>
      <c r="S221" s="65">
        <f t="shared" si="13"/>
        <v>0</v>
      </c>
      <c r="T221" s="369" t="b">
        <v>1</v>
      </c>
      <c r="U221" s="44" t="s">
        <v>750</v>
      </c>
      <c r="V221" s="37" t="b">
        <v>0</v>
      </c>
      <c r="W221" s="37" t="b">
        <v>0</v>
      </c>
      <c r="X221" s="37" t="b">
        <v>0</v>
      </c>
    </row>
    <row r="222" ht="24.0" customHeight="1">
      <c r="A222" s="76" t="s">
        <v>215</v>
      </c>
      <c r="B222" s="383">
        <v>46126.0</v>
      </c>
      <c r="C222" s="384" t="s">
        <v>1248</v>
      </c>
      <c r="D222" s="116" t="s">
        <v>93</v>
      </c>
      <c r="E222" s="116" t="s">
        <v>156</v>
      </c>
      <c r="F222" s="388"/>
      <c r="G222" s="44" t="s">
        <v>168</v>
      </c>
      <c r="H222" s="385">
        <v>2.0</v>
      </c>
      <c r="I222" s="386">
        <f>IF(G222="", "", IFERROR(VLOOKUP(G222, Products!A:F, 4, FALSE), ""))
</f>
        <v>80</v>
      </c>
      <c r="J222" s="386">
        <v>0.0</v>
      </c>
      <c r="K222" s="54">
        <f t="shared" si="10"/>
        <v>160</v>
      </c>
      <c r="L222" s="387">
        <v>160.0</v>
      </c>
      <c r="M222" s="138" t="s">
        <v>73</v>
      </c>
      <c r="N222" s="46">
        <f t="shared" si="2"/>
        <v>0</v>
      </c>
      <c r="O222" s="369" t="b">
        <v>1</v>
      </c>
      <c r="P222" s="369" t="b">
        <v>1</v>
      </c>
      <c r="Q222" s="387"/>
      <c r="R222" s="388"/>
      <c r="S222" s="65">
        <f t="shared" si="13"/>
        <v>0</v>
      </c>
      <c r="T222" s="369" t="b">
        <v>1</v>
      </c>
      <c r="U222" s="388"/>
      <c r="V222" s="391" t="b">
        <v>0</v>
      </c>
      <c r="W222" s="391" t="b">
        <v>0</v>
      </c>
      <c r="X222" s="391" t="b">
        <v>0</v>
      </c>
    </row>
    <row r="223" ht="24.0" customHeight="1">
      <c r="A223" s="76" t="s">
        <v>615</v>
      </c>
      <c r="B223" s="383">
        <v>46126.0</v>
      </c>
      <c r="C223" s="384" t="s">
        <v>1249</v>
      </c>
      <c r="D223" s="91" t="s">
        <v>188</v>
      </c>
      <c r="E223" s="92"/>
      <c r="F223" s="388"/>
      <c r="G223" s="44" t="s">
        <v>168</v>
      </c>
      <c r="H223" s="385">
        <v>5.0</v>
      </c>
      <c r="I223" s="386">
        <f>IF(G223="", "", IFERROR(VLOOKUP(G223, Products!A:F, 4, FALSE), ""))
</f>
        <v>80</v>
      </c>
      <c r="J223" s="386">
        <v>0.0</v>
      </c>
      <c r="K223" s="54">
        <f t="shared" si="10"/>
        <v>400</v>
      </c>
      <c r="L223" s="387">
        <v>200.0</v>
      </c>
      <c r="M223" s="138" t="s">
        <v>110</v>
      </c>
      <c r="N223" s="46">
        <f t="shared" si="2"/>
        <v>200</v>
      </c>
      <c r="O223" s="369" t="b">
        <v>1</v>
      </c>
      <c r="P223" s="369" t="b">
        <v>1</v>
      </c>
      <c r="Q223" s="387">
        <v>200.0</v>
      </c>
      <c r="R223" s="138" t="s">
        <v>684</v>
      </c>
      <c r="S223" s="65">
        <f t="shared" si="13"/>
        <v>0</v>
      </c>
      <c r="T223" s="369" t="b">
        <v>1</v>
      </c>
      <c r="U223" s="44" t="s">
        <v>750</v>
      </c>
      <c r="V223" s="37" t="b">
        <v>0</v>
      </c>
      <c r="W223" s="37" t="b">
        <v>0</v>
      </c>
      <c r="X223" s="37" t="b">
        <v>0</v>
      </c>
    </row>
    <row r="224" ht="24.0" customHeight="1">
      <c r="A224" s="76" t="s">
        <v>690</v>
      </c>
      <c r="B224" s="383">
        <v>46126.0</v>
      </c>
      <c r="C224" s="384" t="s">
        <v>1250</v>
      </c>
      <c r="D224" s="116" t="s">
        <v>78</v>
      </c>
      <c r="E224" s="116" t="s">
        <v>159</v>
      </c>
      <c r="F224" s="388"/>
      <c r="G224" s="44" t="s">
        <v>168</v>
      </c>
      <c r="H224" s="385">
        <v>6.0</v>
      </c>
      <c r="I224" s="386">
        <f>IF(G224="", "", IFERROR(VLOOKUP(G224, Products!A:F, 4, FALSE), ""))
</f>
        <v>80</v>
      </c>
      <c r="J224" s="386">
        <v>0.0</v>
      </c>
      <c r="K224" s="54">
        <f t="shared" si="10"/>
        <v>480</v>
      </c>
      <c r="L224" s="387">
        <v>240.0</v>
      </c>
      <c r="M224" s="138" t="s">
        <v>110</v>
      </c>
      <c r="N224" s="46">
        <f t="shared" si="2"/>
        <v>240</v>
      </c>
      <c r="O224" s="369" t="b">
        <v>1</v>
      </c>
      <c r="P224" s="369" t="b">
        <v>1</v>
      </c>
      <c r="Q224" s="387">
        <v>240.0</v>
      </c>
      <c r="R224" s="138" t="s">
        <v>684</v>
      </c>
      <c r="S224" s="65">
        <f t="shared" si="13"/>
        <v>0</v>
      </c>
      <c r="T224" s="369" t="b">
        <v>1</v>
      </c>
      <c r="U224" s="44" t="s">
        <v>750</v>
      </c>
      <c r="V224" s="37" t="b">
        <v>0</v>
      </c>
      <c r="W224" s="37" t="b">
        <v>0</v>
      </c>
      <c r="X224" s="37" t="b">
        <v>0</v>
      </c>
    </row>
    <row r="225" ht="24.0" customHeight="1">
      <c r="A225" s="76" t="s">
        <v>704</v>
      </c>
      <c r="B225" s="383">
        <v>46126.0</v>
      </c>
      <c r="C225" s="384" t="s">
        <v>1251</v>
      </c>
      <c r="D225" s="116" t="s">
        <v>78</v>
      </c>
      <c r="E225" s="116" t="s">
        <v>626</v>
      </c>
      <c r="F225" s="388"/>
      <c r="G225" s="44" t="s">
        <v>168</v>
      </c>
      <c r="H225" s="385">
        <v>5.0</v>
      </c>
      <c r="I225" s="386">
        <f>IF(G225="", "", IFERROR(VLOOKUP(G225, Products!A:F, 4, FALSE), ""))
</f>
        <v>80</v>
      </c>
      <c r="J225" s="386">
        <v>0.0</v>
      </c>
      <c r="K225" s="54">
        <f t="shared" si="10"/>
        <v>400</v>
      </c>
      <c r="L225" s="387">
        <v>200.0</v>
      </c>
      <c r="M225" s="138" t="s">
        <v>73</v>
      </c>
      <c r="N225" s="46">
        <f t="shared" si="2"/>
        <v>200</v>
      </c>
      <c r="O225" s="369" t="b">
        <v>1</v>
      </c>
      <c r="P225" s="369" t="b">
        <v>1</v>
      </c>
      <c r="Q225" s="387">
        <v>200.0</v>
      </c>
      <c r="R225" s="138" t="s">
        <v>684</v>
      </c>
      <c r="S225" s="65">
        <f t="shared" si="13"/>
        <v>0</v>
      </c>
      <c r="T225" s="369" t="b">
        <v>1</v>
      </c>
      <c r="U225" s="44" t="s">
        <v>750</v>
      </c>
      <c r="V225" s="37" t="b">
        <v>0</v>
      </c>
      <c r="W225" s="37" t="b">
        <v>0</v>
      </c>
      <c r="X225" s="37" t="b">
        <v>0</v>
      </c>
    </row>
    <row r="226" ht="24.0" customHeight="1">
      <c r="A226" s="76" t="s">
        <v>689</v>
      </c>
      <c r="B226" s="383">
        <v>46126.0</v>
      </c>
      <c r="C226" s="384" t="s">
        <v>1252</v>
      </c>
      <c r="D226" s="116" t="s">
        <v>93</v>
      </c>
      <c r="E226" s="116" t="s">
        <v>274</v>
      </c>
      <c r="F226" s="388"/>
      <c r="G226" s="76" t="s">
        <v>161</v>
      </c>
      <c r="H226" s="385">
        <v>21.0</v>
      </c>
      <c r="I226" s="386">
        <f>IF(G226="", "", IFERROR(VLOOKUP(G226, Products!A:F, 4, FALSE), ""))
</f>
        <v>80</v>
      </c>
      <c r="J226" s="386">
        <v>0.0</v>
      </c>
      <c r="K226" s="54">
        <f t="shared" si="10"/>
        <v>1680</v>
      </c>
      <c r="L226" s="387">
        <v>1000.0</v>
      </c>
      <c r="M226" s="138" t="s">
        <v>110</v>
      </c>
      <c r="N226" s="46">
        <f t="shared" si="2"/>
        <v>680</v>
      </c>
      <c r="O226" s="369" t="b">
        <v>1</v>
      </c>
      <c r="P226" s="369" t="b">
        <v>1</v>
      </c>
      <c r="Q226" s="387">
        <v>680.0</v>
      </c>
      <c r="R226" s="138" t="s">
        <v>73</v>
      </c>
      <c r="S226" s="65">
        <f t="shared" si="13"/>
        <v>0</v>
      </c>
      <c r="T226" s="369" t="b">
        <v>1</v>
      </c>
      <c r="U226" s="388"/>
      <c r="V226" s="391" t="b">
        <v>0</v>
      </c>
      <c r="W226" s="391" t="b">
        <v>0</v>
      </c>
      <c r="X226" s="391" t="b">
        <v>0</v>
      </c>
    </row>
    <row r="227" ht="24.0" customHeight="1">
      <c r="A227" s="76" t="s">
        <v>688</v>
      </c>
      <c r="B227" s="383">
        <v>46126.0</v>
      </c>
      <c r="C227" s="384" t="s">
        <v>1253</v>
      </c>
      <c r="D227" s="116" t="s">
        <v>78</v>
      </c>
      <c r="E227" s="399"/>
      <c r="F227" s="388"/>
      <c r="G227" s="44" t="s">
        <v>168</v>
      </c>
      <c r="H227" s="385">
        <v>4.0</v>
      </c>
      <c r="I227" s="386">
        <f>IF(G227="", "", IFERROR(VLOOKUP(G227, Products!A:F, 4, FALSE), ""))
</f>
        <v>80</v>
      </c>
      <c r="J227" s="386">
        <v>0.0</v>
      </c>
      <c r="K227" s="54">
        <f t="shared" si="10"/>
        <v>320</v>
      </c>
      <c r="L227" s="387">
        <v>160.0</v>
      </c>
      <c r="M227" s="138" t="s">
        <v>110</v>
      </c>
      <c r="N227" s="46">
        <f t="shared" si="2"/>
        <v>160</v>
      </c>
      <c r="O227" s="369" t="b">
        <v>1</v>
      </c>
      <c r="P227" s="369" t="b">
        <v>1</v>
      </c>
      <c r="Q227" s="387">
        <v>160.0</v>
      </c>
      <c r="R227" s="138" t="s">
        <v>684</v>
      </c>
      <c r="S227" s="65">
        <f t="shared" si="13"/>
        <v>0</v>
      </c>
      <c r="T227" s="369" t="b">
        <v>1</v>
      </c>
      <c r="U227" s="388"/>
      <c r="V227" s="391" t="b">
        <v>0</v>
      </c>
      <c r="W227" s="391" t="b">
        <v>0</v>
      </c>
      <c r="X227" s="391" t="b">
        <v>0</v>
      </c>
    </row>
    <row r="228" ht="24.0" customHeight="1">
      <c r="A228" s="76" t="s">
        <v>709</v>
      </c>
      <c r="B228" s="383">
        <v>46127.0</v>
      </c>
      <c r="C228" s="384" t="s">
        <v>1254</v>
      </c>
      <c r="D228" s="116" t="s">
        <v>93</v>
      </c>
      <c r="E228" s="116" t="s">
        <v>627</v>
      </c>
      <c r="F228" s="388"/>
      <c r="G228" s="44" t="s">
        <v>168</v>
      </c>
      <c r="H228" s="385">
        <v>5.0</v>
      </c>
      <c r="I228" s="386">
        <f>IF(G228="", "", IFERROR(VLOOKUP(G228, Products!A:F, 4, FALSE), ""))
</f>
        <v>80</v>
      </c>
      <c r="J228" s="386">
        <v>0.0</v>
      </c>
      <c r="K228" s="54">
        <f t="shared" si="10"/>
        <v>400</v>
      </c>
      <c r="L228" s="387">
        <v>400.0</v>
      </c>
      <c r="M228" s="138" t="s">
        <v>73</v>
      </c>
      <c r="N228" s="46">
        <f t="shared" si="2"/>
        <v>0</v>
      </c>
      <c r="O228" s="369" t="b">
        <v>1</v>
      </c>
      <c r="P228" s="369" t="b">
        <v>1</v>
      </c>
      <c r="Q228" s="387"/>
      <c r="R228" s="388"/>
      <c r="S228" s="65">
        <f t="shared" si="13"/>
        <v>0</v>
      </c>
      <c r="T228" s="369" t="b">
        <v>1</v>
      </c>
      <c r="U228" s="388"/>
      <c r="V228" s="391" t="b">
        <v>0</v>
      </c>
      <c r="W228" s="391" t="b">
        <v>0</v>
      </c>
      <c r="X228" s="391" t="b">
        <v>0</v>
      </c>
    </row>
    <row r="229" ht="24.0" customHeight="1">
      <c r="A229" s="76" t="s">
        <v>706</v>
      </c>
      <c r="B229" s="383">
        <v>46127.0</v>
      </c>
      <c r="C229" s="384" t="s">
        <v>1255</v>
      </c>
      <c r="D229" s="116" t="s">
        <v>93</v>
      </c>
      <c r="E229" s="116" t="s">
        <v>593</v>
      </c>
      <c r="F229" s="388"/>
      <c r="G229" s="44" t="s">
        <v>168</v>
      </c>
      <c r="H229" s="385">
        <v>15.0</v>
      </c>
      <c r="I229" s="386">
        <f>IF(G229="", "", IFERROR(VLOOKUP(G229, Products!A:F, 4, FALSE), ""))
</f>
        <v>80</v>
      </c>
      <c r="J229" s="386">
        <v>0.0</v>
      </c>
      <c r="K229" s="54">
        <f t="shared" si="10"/>
        <v>1200</v>
      </c>
      <c r="L229" s="387">
        <v>600.0</v>
      </c>
      <c r="M229" s="138" t="s">
        <v>73</v>
      </c>
      <c r="N229" s="46">
        <f t="shared" si="2"/>
        <v>600</v>
      </c>
      <c r="O229" s="369" t="b">
        <v>1</v>
      </c>
      <c r="P229" s="369" t="b">
        <v>1</v>
      </c>
      <c r="Q229" s="387">
        <v>600.0</v>
      </c>
      <c r="R229" s="138" t="s">
        <v>684</v>
      </c>
      <c r="S229" s="65">
        <f t="shared" si="13"/>
        <v>0</v>
      </c>
      <c r="T229" s="369" t="b">
        <v>1</v>
      </c>
      <c r="U229" s="44" t="s">
        <v>750</v>
      </c>
      <c r="V229" s="37" t="b">
        <v>0</v>
      </c>
      <c r="W229" s="37" t="b">
        <v>0</v>
      </c>
      <c r="X229" s="37" t="b">
        <v>0</v>
      </c>
    </row>
    <row r="230" ht="24.0" customHeight="1">
      <c r="A230" s="76" t="s">
        <v>728</v>
      </c>
      <c r="B230" s="383">
        <v>46129.0</v>
      </c>
      <c r="C230" s="384"/>
      <c r="D230" s="455" t="s">
        <v>53</v>
      </c>
      <c r="E230" s="456" t="s">
        <v>620</v>
      </c>
      <c r="F230" s="138" t="s">
        <v>703</v>
      </c>
      <c r="G230" s="76" t="s">
        <v>173</v>
      </c>
      <c r="H230" s="385">
        <v>25.0</v>
      </c>
      <c r="I230" s="386">
        <f>IF(G230="", "", IFERROR(VLOOKUP(G230, Products!A:F, 4, FALSE), ""))
</f>
        <v>15</v>
      </c>
      <c r="J230" s="386">
        <v>175.0</v>
      </c>
      <c r="K230" s="54">
        <f t="shared" si="10"/>
        <v>200</v>
      </c>
      <c r="L230" s="387">
        <v>100.0</v>
      </c>
      <c r="M230" s="138" t="s">
        <v>73</v>
      </c>
      <c r="N230" s="46">
        <f t="shared" si="2"/>
        <v>100</v>
      </c>
      <c r="O230" s="369" t="b">
        <v>1</v>
      </c>
      <c r="P230" s="369" t="b">
        <v>1</v>
      </c>
      <c r="Q230" s="387">
        <v>100.0</v>
      </c>
      <c r="R230" s="138" t="s">
        <v>271</v>
      </c>
      <c r="S230" s="65">
        <f t="shared" si="13"/>
        <v>0</v>
      </c>
      <c r="T230" s="369" t="b">
        <v>1</v>
      </c>
      <c r="U230" s="388"/>
      <c r="V230" s="391" t="b">
        <v>0</v>
      </c>
      <c r="W230" s="391" t="b">
        <v>0</v>
      </c>
      <c r="X230" s="391" t="b">
        <v>0</v>
      </c>
    </row>
    <row r="231" ht="24.0" customHeight="1">
      <c r="A231" s="76" t="s">
        <v>715</v>
      </c>
      <c r="B231" s="383">
        <v>46129.0</v>
      </c>
      <c r="C231" s="384"/>
      <c r="D231" s="455" t="s">
        <v>53</v>
      </c>
      <c r="E231" s="456" t="s">
        <v>620</v>
      </c>
      <c r="F231" s="138" t="s">
        <v>703</v>
      </c>
      <c r="G231" s="44" t="s">
        <v>168</v>
      </c>
      <c r="H231" s="385">
        <v>3.0</v>
      </c>
      <c r="I231" s="386">
        <f>IF(G231="", "", IFERROR(VLOOKUP(G231, Products!A:F, 4, FALSE), ""))
</f>
        <v>80</v>
      </c>
      <c r="J231" s="386">
        <v>90.0</v>
      </c>
      <c r="K231" s="54">
        <f t="shared" si="10"/>
        <v>150</v>
      </c>
      <c r="L231" s="387"/>
      <c r="M231" s="388"/>
      <c r="N231" s="46">
        <f t="shared" si="2"/>
        <v>150</v>
      </c>
      <c r="O231" s="369" t="b">
        <v>1</v>
      </c>
      <c r="P231" s="369" t="b">
        <v>1</v>
      </c>
      <c r="Q231" s="387">
        <v>150.0</v>
      </c>
      <c r="R231" s="138" t="s">
        <v>271</v>
      </c>
      <c r="S231" s="65">
        <f t="shared" si="13"/>
        <v>0</v>
      </c>
      <c r="T231" s="369" t="b">
        <v>1</v>
      </c>
      <c r="U231" s="388"/>
      <c r="V231" s="391" t="b">
        <v>0</v>
      </c>
      <c r="W231" s="391" t="b">
        <v>0</v>
      </c>
      <c r="X231" s="391" t="b">
        <v>0</v>
      </c>
    </row>
    <row r="232" ht="24.0" customHeight="1">
      <c r="A232" s="76" t="s">
        <v>721</v>
      </c>
      <c r="B232" s="383">
        <v>46129.0</v>
      </c>
      <c r="C232" s="384"/>
      <c r="D232" s="455" t="s">
        <v>53</v>
      </c>
      <c r="E232" s="456" t="s">
        <v>620</v>
      </c>
      <c r="F232" s="138" t="s">
        <v>703</v>
      </c>
      <c r="G232" s="76" t="s">
        <v>161</v>
      </c>
      <c r="H232" s="385">
        <v>4.0</v>
      </c>
      <c r="I232" s="386">
        <f>IF(G232="", "", IFERROR(VLOOKUP(G232, Products!A:F, 4, FALSE), ""))
</f>
        <v>80</v>
      </c>
      <c r="J232" s="386">
        <v>120.0</v>
      </c>
      <c r="K232" s="54">
        <f t="shared" si="10"/>
        <v>200</v>
      </c>
      <c r="L232" s="387">
        <v>200.0</v>
      </c>
      <c r="M232" s="138" t="s">
        <v>271</v>
      </c>
      <c r="N232" s="46">
        <f t="shared" si="2"/>
        <v>0</v>
      </c>
      <c r="O232" s="369" t="b">
        <v>1</v>
      </c>
      <c r="P232" s="369" t="b">
        <v>1</v>
      </c>
      <c r="Q232" s="387"/>
      <c r="R232" s="388"/>
      <c r="S232" s="65">
        <f t="shared" si="13"/>
        <v>0</v>
      </c>
      <c r="T232" s="369" t="b">
        <v>1</v>
      </c>
      <c r="U232" s="388"/>
      <c r="V232" s="391" t="b">
        <v>0</v>
      </c>
      <c r="W232" s="391" t="b">
        <v>0</v>
      </c>
      <c r="X232" s="391" t="b">
        <v>0</v>
      </c>
    </row>
    <row r="233" ht="24.0" customHeight="1">
      <c r="A233" s="76" t="s">
        <v>734</v>
      </c>
      <c r="B233" s="383">
        <v>46129.0</v>
      </c>
      <c r="C233" s="384"/>
      <c r="D233" s="116" t="s">
        <v>53</v>
      </c>
      <c r="E233" s="116" t="s">
        <v>638</v>
      </c>
      <c r="F233" s="388"/>
      <c r="G233" s="44" t="s">
        <v>168</v>
      </c>
      <c r="H233" s="385">
        <v>4.0</v>
      </c>
      <c r="I233" s="386">
        <f>IF(G233="", "", IFERROR(VLOOKUP(G233, Products!A:F, 4, FALSE), ""))
</f>
        <v>80</v>
      </c>
      <c r="J233" s="386">
        <v>0.0</v>
      </c>
      <c r="K233" s="54">
        <f t="shared" si="10"/>
        <v>320</v>
      </c>
      <c r="L233" s="387">
        <v>320.0</v>
      </c>
      <c r="M233" s="138" t="s">
        <v>73</v>
      </c>
      <c r="N233" s="46">
        <f t="shared" si="2"/>
        <v>0</v>
      </c>
      <c r="O233" s="369" t="b">
        <v>1</v>
      </c>
      <c r="P233" s="369" t="b">
        <v>1</v>
      </c>
      <c r="Q233" s="387"/>
      <c r="R233" s="388"/>
      <c r="S233" s="65">
        <f t="shared" si="13"/>
        <v>0</v>
      </c>
      <c r="T233" s="369" t="b">
        <v>1</v>
      </c>
      <c r="U233" s="388"/>
      <c r="V233" s="391" t="b">
        <v>0</v>
      </c>
      <c r="W233" s="391" t="b">
        <v>0</v>
      </c>
      <c r="X233" s="391" t="b">
        <v>0</v>
      </c>
    </row>
    <row r="234" ht="24.0" customHeight="1">
      <c r="A234" s="76" t="s">
        <v>629</v>
      </c>
      <c r="B234" s="383">
        <v>46130.0</v>
      </c>
      <c r="C234" s="384"/>
      <c r="D234" s="116" t="s">
        <v>93</v>
      </c>
      <c r="E234" s="116" t="s">
        <v>640</v>
      </c>
      <c r="F234" s="388"/>
      <c r="G234" s="44" t="s">
        <v>168</v>
      </c>
      <c r="H234" s="385">
        <v>4.0</v>
      </c>
      <c r="I234" s="386">
        <f>IF(G234="", "", IFERROR(VLOOKUP(G234, Products!A:F, 4, FALSE), ""))
</f>
        <v>80</v>
      </c>
      <c r="J234" s="386">
        <v>0.0</v>
      </c>
      <c r="K234" s="54">
        <f t="shared" si="10"/>
        <v>320</v>
      </c>
      <c r="L234" s="387">
        <v>200.0</v>
      </c>
      <c r="M234" s="138" t="s">
        <v>73</v>
      </c>
      <c r="N234" s="46">
        <f t="shared" si="2"/>
        <v>120</v>
      </c>
      <c r="O234" s="369" t="b">
        <v>1</v>
      </c>
      <c r="P234" s="369" t="b">
        <v>1</v>
      </c>
      <c r="Q234" s="387">
        <v>120.0</v>
      </c>
      <c r="R234" s="138" t="s">
        <v>684</v>
      </c>
      <c r="S234" s="65">
        <f t="shared" si="13"/>
        <v>0</v>
      </c>
      <c r="T234" s="369" t="b">
        <v>1</v>
      </c>
      <c r="U234" s="44" t="s">
        <v>750</v>
      </c>
      <c r="V234" s="37" t="b">
        <v>0</v>
      </c>
      <c r="W234" s="37" t="b">
        <v>0</v>
      </c>
      <c r="X234" s="37" t="b">
        <v>0</v>
      </c>
    </row>
    <row r="235" ht="24.0" customHeight="1">
      <c r="A235" s="76" t="s">
        <v>746</v>
      </c>
      <c r="B235" s="383">
        <v>46130.0</v>
      </c>
      <c r="C235" s="384"/>
      <c r="D235" s="116" t="s">
        <v>93</v>
      </c>
      <c r="E235" s="116" t="s">
        <v>470</v>
      </c>
      <c r="F235" s="388"/>
      <c r="G235" s="44" t="s">
        <v>168</v>
      </c>
      <c r="H235" s="385">
        <v>8.0</v>
      </c>
      <c r="I235" s="386">
        <f>IF(G235="", "", IFERROR(VLOOKUP(G235, Products!A:F, 4, FALSE), ""))
</f>
        <v>80</v>
      </c>
      <c r="J235" s="405">
        <v>0.0</v>
      </c>
      <c r="K235" s="54">
        <f t="shared" si="10"/>
        <v>640</v>
      </c>
      <c r="L235" s="387">
        <v>320.0</v>
      </c>
      <c r="M235" s="138" t="s">
        <v>73</v>
      </c>
      <c r="N235" s="46">
        <f t="shared" si="2"/>
        <v>320</v>
      </c>
      <c r="O235" s="369" t="b">
        <v>1</v>
      </c>
      <c r="P235" s="369" t="b">
        <v>1</v>
      </c>
      <c r="Q235" s="387">
        <v>320.0</v>
      </c>
      <c r="R235" s="138" t="s">
        <v>271</v>
      </c>
      <c r="S235" s="65">
        <f t="shared" si="13"/>
        <v>0</v>
      </c>
      <c r="T235" s="369" t="b">
        <v>1</v>
      </c>
      <c r="U235" s="138" t="s">
        <v>1014</v>
      </c>
      <c r="V235" s="369" t="b">
        <v>0</v>
      </c>
      <c r="W235" s="369" t="b">
        <v>0</v>
      </c>
      <c r="X235" s="369" t="b">
        <v>0</v>
      </c>
    </row>
    <row r="236" ht="24.0" customHeight="1">
      <c r="A236" s="76" t="s">
        <v>739</v>
      </c>
      <c r="B236" s="383">
        <v>46130.0</v>
      </c>
      <c r="C236" s="384"/>
      <c r="D236" s="116" t="s">
        <v>78</v>
      </c>
      <c r="E236" s="399"/>
      <c r="F236" s="388"/>
      <c r="G236" s="44" t="s">
        <v>168</v>
      </c>
      <c r="H236" s="385">
        <v>10.0</v>
      </c>
      <c r="I236" s="386">
        <f>IF(G236="", "", IFERROR(VLOOKUP(G236, Products!A:F, 4, FALSE), ""))
</f>
        <v>80</v>
      </c>
      <c r="J236" s="386">
        <v>0.0</v>
      </c>
      <c r="K236" s="54">
        <f t="shared" si="10"/>
        <v>800</v>
      </c>
      <c r="L236" s="387">
        <v>800.0</v>
      </c>
      <c r="M236" s="138" t="s">
        <v>73</v>
      </c>
      <c r="N236" s="46">
        <f t="shared" si="2"/>
        <v>0</v>
      </c>
      <c r="O236" s="369" t="b">
        <v>1</v>
      </c>
      <c r="P236" s="369" t="b">
        <v>1</v>
      </c>
      <c r="Q236" s="387"/>
      <c r="R236" s="388"/>
      <c r="S236" s="65">
        <f t="shared" si="13"/>
        <v>0</v>
      </c>
      <c r="T236" s="369" t="b">
        <v>1</v>
      </c>
      <c r="U236" s="388"/>
      <c r="V236" s="391" t="b">
        <v>0</v>
      </c>
      <c r="W236" s="391" t="b">
        <v>0</v>
      </c>
      <c r="X236" s="391" t="b">
        <v>0</v>
      </c>
    </row>
    <row r="237" ht="24.0" customHeight="1">
      <c r="A237" s="76" t="s">
        <v>637</v>
      </c>
      <c r="B237" s="383">
        <v>46130.0</v>
      </c>
      <c r="C237" s="384"/>
      <c r="D237" s="116" t="s">
        <v>93</v>
      </c>
      <c r="E237" s="116" t="s">
        <v>148</v>
      </c>
      <c r="F237" s="388"/>
      <c r="G237" s="44" t="s">
        <v>168</v>
      </c>
      <c r="H237" s="385">
        <v>2.0</v>
      </c>
      <c r="I237" s="386">
        <f>IF(G237="", "", IFERROR(VLOOKUP(G237, Products!A:F, 4, FALSE), ""))
</f>
        <v>80</v>
      </c>
      <c r="J237" s="386">
        <v>0.0</v>
      </c>
      <c r="K237" s="54">
        <f t="shared" si="10"/>
        <v>160</v>
      </c>
      <c r="L237" s="387">
        <v>160.0</v>
      </c>
      <c r="M237" s="138" t="s">
        <v>73</v>
      </c>
      <c r="N237" s="46">
        <f t="shared" si="2"/>
        <v>0</v>
      </c>
      <c r="O237" s="369" t="b">
        <v>1</v>
      </c>
      <c r="P237" s="369" t="b">
        <v>1</v>
      </c>
      <c r="Q237" s="387"/>
      <c r="R237" s="138" t="s">
        <v>684</v>
      </c>
      <c r="S237" s="65">
        <f t="shared" si="13"/>
        <v>0</v>
      </c>
      <c r="T237" s="369" t="b">
        <v>1</v>
      </c>
      <c r="U237" s="44" t="s">
        <v>750</v>
      </c>
      <c r="V237" s="37" t="b">
        <v>0</v>
      </c>
      <c r="W237" s="37" t="b">
        <v>0</v>
      </c>
      <c r="X237" s="37" t="b">
        <v>0</v>
      </c>
    </row>
    <row r="238" ht="24.0" customHeight="1">
      <c r="A238" s="76" t="s">
        <v>180</v>
      </c>
      <c r="B238" s="383">
        <v>46131.0</v>
      </c>
      <c r="C238" s="384" t="s">
        <v>1256</v>
      </c>
      <c r="D238" s="116" t="s">
        <v>93</v>
      </c>
      <c r="E238" s="116" t="s">
        <v>209</v>
      </c>
      <c r="F238" s="388"/>
      <c r="G238" s="44" t="s">
        <v>168</v>
      </c>
      <c r="H238" s="385">
        <v>8.0</v>
      </c>
      <c r="I238" s="386">
        <f>IF(G238="", "", IFERROR(VLOOKUP(G238, Products!A:F, 4, FALSE), ""))
</f>
        <v>80</v>
      </c>
      <c r="J238" s="386">
        <v>0.0</v>
      </c>
      <c r="K238" s="54">
        <f t="shared" si="10"/>
        <v>640</v>
      </c>
      <c r="L238" s="387">
        <v>320.0</v>
      </c>
      <c r="M238" s="138" t="s">
        <v>73</v>
      </c>
      <c r="N238" s="46">
        <f t="shared" si="2"/>
        <v>320</v>
      </c>
      <c r="O238" s="369" t="b">
        <v>1</v>
      </c>
      <c r="P238" s="369" t="b">
        <v>1</v>
      </c>
      <c r="Q238" s="387">
        <v>320.0</v>
      </c>
      <c r="R238" s="138" t="s">
        <v>271</v>
      </c>
      <c r="S238" s="65">
        <f t="shared" si="13"/>
        <v>0</v>
      </c>
      <c r="T238" s="369" t="b">
        <v>1</v>
      </c>
      <c r="U238" s="138" t="s">
        <v>1014</v>
      </c>
      <c r="V238" s="369" t="b">
        <v>0</v>
      </c>
      <c r="W238" s="369" t="b">
        <v>0</v>
      </c>
      <c r="X238" s="369" t="b">
        <v>0</v>
      </c>
    </row>
    <row r="239" ht="24.0" customHeight="1">
      <c r="A239" s="76" t="s">
        <v>752</v>
      </c>
      <c r="B239" s="383">
        <v>46133.0</v>
      </c>
      <c r="C239" s="384" t="s">
        <v>1257</v>
      </c>
      <c r="D239" s="116" t="s">
        <v>93</v>
      </c>
      <c r="E239" s="116" t="s">
        <v>588</v>
      </c>
      <c r="F239" s="138" t="s">
        <v>703</v>
      </c>
      <c r="G239" s="44" t="s">
        <v>168</v>
      </c>
      <c r="H239" s="385">
        <v>8.0</v>
      </c>
      <c r="I239" s="386">
        <f>IF(G239="", "", IFERROR(VLOOKUP(G239, Products!A:F, 4, FALSE), ""))
</f>
        <v>80</v>
      </c>
      <c r="J239" s="386">
        <v>0.0</v>
      </c>
      <c r="K239" s="54">
        <f t="shared" si="10"/>
        <v>640</v>
      </c>
      <c r="L239" s="387">
        <v>320.0</v>
      </c>
      <c r="M239" s="138" t="s">
        <v>110</v>
      </c>
      <c r="N239" s="46">
        <f t="shared" si="2"/>
        <v>320</v>
      </c>
      <c r="O239" s="369" t="b">
        <v>1</v>
      </c>
      <c r="P239" s="369" t="b">
        <v>1</v>
      </c>
      <c r="Q239" s="387">
        <v>320.0</v>
      </c>
      <c r="R239" s="138" t="s">
        <v>271</v>
      </c>
      <c r="S239" s="65">
        <f t="shared" si="13"/>
        <v>0</v>
      </c>
      <c r="T239" s="369" t="b">
        <v>1</v>
      </c>
      <c r="U239" s="138" t="s">
        <v>1014</v>
      </c>
      <c r="V239" s="369" t="b">
        <v>0</v>
      </c>
      <c r="W239" s="369" t="b">
        <v>0</v>
      </c>
      <c r="X239" s="369" t="b">
        <v>0</v>
      </c>
    </row>
    <row r="240" ht="24.0" customHeight="1">
      <c r="A240" s="76" t="s">
        <v>127</v>
      </c>
      <c r="B240" s="383">
        <v>46140.0</v>
      </c>
      <c r="C240" s="384" t="s">
        <v>1258</v>
      </c>
      <c r="D240" s="116" t="s">
        <v>195</v>
      </c>
      <c r="E240" s="399"/>
      <c r="F240" s="138" t="s">
        <v>703</v>
      </c>
      <c r="G240" s="76" t="s">
        <v>185</v>
      </c>
      <c r="H240" s="385">
        <v>4.0</v>
      </c>
      <c r="I240" s="386">
        <f>IF(G240="", "", IFERROR(VLOOKUP(G240, Products!A:F, 4, FALSE), ""))
</f>
        <v>80</v>
      </c>
      <c r="J240" s="386">
        <v>0.0</v>
      </c>
      <c r="K240" s="54">
        <f t="shared" si="10"/>
        <v>320</v>
      </c>
      <c r="L240" s="387">
        <v>300.0</v>
      </c>
      <c r="M240" s="138" t="s">
        <v>73</v>
      </c>
      <c r="N240" s="46">
        <f t="shared" si="2"/>
        <v>20</v>
      </c>
      <c r="O240" s="369" t="b">
        <v>1</v>
      </c>
      <c r="P240" s="369" t="b">
        <v>1</v>
      </c>
      <c r="Q240" s="387">
        <v>20.0</v>
      </c>
      <c r="R240" s="138" t="s">
        <v>684</v>
      </c>
      <c r="S240" s="65">
        <f t="shared" si="13"/>
        <v>0</v>
      </c>
      <c r="T240" s="369" t="b">
        <v>1</v>
      </c>
      <c r="U240" s="388"/>
      <c r="V240" s="391" t="b">
        <v>0</v>
      </c>
      <c r="W240" s="391" t="b">
        <v>0</v>
      </c>
      <c r="X240" s="391" t="b">
        <v>0</v>
      </c>
    </row>
    <row r="241" ht="24.0" customHeight="1">
      <c r="A241" s="76" t="s">
        <v>152</v>
      </c>
      <c r="B241" s="383">
        <v>46140.0</v>
      </c>
      <c r="C241" s="384" t="s">
        <v>1259</v>
      </c>
      <c r="D241" s="116" t="s">
        <v>93</v>
      </c>
      <c r="E241" s="116" t="s">
        <v>154</v>
      </c>
      <c r="F241" s="388"/>
      <c r="G241" s="76" t="s">
        <v>185</v>
      </c>
      <c r="H241" s="385">
        <v>4.0</v>
      </c>
      <c r="I241" s="386">
        <f>IF(G241="", "", IFERROR(VLOOKUP(G241, Products!A:F, 4, FALSE), ""))
</f>
        <v>80</v>
      </c>
      <c r="J241" s="386">
        <v>0.0</v>
      </c>
      <c r="K241" s="54">
        <f t="shared" si="10"/>
        <v>320</v>
      </c>
      <c r="L241" s="387">
        <v>320.0</v>
      </c>
      <c r="M241" s="138" t="s">
        <v>73</v>
      </c>
      <c r="N241" s="46">
        <f t="shared" si="2"/>
        <v>0</v>
      </c>
      <c r="O241" s="369" t="b">
        <v>1</v>
      </c>
      <c r="P241" s="369" t="b">
        <v>1</v>
      </c>
      <c r="Q241" s="387"/>
      <c r="R241" s="138" t="s">
        <v>684</v>
      </c>
      <c r="S241" s="65">
        <f t="shared" si="13"/>
        <v>0</v>
      </c>
      <c r="T241" s="369" t="b">
        <v>1</v>
      </c>
      <c r="U241" s="388"/>
      <c r="V241" s="391" t="b">
        <v>0</v>
      </c>
      <c r="W241" s="391" t="b">
        <v>0</v>
      </c>
      <c r="X241" s="391" t="b">
        <v>0</v>
      </c>
    </row>
    <row r="242" ht="24.0" customHeight="1">
      <c r="A242" s="76" t="s">
        <v>171</v>
      </c>
      <c r="B242" s="383">
        <v>46140.0</v>
      </c>
      <c r="C242" s="384" t="s">
        <v>1260</v>
      </c>
      <c r="D242" s="116" t="s">
        <v>78</v>
      </c>
      <c r="E242" s="116" t="s">
        <v>614</v>
      </c>
      <c r="F242" s="388"/>
      <c r="G242" s="76" t="s">
        <v>185</v>
      </c>
      <c r="H242" s="385">
        <v>3.0</v>
      </c>
      <c r="I242" s="386">
        <f>IF(G242="", "", IFERROR(VLOOKUP(G242, Products!A:F, 4, FALSE), ""))
</f>
        <v>80</v>
      </c>
      <c r="J242" s="386">
        <v>0.0</v>
      </c>
      <c r="K242" s="54">
        <f t="shared" si="10"/>
        <v>240</v>
      </c>
      <c r="L242" s="387">
        <v>120.0</v>
      </c>
      <c r="M242" s="138" t="s">
        <v>73</v>
      </c>
      <c r="N242" s="46">
        <f t="shared" si="2"/>
        <v>120</v>
      </c>
      <c r="O242" s="369" t="b">
        <v>1</v>
      </c>
      <c r="P242" s="369" t="b">
        <v>1</v>
      </c>
      <c r="Q242" s="387">
        <v>120.0</v>
      </c>
      <c r="R242" s="138" t="s">
        <v>271</v>
      </c>
      <c r="S242" s="65">
        <f t="shared" si="13"/>
        <v>0</v>
      </c>
      <c r="T242" s="369" t="b">
        <v>1</v>
      </c>
      <c r="U242" s="388"/>
      <c r="V242" s="391" t="b">
        <v>0</v>
      </c>
      <c r="W242" s="391" t="b">
        <v>0</v>
      </c>
      <c r="X242" s="391" t="b">
        <v>0</v>
      </c>
    </row>
    <row r="243" ht="24.0" customHeight="1">
      <c r="A243" s="76" t="s">
        <v>746</v>
      </c>
      <c r="B243" s="383">
        <v>46140.0</v>
      </c>
      <c r="C243" s="384" t="s">
        <v>1261</v>
      </c>
      <c r="D243" s="116" t="s">
        <v>93</v>
      </c>
      <c r="E243" s="116" t="s">
        <v>470</v>
      </c>
      <c r="F243" s="388"/>
      <c r="G243" s="76" t="s">
        <v>185</v>
      </c>
      <c r="H243" s="385">
        <v>5.0</v>
      </c>
      <c r="I243" s="386">
        <f>IF(G243="", "", IFERROR(VLOOKUP(G243, Products!A:F, 4, FALSE), ""))
</f>
        <v>80</v>
      </c>
      <c r="J243" s="386">
        <v>0.0</v>
      </c>
      <c r="K243" s="54">
        <f t="shared" si="10"/>
        <v>400</v>
      </c>
      <c r="L243" s="387">
        <v>200.0</v>
      </c>
      <c r="M243" s="138" t="s">
        <v>73</v>
      </c>
      <c r="N243" s="46">
        <f t="shared" si="2"/>
        <v>200</v>
      </c>
      <c r="O243" s="369" t="b">
        <v>1</v>
      </c>
      <c r="P243" s="369" t="b">
        <v>1</v>
      </c>
      <c r="Q243" s="387">
        <v>200.0</v>
      </c>
      <c r="R243" s="138" t="s">
        <v>73</v>
      </c>
      <c r="S243" s="65">
        <f t="shared" si="13"/>
        <v>0</v>
      </c>
      <c r="T243" s="369" t="b">
        <v>1</v>
      </c>
      <c r="U243" s="388"/>
      <c r="V243" s="391" t="b">
        <v>0</v>
      </c>
      <c r="W243" s="391" t="b">
        <v>0</v>
      </c>
      <c r="X243" s="391" t="b">
        <v>0</v>
      </c>
    </row>
    <row r="244" ht="24.0" customHeight="1">
      <c r="A244" s="76" t="s">
        <v>419</v>
      </c>
      <c r="B244" s="383">
        <v>46140.0</v>
      </c>
      <c r="C244" s="384" t="s">
        <v>1262</v>
      </c>
      <c r="D244" s="116" t="s">
        <v>78</v>
      </c>
      <c r="E244" s="116" t="s">
        <v>570</v>
      </c>
      <c r="F244" s="388"/>
      <c r="G244" s="76" t="s">
        <v>185</v>
      </c>
      <c r="H244" s="385">
        <v>3.0</v>
      </c>
      <c r="I244" s="386">
        <f>IF(G244="", "", IFERROR(VLOOKUP(G244, Products!A:F, 4, FALSE), ""))
</f>
        <v>80</v>
      </c>
      <c r="J244" s="386">
        <v>0.0</v>
      </c>
      <c r="K244" s="54">
        <f t="shared" si="10"/>
        <v>240</v>
      </c>
      <c r="L244" s="387">
        <v>120.0</v>
      </c>
      <c r="M244" s="138" t="s">
        <v>73</v>
      </c>
      <c r="N244" s="46">
        <f t="shared" si="2"/>
        <v>120</v>
      </c>
      <c r="O244" s="369" t="b">
        <v>1</v>
      </c>
      <c r="P244" s="369" t="b">
        <v>1</v>
      </c>
      <c r="Q244" s="387">
        <v>120.0</v>
      </c>
      <c r="R244" s="138" t="s">
        <v>684</v>
      </c>
      <c r="S244" s="65">
        <f t="shared" si="13"/>
        <v>0</v>
      </c>
      <c r="T244" s="369" t="b">
        <v>1</v>
      </c>
      <c r="U244" s="388"/>
      <c r="V244" s="391" t="b">
        <v>0</v>
      </c>
      <c r="W244" s="391" t="b">
        <v>0</v>
      </c>
      <c r="X244" s="391" t="b">
        <v>0</v>
      </c>
    </row>
    <row r="245" ht="24.0" customHeight="1">
      <c r="A245" s="76" t="s">
        <v>322</v>
      </c>
      <c r="B245" s="383">
        <v>46140.0</v>
      </c>
      <c r="C245" s="384" t="s">
        <v>770</v>
      </c>
      <c r="D245" s="116" t="s">
        <v>93</v>
      </c>
      <c r="E245" s="116" t="s">
        <v>323</v>
      </c>
      <c r="F245" s="138" t="s">
        <v>703</v>
      </c>
      <c r="G245" s="76" t="s">
        <v>185</v>
      </c>
      <c r="H245" s="385">
        <v>3.0</v>
      </c>
      <c r="I245" s="386">
        <f>IF(G245="", "", IFERROR(VLOOKUP(G245, Products!A:F, 4, FALSE), ""))
</f>
        <v>80</v>
      </c>
      <c r="J245" s="386">
        <v>0.0</v>
      </c>
      <c r="K245" s="54">
        <f t="shared" si="10"/>
        <v>240</v>
      </c>
      <c r="L245" s="387"/>
      <c r="M245" s="388"/>
      <c r="N245" s="46">
        <f t="shared" si="2"/>
        <v>240</v>
      </c>
      <c r="O245" s="369" t="b">
        <v>1</v>
      </c>
      <c r="P245" s="369" t="b">
        <v>1</v>
      </c>
      <c r="Q245" s="387">
        <v>240.0</v>
      </c>
      <c r="R245" s="138" t="s">
        <v>271</v>
      </c>
      <c r="S245" s="65">
        <f t="shared" si="13"/>
        <v>0</v>
      </c>
      <c r="T245" s="369" t="b">
        <v>1</v>
      </c>
      <c r="U245" s="138" t="s">
        <v>1014</v>
      </c>
      <c r="V245" s="369" t="b">
        <v>0</v>
      </c>
      <c r="W245" s="369" t="b">
        <v>0</v>
      </c>
      <c r="X245" s="369" t="b">
        <v>0</v>
      </c>
    </row>
    <row r="246" ht="24.0" customHeight="1">
      <c r="A246" s="76" t="s">
        <v>761</v>
      </c>
      <c r="B246" s="383">
        <v>46140.0</v>
      </c>
      <c r="C246" s="384" t="s">
        <v>1263</v>
      </c>
      <c r="D246" s="116" t="s">
        <v>78</v>
      </c>
      <c r="E246" s="116" t="s">
        <v>574</v>
      </c>
      <c r="F246" s="388"/>
      <c r="G246" s="76" t="s">
        <v>185</v>
      </c>
      <c r="H246" s="385">
        <v>3.0</v>
      </c>
      <c r="I246" s="386">
        <f>IF(G246="", "", IFERROR(VLOOKUP(G246, Products!A:F, 4, FALSE), ""))
</f>
        <v>80</v>
      </c>
      <c r="J246" s="386">
        <v>0.0</v>
      </c>
      <c r="K246" s="54">
        <f t="shared" si="10"/>
        <v>240</v>
      </c>
      <c r="L246" s="387">
        <v>100.0</v>
      </c>
      <c r="M246" s="138" t="s">
        <v>73</v>
      </c>
      <c r="N246" s="46">
        <f t="shared" si="2"/>
        <v>140</v>
      </c>
      <c r="O246" s="369" t="b">
        <v>1</v>
      </c>
      <c r="P246" s="369" t="b">
        <v>1</v>
      </c>
      <c r="Q246" s="387">
        <v>140.0</v>
      </c>
      <c r="R246" s="138" t="s">
        <v>684</v>
      </c>
      <c r="S246" s="65">
        <f t="shared" si="13"/>
        <v>0</v>
      </c>
      <c r="T246" s="369" t="b">
        <v>1</v>
      </c>
      <c r="U246" s="388"/>
      <c r="V246" s="391" t="b">
        <v>0</v>
      </c>
      <c r="W246" s="391" t="b">
        <v>0</v>
      </c>
      <c r="X246" s="391" t="b">
        <v>0</v>
      </c>
    </row>
    <row r="247" ht="24.0" customHeight="1">
      <c r="A247" s="76" t="s">
        <v>761</v>
      </c>
      <c r="B247" s="383">
        <v>46140.0</v>
      </c>
      <c r="C247" s="384"/>
      <c r="D247" s="394"/>
      <c r="E247" s="394"/>
      <c r="F247" s="388"/>
      <c r="G247" s="44" t="s">
        <v>168</v>
      </c>
      <c r="H247" s="385">
        <v>3.0</v>
      </c>
      <c r="I247" s="386">
        <f>IF(G247="", "", IFERROR(VLOOKUP(G247, Products!A:F, 4, FALSE), ""))
</f>
        <v>80</v>
      </c>
      <c r="J247" s="386">
        <v>0.0</v>
      </c>
      <c r="K247" s="54">
        <f t="shared" si="10"/>
        <v>240</v>
      </c>
      <c r="L247" s="387">
        <v>150.0</v>
      </c>
      <c r="M247" s="138" t="s">
        <v>73</v>
      </c>
      <c r="N247" s="46">
        <f t="shared" si="2"/>
        <v>90</v>
      </c>
      <c r="O247" s="369" t="b">
        <v>1</v>
      </c>
      <c r="P247" s="369" t="b">
        <v>1</v>
      </c>
      <c r="Q247" s="387">
        <v>90.0</v>
      </c>
      <c r="R247" s="138" t="s">
        <v>684</v>
      </c>
      <c r="S247" s="65">
        <f t="shared" si="13"/>
        <v>0</v>
      </c>
      <c r="T247" s="369" t="b">
        <v>1</v>
      </c>
      <c r="U247" s="388"/>
      <c r="V247" s="391" t="b">
        <v>0</v>
      </c>
      <c r="W247" s="391" t="b">
        <v>0</v>
      </c>
      <c r="X247" s="391" t="b">
        <v>0</v>
      </c>
    </row>
    <row r="248" ht="24.0" customHeight="1">
      <c r="A248" s="76" t="s">
        <v>773</v>
      </c>
      <c r="B248" s="383">
        <v>46140.0</v>
      </c>
      <c r="C248" s="384" t="s">
        <v>1264</v>
      </c>
      <c r="D248" s="116" t="s">
        <v>93</v>
      </c>
      <c r="E248" s="116" t="s">
        <v>641</v>
      </c>
      <c r="F248" s="388"/>
      <c r="G248" s="76" t="s">
        <v>185</v>
      </c>
      <c r="H248" s="385">
        <v>4.0</v>
      </c>
      <c r="I248" s="386">
        <f>IF(G248="", "", IFERROR(VLOOKUP(G248, Products!A:F, 4, FALSE), ""))
</f>
        <v>80</v>
      </c>
      <c r="J248" s="386">
        <v>0.0</v>
      </c>
      <c r="K248" s="54">
        <f t="shared" si="10"/>
        <v>320</v>
      </c>
      <c r="L248" s="387">
        <v>200.0</v>
      </c>
      <c r="M248" s="138" t="s">
        <v>73</v>
      </c>
      <c r="N248" s="46">
        <f t="shared" si="2"/>
        <v>120</v>
      </c>
      <c r="O248" s="369" t="b">
        <v>1</v>
      </c>
      <c r="P248" s="369" t="b">
        <v>1</v>
      </c>
      <c r="Q248" s="387">
        <v>120.0</v>
      </c>
      <c r="R248" s="138" t="s">
        <v>271</v>
      </c>
      <c r="S248" s="65">
        <f t="shared" si="13"/>
        <v>0</v>
      </c>
      <c r="T248" s="369" t="b">
        <v>1</v>
      </c>
      <c r="U248" s="138" t="s">
        <v>1014</v>
      </c>
      <c r="V248" s="369" t="b">
        <v>0</v>
      </c>
      <c r="W248" s="369" t="b">
        <v>0</v>
      </c>
      <c r="X248" s="369" t="b">
        <v>0</v>
      </c>
    </row>
    <row r="249" ht="24.0" customHeight="1">
      <c r="A249" s="76" t="s">
        <v>765</v>
      </c>
      <c r="B249" s="383">
        <v>46140.0</v>
      </c>
      <c r="C249" s="384" t="s">
        <v>1265</v>
      </c>
      <c r="D249" s="116" t="s">
        <v>93</v>
      </c>
      <c r="E249" s="116" t="s">
        <v>156</v>
      </c>
      <c r="F249" s="388"/>
      <c r="G249" s="76" t="s">
        <v>185</v>
      </c>
      <c r="H249" s="385">
        <v>1.0</v>
      </c>
      <c r="I249" s="386">
        <f>IF(G249="", "", IFERROR(VLOOKUP(G249, Products!A:F, 4, FALSE), ""))
</f>
        <v>80</v>
      </c>
      <c r="J249" s="386">
        <v>0.0</v>
      </c>
      <c r="K249" s="54">
        <f t="shared" si="10"/>
        <v>80</v>
      </c>
      <c r="L249" s="387">
        <v>80.0</v>
      </c>
      <c r="M249" s="138" t="s">
        <v>73</v>
      </c>
      <c r="N249" s="46">
        <f t="shared" si="2"/>
        <v>0</v>
      </c>
      <c r="O249" s="369" t="b">
        <v>1</v>
      </c>
      <c r="P249" s="369" t="b">
        <v>1</v>
      </c>
      <c r="Q249" s="387"/>
      <c r="R249" s="388"/>
      <c r="S249" s="65">
        <f t="shared" si="13"/>
        <v>0</v>
      </c>
      <c r="T249" s="369" t="b">
        <v>1</v>
      </c>
      <c r="U249" s="138" t="s">
        <v>1014</v>
      </c>
      <c r="V249" s="369" t="b">
        <v>0</v>
      </c>
      <c r="W249" s="369" t="b">
        <v>0</v>
      </c>
      <c r="X249" s="369" t="b">
        <v>0</v>
      </c>
    </row>
    <row r="250" ht="24.0" customHeight="1">
      <c r="A250" s="76" t="s">
        <v>765</v>
      </c>
      <c r="B250" s="383">
        <v>46140.0</v>
      </c>
      <c r="C250" s="384"/>
      <c r="D250" s="394"/>
      <c r="E250" s="394"/>
      <c r="F250" s="388"/>
      <c r="G250" s="44" t="s">
        <v>168</v>
      </c>
      <c r="H250" s="385">
        <v>1.0</v>
      </c>
      <c r="I250" s="386">
        <f>IF(G250="", "", IFERROR(VLOOKUP(G250, Products!A:F, 4, FALSE), ""))
</f>
        <v>80</v>
      </c>
      <c r="J250" s="386">
        <v>0.0</v>
      </c>
      <c r="K250" s="54">
        <f t="shared" si="10"/>
        <v>80</v>
      </c>
      <c r="L250" s="387">
        <v>80.0</v>
      </c>
      <c r="M250" s="138" t="s">
        <v>73</v>
      </c>
      <c r="N250" s="46">
        <f t="shared" si="2"/>
        <v>0</v>
      </c>
      <c r="O250" s="369" t="b">
        <v>1</v>
      </c>
      <c r="P250" s="369" t="b">
        <v>1</v>
      </c>
      <c r="Q250" s="387"/>
      <c r="R250" s="388"/>
      <c r="S250" s="65">
        <f t="shared" si="13"/>
        <v>0</v>
      </c>
      <c r="T250" s="369" t="b">
        <v>1</v>
      </c>
      <c r="U250" s="138" t="s">
        <v>1014</v>
      </c>
      <c r="V250" s="369" t="b">
        <v>0</v>
      </c>
      <c r="W250" s="369" t="b">
        <v>0</v>
      </c>
      <c r="X250" s="369" t="b">
        <v>0</v>
      </c>
    </row>
    <row r="251" ht="24.0" customHeight="1">
      <c r="A251" s="76" t="s">
        <v>252</v>
      </c>
      <c r="B251" s="383">
        <v>46140.0</v>
      </c>
      <c r="C251" s="384" t="s">
        <v>1266</v>
      </c>
      <c r="D251" s="116" t="s">
        <v>243</v>
      </c>
      <c r="E251" s="116" t="s">
        <v>590</v>
      </c>
      <c r="F251" s="388"/>
      <c r="G251" s="76" t="s">
        <v>185</v>
      </c>
      <c r="H251" s="385">
        <v>18.0</v>
      </c>
      <c r="I251" s="386">
        <f>IF(G251="", "", IFERROR(VLOOKUP(G251, Products!A:F, 4, FALSE), ""))
</f>
        <v>80</v>
      </c>
      <c r="J251" s="386">
        <v>0.0</v>
      </c>
      <c r="K251" s="54">
        <f t="shared" si="10"/>
        <v>1440</v>
      </c>
      <c r="L251" s="387">
        <v>720.0</v>
      </c>
      <c r="M251" s="138" t="s">
        <v>73</v>
      </c>
      <c r="N251" s="46">
        <f t="shared" si="2"/>
        <v>720</v>
      </c>
      <c r="O251" s="369" t="b">
        <v>1</v>
      </c>
      <c r="P251" s="369" t="b">
        <v>1</v>
      </c>
      <c r="Q251" s="387">
        <v>720.0</v>
      </c>
      <c r="R251" s="138" t="s">
        <v>684</v>
      </c>
      <c r="S251" s="65">
        <f t="shared" si="13"/>
        <v>0</v>
      </c>
      <c r="T251" s="369" t="b">
        <v>1</v>
      </c>
      <c r="U251" s="388"/>
      <c r="V251" s="391" t="b">
        <v>0</v>
      </c>
      <c r="W251" s="391" t="b">
        <v>0</v>
      </c>
      <c r="X251" s="391" t="b">
        <v>0</v>
      </c>
    </row>
    <row r="252" ht="24.0" customHeight="1">
      <c r="A252" s="76" t="s">
        <v>769</v>
      </c>
      <c r="B252" s="383">
        <v>46140.0</v>
      </c>
      <c r="C252" s="384" t="s">
        <v>1267</v>
      </c>
      <c r="D252" s="116" t="s">
        <v>78</v>
      </c>
      <c r="E252" s="116" t="s">
        <v>213</v>
      </c>
      <c r="F252" s="388"/>
      <c r="G252" s="76" t="s">
        <v>185</v>
      </c>
      <c r="H252" s="385">
        <v>3.0</v>
      </c>
      <c r="I252" s="386">
        <f>IF(G252="", "", IFERROR(VLOOKUP(G252, Products!A:F, 4, FALSE), ""))
</f>
        <v>80</v>
      </c>
      <c r="J252" s="386">
        <v>0.0</v>
      </c>
      <c r="K252" s="54">
        <f t="shared" si="10"/>
        <v>240</v>
      </c>
      <c r="L252" s="387">
        <v>200.0</v>
      </c>
      <c r="M252" s="138" t="s">
        <v>73</v>
      </c>
      <c r="N252" s="46">
        <f t="shared" si="2"/>
        <v>40</v>
      </c>
      <c r="O252" s="369" t="b">
        <v>1</v>
      </c>
      <c r="P252" s="369" t="b">
        <v>1</v>
      </c>
      <c r="Q252" s="387">
        <v>40.0</v>
      </c>
      <c r="R252" s="138" t="s">
        <v>271</v>
      </c>
      <c r="S252" s="65">
        <f t="shared" si="13"/>
        <v>0</v>
      </c>
      <c r="T252" s="369" t="b">
        <v>1</v>
      </c>
      <c r="U252" s="138" t="s">
        <v>1014</v>
      </c>
      <c r="V252" s="369" t="b">
        <v>0</v>
      </c>
      <c r="W252" s="369" t="b">
        <v>0</v>
      </c>
      <c r="X252" s="369" t="b">
        <v>0</v>
      </c>
    </row>
    <row r="253" ht="24.0" customHeight="1">
      <c r="A253" s="76" t="s">
        <v>777</v>
      </c>
      <c r="B253" s="383">
        <v>46141.0</v>
      </c>
      <c r="C253" s="384" t="s">
        <v>1268</v>
      </c>
      <c r="D253" s="91" t="s">
        <v>188</v>
      </c>
      <c r="E253" s="92"/>
      <c r="F253" s="138" t="s">
        <v>703</v>
      </c>
      <c r="G253" s="76" t="s">
        <v>187</v>
      </c>
      <c r="H253" s="385">
        <v>1.0</v>
      </c>
      <c r="I253" s="386">
        <f>IF(G253="", "", IFERROR(VLOOKUP(G253, Products!A:F, 4, FALSE), ""))
</f>
        <v>400</v>
      </c>
      <c r="J253" s="405">
        <v>0.0</v>
      </c>
      <c r="K253" s="54">
        <f t="shared" si="10"/>
        <v>400</v>
      </c>
      <c r="L253" s="387">
        <v>200.0</v>
      </c>
      <c r="M253" s="138" t="s">
        <v>73</v>
      </c>
      <c r="N253" s="46">
        <f t="shared" si="2"/>
        <v>200</v>
      </c>
      <c r="O253" s="369" t="b">
        <v>1</v>
      </c>
      <c r="P253" s="369" t="b">
        <v>1</v>
      </c>
      <c r="Q253" s="387">
        <v>200.0</v>
      </c>
      <c r="R253" s="138" t="s">
        <v>684</v>
      </c>
      <c r="S253" s="65">
        <f t="shared" si="13"/>
        <v>0</v>
      </c>
      <c r="T253" s="369" t="b">
        <v>1</v>
      </c>
      <c r="U253" s="388"/>
      <c r="V253" s="391" t="b">
        <v>0</v>
      </c>
      <c r="W253" s="391" t="b">
        <v>0</v>
      </c>
      <c r="X253" s="391" t="b">
        <v>0</v>
      </c>
    </row>
    <row r="254" ht="24.0" customHeight="1">
      <c r="A254" s="76" t="s">
        <v>788</v>
      </c>
      <c r="B254" s="383">
        <v>46141.0</v>
      </c>
      <c r="C254" s="384" t="s">
        <v>1269</v>
      </c>
      <c r="D254" s="116" t="s">
        <v>53</v>
      </c>
      <c r="E254" s="116" t="s">
        <v>57</v>
      </c>
      <c r="F254" s="138" t="s">
        <v>221</v>
      </c>
      <c r="G254" s="76" t="s">
        <v>187</v>
      </c>
      <c r="H254" s="385">
        <v>4.0</v>
      </c>
      <c r="I254" s="386">
        <f>IF(G254="", "", IFERROR(VLOOKUP(G254, Products!A:F, 4, FALSE), ""))
</f>
        <v>400</v>
      </c>
      <c r="J254" s="405">
        <v>0.0</v>
      </c>
      <c r="K254" s="54">
        <f t="shared" si="10"/>
        <v>1600</v>
      </c>
      <c r="L254" s="387">
        <v>1400.0</v>
      </c>
      <c r="M254" s="138" t="s">
        <v>73</v>
      </c>
      <c r="N254" s="46">
        <f t="shared" si="2"/>
        <v>200</v>
      </c>
      <c r="O254" s="369" t="b">
        <v>1</v>
      </c>
      <c r="P254" s="369" t="b">
        <v>1</v>
      </c>
      <c r="Q254" s="387">
        <v>200.0</v>
      </c>
      <c r="R254" s="138" t="s">
        <v>684</v>
      </c>
      <c r="S254" s="65">
        <f t="shared" si="13"/>
        <v>0</v>
      </c>
      <c r="T254" s="369" t="b">
        <v>1</v>
      </c>
      <c r="U254" s="388"/>
      <c r="V254" s="391" t="b">
        <v>0</v>
      </c>
      <c r="W254" s="391" t="b">
        <v>0</v>
      </c>
      <c r="X254" s="391" t="b">
        <v>0</v>
      </c>
    </row>
    <row r="255" ht="24.0" customHeight="1">
      <c r="A255" s="76" t="s">
        <v>254</v>
      </c>
      <c r="B255" s="383">
        <v>46142.0</v>
      </c>
      <c r="C255" s="384" t="s">
        <v>1270</v>
      </c>
      <c r="D255" s="116" t="s">
        <v>78</v>
      </c>
      <c r="E255" s="399"/>
      <c r="F255" s="138" t="s">
        <v>703</v>
      </c>
      <c r="G255" s="76" t="s">
        <v>187</v>
      </c>
      <c r="H255" s="385">
        <v>4.0</v>
      </c>
      <c r="I255" s="386">
        <f>IF(G255="", "", IFERROR(VLOOKUP(G255, Products!A:F, 4, FALSE), ""))
</f>
        <v>400</v>
      </c>
      <c r="J255" s="386">
        <v>200.0</v>
      </c>
      <c r="K255" s="54">
        <f t="shared" si="10"/>
        <v>1400</v>
      </c>
      <c r="L255" s="387">
        <v>700.0</v>
      </c>
      <c r="M255" s="138" t="s">
        <v>73</v>
      </c>
      <c r="N255" s="46">
        <f t="shared" si="2"/>
        <v>700</v>
      </c>
      <c r="O255" s="369" t="b">
        <v>1</v>
      </c>
      <c r="P255" s="369" t="b">
        <v>1</v>
      </c>
      <c r="Q255" s="387">
        <v>700.0</v>
      </c>
      <c r="R255" s="138" t="s">
        <v>684</v>
      </c>
      <c r="S255" s="65">
        <f t="shared" si="13"/>
        <v>0</v>
      </c>
      <c r="T255" s="369" t="b">
        <v>1</v>
      </c>
      <c r="U255" s="388"/>
      <c r="V255" s="391" t="b">
        <v>0</v>
      </c>
      <c r="W255" s="391" t="b">
        <v>0</v>
      </c>
      <c r="X255" s="391" t="b">
        <v>0</v>
      </c>
    </row>
    <row r="256" ht="24.0" customHeight="1">
      <c r="A256" s="76" t="s">
        <v>791</v>
      </c>
      <c r="B256" s="383">
        <v>46142.0</v>
      </c>
      <c r="C256" s="384"/>
      <c r="D256" s="394"/>
      <c r="E256" s="394"/>
      <c r="F256" s="388"/>
      <c r="G256" s="44" t="s">
        <v>168</v>
      </c>
      <c r="H256" s="385">
        <v>2.0</v>
      </c>
      <c r="I256" s="386">
        <f>IF(G256="", "", IFERROR(VLOOKUP(G256, Products!A:F, 4, FALSE), ""))
</f>
        <v>80</v>
      </c>
      <c r="J256" s="405">
        <v>0.0</v>
      </c>
      <c r="K256" s="54">
        <f t="shared" si="10"/>
        <v>160</v>
      </c>
      <c r="L256" s="387">
        <v>100.0</v>
      </c>
      <c r="M256" s="138" t="s">
        <v>271</v>
      </c>
      <c r="N256" s="46">
        <f t="shared" si="2"/>
        <v>60</v>
      </c>
      <c r="O256" s="369" t="b">
        <v>1</v>
      </c>
      <c r="P256" s="369" t="b">
        <v>0</v>
      </c>
      <c r="Q256" s="387"/>
      <c r="R256" s="388"/>
      <c r="S256" s="46">
        <v>0.0</v>
      </c>
      <c r="T256" s="369" t="b">
        <v>0</v>
      </c>
      <c r="U256" s="388"/>
      <c r="V256" s="391" t="b">
        <v>0</v>
      </c>
      <c r="W256" s="391" t="b">
        <v>0</v>
      </c>
      <c r="X256" s="391" t="b">
        <v>0</v>
      </c>
    </row>
    <row r="257" ht="24.0" customHeight="1">
      <c r="A257" s="76" t="s">
        <v>390</v>
      </c>
      <c r="B257" s="383">
        <v>46143.0</v>
      </c>
      <c r="C257" s="384" t="s">
        <v>1271</v>
      </c>
      <c r="D257" s="116" t="s">
        <v>195</v>
      </c>
      <c r="E257" s="399"/>
      <c r="F257" s="138" t="s">
        <v>703</v>
      </c>
      <c r="G257" s="457" t="s">
        <v>24</v>
      </c>
      <c r="H257" s="385">
        <v>60.0</v>
      </c>
      <c r="I257" s="386">
        <f>IF(G257="", "", IFERROR(VLOOKUP(G257, Products!A:F, 4, FALSE), ""))
</f>
        <v>30</v>
      </c>
      <c r="J257" s="386">
        <v>180.0</v>
      </c>
      <c r="K257" s="54">
        <f t="shared" si="10"/>
        <v>1620</v>
      </c>
      <c r="L257" s="387">
        <v>800.0</v>
      </c>
      <c r="M257" s="138" t="s">
        <v>73</v>
      </c>
      <c r="N257" s="46">
        <f t="shared" si="2"/>
        <v>820</v>
      </c>
      <c r="O257" s="369" t="b">
        <v>1</v>
      </c>
      <c r="P257" s="369" t="b">
        <v>1</v>
      </c>
      <c r="Q257" s="387">
        <v>820.0</v>
      </c>
      <c r="R257" s="138" t="s">
        <v>684</v>
      </c>
      <c r="S257" s="65">
        <f t="shared" ref="S257:S555" si="14">N257-Q257</f>
        <v>0</v>
      </c>
      <c r="T257" s="369" t="b">
        <v>1</v>
      </c>
      <c r="U257" s="388"/>
      <c r="V257" s="391" t="b">
        <v>0</v>
      </c>
      <c r="W257" s="391" t="b">
        <v>0</v>
      </c>
      <c r="X257" s="391" t="b">
        <v>0</v>
      </c>
    </row>
    <row r="258" ht="24.0" customHeight="1">
      <c r="A258" s="76" t="s">
        <v>438</v>
      </c>
      <c r="B258" s="383">
        <v>46143.0</v>
      </c>
      <c r="C258" s="384" t="s">
        <v>1272</v>
      </c>
      <c r="D258" s="116" t="s">
        <v>93</v>
      </c>
      <c r="E258" s="116" t="s">
        <v>156</v>
      </c>
      <c r="F258" s="388"/>
      <c r="G258" s="76" t="s">
        <v>187</v>
      </c>
      <c r="H258" s="385">
        <v>1.0</v>
      </c>
      <c r="I258" s="386">
        <f>IF(G258="", "", IFERROR(VLOOKUP(G258, Products!A:F, 4, FALSE), ""))
</f>
        <v>400</v>
      </c>
      <c r="J258" s="386">
        <v>0.0</v>
      </c>
      <c r="K258" s="54">
        <f t="shared" si="10"/>
        <v>400</v>
      </c>
      <c r="L258" s="387">
        <v>200.0</v>
      </c>
      <c r="M258" s="138" t="s">
        <v>73</v>
      </c>
      <c r="N258" s="46">
        <f t="shared" si="2"/>
        <v>200</v>
      </c>
      <c r="O258" s="369" t="b">
        <v>1</v>
      </c>
      <c r="P258" s="369" t="b">
        <v>1</v>
      </c>
      <c r="Q258" s="387">
        <v>200.0</v>
      </c>
      <c r="R258" s="138" t="s">
        <v>271</v>
      </c>
      <c r="S258" s="65">
        <f t="shared" si="14"/>
        <v>0</v>
      </c>
      <c r="T258" s="369" t="b">
        <v>1</v>
      </c>
      <c r="U258" s="388"/>
      <c r="V258" s="391" t="b">
        <v>0</v>
      </c>
      <c r="W258" s="391" t="b">
        <v>0</v>
      </c>
      <c r="X258" s="391" t="b">
        <v>0</v>
      </c>
    </row>
    <row r="259" ht="24.0" customHeight="1">
      <c r="A259" s="76" t="s">
        <v>404</v>
      </c>
      <c r="B259" s="383">
        <v>46143.0</v>
      </c>
      <c r="C259" s="384" t="s">
        <v>1170</v>
      </c>
      <c r="D259" s="91" t="s">
        <v>188</v>
      </c>
      <c r="E259" s="92"/>
      <c r="F259" s="388"/>
      <c r="G259" s="76" t="s">
        <v>187</v>
      </c>
      <c r="H259" s="385">
        <v>4.0</v>
      </c>
      <c r="I259" s="386">
        <f>IF(G259="", "", IFERROR(VLOOKUP(G259, Products!A:F, 4, FALSE), ""))
</f>
        <v>400</v>
      </c>
      <c r="J259" s="386">
        <v>200.0</v>
      </c>
      <c r="K259" s="54">
        <f t="shared" si="10"/>
        <v>1400</v>
      </c>
      <c r="L259" s="387">
        <v>700.0</v>
      </c>
      <c r="M259" s="138" t="s">
        <v>110</v>
      </c>
      <c r="N259" s="46">
        <f t="shared" si="2"/>
        <v>700</v>
      </c>
      <c r="O259" s="369" t="b">
        <v>1</v>
      </c>
      <c r="P259" s="369" t="b">
        <v>1</v>
      </c>
      <c r="Q259" s="387">
        <v>700.0</v>
      </c>
      <c r="R259" s="138" t="s">
        <v>684</v>
      </c>
      <c r="S259" s="65">
        <f t="shared" si="14"/>
        <v>0</v>
      </c>
      <c r="T259" s="369" t="b">
        <v>1</v>
      </c>
      <c r="U259" s="388"/>
      <c r="V259" s="391" t="b">
        <v>0</v>
      </c>
      <c r="W259" s="391" t="b">
        <v>0</v>
      </c>
      <c r="X259" s="391" t="b">
        <v>0</v>
      </c>
    </row>
    <row r="260" ht="24.0" customHeight="1">
      <c r="A260" s="76" t="s">
        <v>439</v>
      </c>
      <c r="B260" s="383">
        <v>46146.0</v>
      </c>
      <c r="C260" s="384" t="s">
        <v>1273</v>
      </c>
      <c r="D260" s="116" t="s">
        <v>93</v>
      </c>
      <c r="E260" s="116" t="s">
        <v>154</v>
      </c>
      <c r="F260" s="138" t="s">
        <v>703</v>
      </c>
      <c r="G260" s="76" t="s">
        <v>187</v>
      </c>
      <c r="H260" s="385">
        <v>1.0</v>
      </c>
      <c r="I260" s="386">
        <f>IF(G260="", "", IFERROR(VLOOKUP(G260, Products!A:F, 4, FALSE), ""))
</f>
        <v>400</v>
      </c>
      <c r="J260" s="386">
        <v>0.0</v>
      </c>
      <c r="K260" s="54">
        <f t="shared" si="10"/>
        <v>400</v>
      </c>
      <c r="L260" s="387">
        <v>200.0</v>
      </c>
      <c r="M260" s="138" t="s">
        <v>73</v>
      </c>
      <c r="N260" s="46">
        <f t="shared" si="2"/>
        <v>200</v>
      </c>
      <c r="O260" s="369" t="b">
        <v>1</v>
      </c>
      <c r="P260" s="369" t="b">
        <v>1</v>
      </c>
      <c r="Q260" s="387">
        <v>200.0</v>
      </c>
      <c r="R260" s="138" t="s">
        <v>271</v>
      </c>
      <c r="S260" s="65">
        <f t="shared" si="14"/>
        <v>0</v>
      </c>
      <c r="T260" s="369" t="b">
        <v>1</v>
      </c>
      <c r="U260" s="138" t="s">
        <v>1274</v>
      </c>
      <c r="V260" s="369" t="b">
        <v>0</v>
      </c>
      <c r="W260" s="369" t="b">
        <v>0</v>
      </c>
      <c r="X260" s="369" t="b">
        <v>0</v>
      </c>
    </row>
    <row r="261" ht="24.0" customHeight="1">
      <c r="A261" s="76" t="s">
        <v>443</v>
      </c>
      <c r="B261" s="383">
        <v>46146.0</v>
      </c>
      <c r="C261" s="384" t="s">
        <v>1275</v>
      </c>
      <c r="D261" s="91" t="s">
        <v>188</v>
      </c>
      <c r="E261" s="92"/>
      <c r="F261" s="388"/>
      <c r="G261" s="76" t="s">
        <v>187</v>
      </c>
      <c r="H261" s="385">
        <v>2.0</v>
      </c>
      <c r="I261" s="386">
        <f>IF(G261="", "", IFERROR(VLOOKUP(G261, Products!A:F, 4, FALSE), ""))
</f>
        <v>400</v>
      </c>
      <c r="J261" s="386">
        <v>100.0</v>
      </c>
      <c r="K261" s="54">
        <f t="shared" si="10"/>
        <v>700</v>
      </c>
      <c r="L261" s="387">
        <v>375.0</v>
      </c>
      <c r="M261" s="138" t="s">
        <v>73</v>
      </c>
      <c r="N261" s="46">
        <f t="shared" si="2"/>
        <v>325</v>
      </c>
      <c r="O261" s="369" t="b">
        <v>1</v>
      </c>
      <c r="P261" s="369" t="b">
        <v>1</v>
      </c>
      <c r="Q261" s="387">
        <v>325.0</v>
      </c>
      <c r="R261" s="138" t="s">
        <v>684</v>
      </c>
      <c r="S261" s="65">
        <f t="shared" si="14"/>
        <v>0</v>
      </c>
      <c r="T261" s="369" t="b">
        <v>1</v>
      </c>
      <c r="U261" s="388"/>
      <c r="V261" s="391" t="b">
        <v>0</v>
      </c>
      <c r="W261" s="391" t="b">
        <v>0</v>
      </c>
      <c r="X261" s="391" t="b">
        <v>0</v>
      </c>
    </row>
    <row r="262" ht="24.0" customHeight="1">
      <c r="A262" s="76" t="s">
        <v>440</v>
      </c>
      <c r="B262" s="383">
        <v>46146.0</v>
      </c>
      <c r="C262" s="384" t="s">
        <v>1276</v>
      </c>
      <c r="D262" s="116" t="s">
        <v>441</v>
      </c>
      <c r="E262" s="116" t="s">
        <v>442</v>
      </c>
      <c r="F262" s="388"/>
      <c r="G262" s="76" t="s">
        <v>187</v>
      </c>
      <c r="H262" s="385">
        <v>1.0</v>
      </c>
      <c r="I262" s="386">
        <f>IF(G262="", "", IFERROR(VLOOKUP(G262, Products!A:F, 4, FALSE), ""))
</f>
        <v>400</v>
      </c>
      <c r="J262" s="405">
        <v>0.0</v>
      </c>
      <c r="K262" s="54">
        <f t="shared" si="10"/>
        <v>400</v>
      </c>
      <c r="L262" s="387">
        <v>400.0</v>
      </c>
      <c r="M262" s="138" t="s">
        <v>73</v>
      </c>
      <c r="N262" s="46">
        <f t="shared" si="2"/>
        <v>0</v>
      </c>
      <c r="O262" s="369" t="b">
        <v>1</v>
      </c>
      <c r="P262" s="369" t="b">
        <v>1</v>
      </c>
      <c r="Q262" s="387"/>
      <c r="R262" s="138" t="s">
        <v>684</v>
      </c>
      <c r="S262" s="65">
        <f t="shared" si="14"/>
        <v>0</v>
      </c>
      <c r="T262" s="369" t="b">
        <v>1</v>
      </c>
      <c r="U262" s="388"/>
      <c r="V262" s="391" t="b">
        <v>0</v>
      </c>
      <c r="W262" s="391" t="b">
        <v>0</v>
      </c>
      <c r="X262" s="391" t="b">
        <v>0</v>
      </c>
    </row>
    <row r="263" ht="24.0" customHeight="1">
      <c r="A263" s="76" t="s">
        <v>440</v>
      </c>
      <c r="B263" s="383">
        <v>46146.0</v>
      </c>
      <c r="C263" s="384"/>
      <c r="D263" s="385"/>
      <c r="E263" s="458"/>
      <c r="F263" s="388"/>
      <c r="G263" s="76" t="s">
        <v>201</v>
      </c>
      <c r="H263" s="385">
        <v>1.0</v>
      </c>
      <c r="I263" s="386">
        <f>IF(G263="", "", IFERROR(VLOOKUP(G263, Products!A:F, 4, FALSE), ""))
</f>
        <v>80</v>
      </c>
      <c r="J263" s="405">
        <v>0.0</v>
      </c>
      <c r="K263" s="54">
        <f t="shared" si="10"/>
        <v>80</v>
      </c>
      <c r="L263" s="387">
        <v>100.0</v>
      </c>
      <c r="M263" s="138" t="s">
        <v>73</v>
      </c>
      <c r="N263" s="46">
        <f t="shared" si="2"/>
        <v>-20</v>
      </c>
      <c r="O263" s="369" t="b">
        <v>1</v>
      </c>
      <c r="P263" s="369" t="b">
        <v>1</v>
      </c>
      <c r="Q263" s="387"/>
      <c r="R263" s="138" t="s">
        <v>684</v>
      </c>
      <c r="S263" s="65">
        <f t="shared" si="14"/>
        <v>-20</v>
      </c>
      <c r="T263" s="369" t="b">
        <v>1</v>
      </c>
      <c r="U263" s="388"/>
      <c r="V263" s="391" t="b">
        <v>0</v>
      </c>
      <c r="W263" s="391" t="b">
        <v>0</v>
      </c>
      <c r="X263" s="391" t="b">
        <v>0</v>
      </c>
    </row>
    <row r="264" ht="24.0" customHeight="1">
      <c r="A264" s="76" t="s">
        <v>444</v>
      </c>
      <c r="B264" s="383">
        <v>46147.0</v>
      </c>
      <c r="C264" s="384" t="s">
        <v>1277</v>
      </c>
      <c r="D264" s="116" t="s">
        <v>53</v>
      </c>
      <c r="E264" s="116" t="s">
        <v>628</v>
      </c>
      <c r="F264" s="388"/>
      <c r="G264" s="76" t="s">
        <v>187</v>
      </c>
      <c r="H264" s="385">
        <v>1.0</v>
      </c>
      <c r="I264" s="386">
        <f>IF(G264="", "", IFERROR(VLOOKUP(G264, Products!A:F, 4, FALSE), ""))
</f>
        <v>400</v>
      </c>
      <c r="J264" s="386">
        <v>0.0</v>
      </c>
      <c r="K264" s="54">
        <f t="shared" si="10"/>
        <v>400</v>
      </c>
      <c r="L264" s="387">
        <v>200.0</v>
      </c>
      <c r="M264" s="138" t="s">
        <v>73</v>
      </c>
      <c r="N264" s="46">
        <f t="shared" si="2"/>
        <v>200</v>
      </c>
      <c r="O264" s="369" t="b">
        <v>1</v>
      </c>
      <c r="P264" s="369" t="b">
        <v>1</v>
      </c>
      <c r="Q264" s="387">
        <v>200.0</v>
      </c>
      <c r="R264" s="138" t="s">
        <v>684</v>
      </c>
      <c r="S264" s="65">
        <f t="shared" si="14"/>
        <v>0</v>
      </c>
      <c r="T264" s="369" t="b">
        <v>1</v>
      </c>
      <c r="U264" s="388"/>
      <c r="V264" s="391" t="b">
        <v>0</v>
      </c>
      <c r="W264" s="391" t="b">
        <v>0</v>
      </c>
      <c r="X264" s="391" t="b">
        <v>0</v>
      </c>
    </row>
    <row r="265" ht="24.0" customHeight="1">
      <c r="A265" s="76" t="s">
        <v>782</v>
      </c>
      <c r="B265" s="383">
        <v>46147.0</v>
      </c>
      <c r="C265" s="384"/>
      <c r="D265" s="116" t="s">
        <v>53</v>
      </c>
      <c r="E265" s="116" t="s">
        <v>620</v>
      </c>
      <c r="F265" s="388"/>
      <c r="G265" s="44" t="s">
        <v>168</v>
      </c>
      <c r="H265" s="385">
        <v>1.0</v>
      </c>
      <c r="I265" s="386">
        <f>IF(G265="", "", IFERROR(VLOOKUP(G265, Products!A:F, 4, FALSE), ""))
</f>
        <v>80</v>
      </c>
      <c r="J265" s="386">
        <v>0.0</v>
      </c>
      <c r="K265" s="54">
        <f t="shared" si="10"/>
        <v>80</v>
      </c>
      <c r="L265" s="387"/>
      <c r="M265" s="138" t="s">
        <v>73</v>
      </c>
      <c r="N265" s="46">
        <f t="shared" si="2"/>
        <v>80</v>
      </c>
      <c r="O265" s="369" t="b">
        <v>1</v>
      </c>
      <c r="P265" s="369" t="b">
        <v>1</v>
      </c>
      <c r="Q265" s="387">
        <v>80.0</v>
      </c>
      <c r="R265" s="138" t="s">
        <v>271</v>
      </c>
      <c r="S265" s="65">
        <f t="shared" si="14"/>
        <v>0</v>
      </c>
      <c r="T265" s="369" t="b">
        <v>1</v>
      </c>
      <c r="U265" s="388"/>
      <c r="V265" s="391" t="b">
        <v>0</v>
      </c>
      <c r="W265" s="391" t="b">
        <v>0</v>
      </c>
      <c r="X265" s="391" t="b">
        <v>0</v>
      </c>
    </row>
    <row r="266" ht="24.0" customHeight="1">
      <c r="A266" s="76" t="s">
        <v>445</v>
      </c>
      <c r="B266" s="383">
        <v>46147.0</v>
      </c>
      <c r="C266" s="384" t="s">
        <v>1278</v>
      </c>
      <c r="D266" s="116" t="s">
        <v>93</v>
      </c>
      <c r="E266" s="116" t="s">
        <v>156</v>
      </c>
      <c r="F266" s="388"/>
      <c r="G266" s="76" t="s">
        <v>185</v>
      </c>
      <c r="H266" s="385">
        <v>8.0</v>
      </c>
      <c r="I266" s="386">
        <f>IF(G266="", "", IFERROR(VLOOKUP(G266, Products!A:F, 4, FALSE), ""))
</f>
        <v>80</v>
      </c>
      <c r="J266" s="386">
        <v>0.0</v>
      </c>
      <c r="K266" s="54">
        <f t="shared" si="10"/>
        <v>640</v>
      </c>
      <c r="L266" s="387">
        <v>320.0</v>
      </c>
      <c r="M266" s="138" t="s">
        <v>73</v>
      </c>
      <c r="N266" s="46">
        <f t="shared" si="2"/>
        <v>320</v>
      </c>
      <c r="O266" s="369" t="b">
        <v>1</v>
      </c>
      <c r="P266" s="369" t="b">
        <v>1</v>
      </c>
      <c r="Q266" s="387">
        <v>320.0</v>
      </c>
      <c r="R266" s="138" t="s">
        <v>271</v>
      </c>
      <c r="S266" s="65">
        <f t="shared" si="14"/>
        <v>0</v>
      </c>
      <c r="T266" s="369" t="b">
        <v>1</v>
      </c>
      <c r="U266" s="138" t="s">
        <v>1274</v>
      </c>
      <c r="V266" s="369" t="b">
        <v>0</v>
      </c>
      <c r="W266" s="369" t="b">
        <v>0</v>
      </c>
      <c r="X266" s="369" t="b">
        <v>0</v>
      </c>
    </row>
    <row r="267" ht="24.0" customHeight="1">
      <c r="A267" s="76" t="s">
        <v>788</v>
      </c>
      <c r="B267" s="383">
        <v>46147.0</v>
      </c>
      <c r="C267" s="384"/>
      <c r="D267" s="385"/>
      <c r="E267" s="458"/>
      <c r="F267" s="388"/>
      <c r="G267" s="457" t="s">
        <v>24</v>
      </c>
      <c r="H267" s="385">
        <v>56.0</v>
      </c>
      <c r="I267" s="386">
        <f>IF(G267="", "", IFERROR(VLOOKUP(G267, Products!A:F, 4, FALSE), ""))
</f>
        <v>30</v>
      </c>
      <c r="J267" s="386">
        <v>0.0</v>
      </c>
      <c r="K267" s="54">
        <f t="shared" si="10"/>
        <v>1680</v>
      </c>
      <c r="L267" s="387">
        <v>1512.0</v>
      </c>
      <c r="M267" s="138" t="s">
        <v>73</v>
      </c>
      <c r="N267" s="46">
        <f t="shared" si="2"/>
        <v>168</v>
      </c>
      <c r="O267" s="369" t="b">
        <v>1</v>
      </c>
      <c r="P267" s="369" t="b">
        <v>1</v>
      </c>
      <c r="Q267" s="387">
        <v>168.0</v>
      </c>
      <c r="R267" s="138" t="s">
        <v>684</v>
      </c>
      <c r="S267" s="65">
        <f t="shared" si="14"/>
        <v>0</v>
      </c>
      <c r="T267" s="369" t="b">
        <v>1</v>
      </c>
      <c r="U267" s="388"/>
      <c r="V267" s="391" t="b">
        <v>0</v>
      </c>
      <c r="W267" s="391" t="b">
        <v>0</v>
      </c>
      <c r="X267" s="391" t="b">
        <v>0</v>
      </c>
    </row>
    <row r="268" ht="24.0" customHeight="1">
      <c r="A268" s="76" t="s">
        <v>788</v>
      </c>
      <c r="B268" s="383">
        <v>46147.0</v>
      </c>
      <c r="C268" s="384"/>
      <c r="D268" s="385"/>
      <c r="E268" s="458"/>
      <c r="F268" s="388"/>
      <c r="G268" s="457" t="s">
        <v>85</v>
      </c>
      <c r="H268" s="385">
        <v>1.0</v>
      </c>
      <c r="I268" s="386">
        <f>IF(G268="", "", IFERROR(VLOOKUP(G268, Products!A:F, 4, FALSE), ""))
</f>
        <v>30</v>
      </c>
      <c r="J268" s="386">
        <v>0.0</v>
      </c>
      <c r="K268" s="54">
        <f t="shared" si="10"/>
        <v>30</v>
      </c>
      <c r="L268" s="387">
        <v>30.0</v>
      </c>
      <c r="M268" s="138" t="s">
        <v>73</v>
      </c>
      <c r="N268" s="46">
        <f t="shared" si="2"/>
        <v>0</v>
      </c>
      <c r="O268" s="369" t="b">
        <v>1</v>
      </c>
      <c r="P268" s="369" t="b">
        <v>1</v>
      </c>
      <c r="Q268" s="387"/>
      <c r="R268" s="388"/>
      <c r="S268" s="65">
        <f t="shared" si="14"/>
        <v>0</v>
      </c>
      <c r="T268" s="369" t="b">
        <v>1</v>
      </c>
      <c r="U268" s="388"/>
      <c r="V268" s="391" t="b">
        <v>0</v>
      </c>
      <c r="W268" s="391" t="b">
        <v>0</v>
      </c>
      <c r="X268" s="391" t="b">
        <v>0</v>
      </c>
    </row>
    <row r="269" ht="24.0" customHeight="1">
      <c r="A269" s="76" t="s">
        <v>788</v>
      </c>
      <c r="B269" s="383">
        <v>46147.0</v>
      </c>
      <c r="C269" s="384"/>
      <c r="D269" s="385"/>
      <c r="E269" s="458"/>
      <c r="F269" s="388"/>
      <c r="G269" s="457" t="s">
        <v>61</v>
      </c>
      <c r="H269" s="385">
        <v>1.0</v>
      </c>
      <c r="I269" s="386">
        <f>IF(G269="", "", IFERROR(VLOOKUP(G269, Products!A:F, 4, FALSE), ""))
</f>
        <v>18</v>
      </c>
      <c r="J269" s="386">
        <v>0.0</v>
      </c>
      <c r="K269" s="54">
        <f t="shared" si="10"/>
        <v>18</v>
      </c>
      <c r="L269" s="387">
        <v>18.0</v>
      </c>
      <c r="M269" s="138" t="s">
        <v>73</v>
      </c>
      <c r="N269" s="46">
        <f t="shared" si="2"/>
        <v>0</v>
      </c>
      <c r="O269" s="369" t="b">
        <v>1</v>
      </c>
      <c r="P269" s="369" t="b">
        <v>1</v>
      </c>
      <c r="Q269" s="387">
        <v>3.0</v>
      </c>
      <c r="R269" s="138" t="s">
        <v>684</v>
      </c>
      <c r="S269" s="65">
        <f t="shared" si="14"/>
        <v>-3</v>
      </c>
      <c r="T269" s="369" t="b">
        <v>1</v>
      </c>
      <c r="U269" s="388"/>
      <c r="V269" s="391" t="b">
        <v>0</v>
      </c>
      <c r="W269" s="391" t="b">
        <v>0</v>
      </c>
      <c r="X269" s="391" t="b">
        <v>0</v>
      </c>
    </row>
    <row r="270" ht="24.0" customHeight="1">
      <c r="A270" s="76" t="s">
        <v>788</v>
      </c>
      <c r="B270" s="383">
        <v>46147.0</v>
      </c>
      <c r="C270" s="384"/>
      <c r="D270" s="385"/>
      <c r="E270" s="458"/>
      <c r="F270" s="388"/>
      <c r="G270" s="457" t="s">
        <v>72</v>
      </c>
      <c r="H270" s="385">
        <v>1.0</v>
      </c>
      <c r="I270" s="386">
        <f>IF(G270="", "", IFERROR(VLOOKUP(G270, Products!A:F, 4, FALSE), ""))
</f>
        <v>23</v>
      </c>
      <c r="J270" s="386">
        <v>0.0</v>
      </c>
      <c r="K270" s="54">
        <f t="shared" si="10"/>
        <v>23</v>
      </c>
      <c r="L270" s="387"/>
      <c r="M270" s="138" t="s">
        <v>73</v>
      </c>
      <c r="N270" s="46">
        <f t="shared" si="2"/>
        <v>23</v>
      </c>
      <c r="O270" s="369" t="b">
        <v>1</v>
      </c>
      <c r="P270" s="369" t="b">
        <v>1</v>
      </c>
      <c r="Q270" s="387">
        <v>23.0</v>
      </c>
      <c r="R270" s="138" t="s">
        <v>684</v>
      </c>
      <c r="S270" s="65">
        <f t="shared" si="14"/>
        <v>0</v>
      </c>
      <c r="T270" s="369" t="b">
        <v>1</v>
      </c>
      <c r="U270" s="388"/>
      <c r="V270" s="391" t="b">
        <v>0</v>
      </c>
      <c r="W270" s="391" t="b">
        <v>0</v>
      </c>
      <c r="X270" s="391" t="b">
        <v>0</v>
      </c>
    </row>
    <row r="271" ht="24.0" customHeight="1">
      <c r="A271" s="76" t="s">
        <v>788</v>
      </c>
      <c r="B271" s="383">
        <v>46147.0</v>
      </c>
      <c r="C271" s="384"/>
      <c r="D271" s="385"/>
      <c r="E271" s="458"/>
      <c r="F271" s="388"/>
      <c r="G271" s="457" t="s">
        <v>124</v>
      </c>
      <c r="H271" s="385">
        <v>180.0</v>
      </c>
      <c r="I271" s="386">
        <v>3.0</v>
      </c>
      <c r="J271" s="386">
        <v>0.0</v>
      </c>
      <c r="K271" s="54">
        <f t="shared" si="10"/>
        <v>540</v>
      </c>
      <c r="L271" s="387">
        <v>540.0</v>
      </c>
      <c r="M271" s="138" t="s">
        <v>73</v>
      </c>
      <c r="N271" s="46">
        <f t="shared" si="2"/>
        <v>0</v>
      </c>
      <c r="O271" s="369" t="b">
        <v>1</v>
      </c>
      <c r="P271" s="369" t="b">
        <v>1</v>
      </c>
      <c r="Q271" s="387"/>
      <c r="R271" s="388"/>
      <c r="S271" s="65">
        <f t="shared" si="14"/>
        <v>0</v>
      </c>
      <c r="T271" s="369" t="b">
        <v>1</v>
      </c>
      <c r="U271" s="388"/>
      <c r="V271" s="391" t="b">
        <v>0</v>
      </c>
      <c r="W271" s="391" t="b">
        <v>0</v>
      </c>
      <c r="X271" s="391" t="b">
        <v>0</v>
      </c>
    </row>
    <row r="272" ht="24.0" customHeight="1">
      <c r="A272" s="76" t="s">
        <v>788</v>
      </c>
      <c r="B272" s="383">
        <v>46147.0</v>
      </c>
      <c r="C272" s="384"/>
      <c r="D272" s="385"/>
      <c r="E272" s="458"/>
      <c r="F272" s="388"/>
      <c r="G272" s="76" t="s">
        <v>138</v>
      </c>
      <c r="H272" s="385">
        <v>2.0</v>
      </c>
      <c r="I272" s="386">
        <f>IF(G272="", "", IFERROR(VLOOKUP(G272, Products!A:F, 4, FALSE), ""))
</f>
        <v>100</v>
      </c>
      <c r="J272" s="386">
        <v>0.0</v>
      </c>
      <c r="K272" s="54">
        <f t="shared" si="10"/>
        <v>200</v>
      </c>
      <c r="L272" s="387">
        <v>200.0</v>
      </c>
      <c r="M272" s="138" t="s">
        <v>73</v>
      </c>
      <c r="N272" s="46">
        <f t="shared" si="2"/>
        <v>0</v>
      </c>
      <c r="O272" s="369" t="b">
        <v>1</v>
      </c>
      <c r="P272" s="369" t="b">
        <v>1</v>
      </c>
      <c r="Q272" s="387"/>
      <c r="R272" s="388"/>
      <c r="S272" s="65">
        <f t="shared" si="14"/>
        <v>0</v>
      </c>
      <c r="T272" s="369" t="b">
        <v>1</v>
      </c>
      <c r="U272" s="388"/>
      <c r="V272" s="391" t="b">
        <v>0</v>
      </c>
      <c r="W272" s="391" t="b">
        <v>0</v>
      </c>
      <c r="X272" s="391" t="b">
        <v>0</v>
      </c>
    </row>
    <row r="273" ht="24.0" customHeight="1">
      <c r="A273" s="76" t="s">
        <v>448</v>
      </c>
      <c r="B273" s="383">
        <v>46149.0</v>
      </c>
      <c r="C273" s="384"/>
      <c r="D273" s="116" t="s">
        <v>53</v>
      </c>
      <c r="E273" s="116" t="s">
        <v>620</v>
      </c>
      <c r="F273" s="388"/>
      <c r="G273" s="76" t="s">
        <v>185</v>
      </c>
      <c r="H273" s="385">
        <v>3.0</v>
      </c>
      <c r="I273" s="386">
        <f>IF(G273="", "", IFERROR(VLOOKUP(G273, Products!A:F, 4, FALSE), ""))
</f>
        <v>80</v>
      </c>
      <c r="J273" s="386">
        <v>90.0</v>
      </c>
      <c r="K273" s="54">
        <f t="shared" si="10"/>
        <v>150</v>
      </c>
      <c r="L273" s="387"/>
      <c r="M273" s="388"/>
      <c r="N273" s="46">
        <f t="shared" si="2"/>
        <v>150</v>
      </c>
      <c r="O273" s="369" t="b">
        <v>1</v>
      </c>
      <c r="P273" s="369" t="b">
        <v>1</v>
      </c>
      <c r="Q273" s="387">
        <v>150.0</v>
      </c>
      <c r="R273" s="138" t="s">
        <v>73</v>
      </c>
      <c r="S273" s="65">
        <f t="shared" si="14"/>
        <v>0</v>
      </c>
      <c r="T273" s="369" t="b">
        <v>1</v>
      </c>
      <c r="U273" s="388"/>
      <c r="V273" s="391" t="b">
        <v>0</v>
      </c>
      <c r="W273" s="391" t="b">
        <v>0</v>
      </c>
      <c r="X273" s="391" t="b">
        <v>0</v>
      </c>
    </row>
    <row r="274" ht="24.0" customHeight="1">
      <c r="A274" s="76" t="s">
        <v>446</v>
      </c>
      <c r="B274" s="383">
        <v>46149.0</v>
      </c>
      <c r="C274" s="384" t="s">
        <v>1279</v>
      </c>
      <c r="D274" s="116" t="s">
        <v>93</v>
      </c>
      <c r="E274" s="116" t="s">
        <v>156</v>
      </c>
      <c r="F274" s="388"/>
      <c r="G274" s="76" t="s">
        <v>187</v>
      </c>
      <c r="H274" s="385">
        <v>1.0</v>
      </c>
      <c r="I274" s="386">
        <f>IF(G274="", "", IFERROR(VLOOKUP(G274, Products!A:F, 4, FALSE), ""))
</f>
        <v>400</v>
      </c>
      <c r="J274" s="386">
        <v>0.0</v>
      </c>
      <c r="K274" s="54">
        <f t="shared" si="10"/>
        <v>400</v>
      </c>
      <c r="L274" s="387">
        <v>200.0</v>
      </c>
      <c r="M274" s="138" t="s">
        <v>73</v>
      </c>
      <c r="N274" s="46">
        <f t="shared" si="2"/>
        <v>200</v>
      </c>
      <c r="O274" s="369" t="b">
        <v>1</v>
      </c>
      <c r="P274" s="369" t="b">
        <v>1</v>
      </c>
      <c r="Q274" s="387">
        <v>200.0</v>
      </c>
      <c r="R274" s="138" t="s">
        <v>271</v>
      </c>
      <c r="S274" s="65">
        <f t="shared" si="14"/>
        <v>0</v>
      </c>
      <c r="T274" s="369" t="b">
        <v>1</v>
      </c>
      <c r="U274" s="138" t="s">
        <v>1274</v>
      </c>
      <c r="V274" s="369" t="b">
        <v>0</v>
      </c>
      <c r="W274" s="369" t="b">
        <v>0</v>
      </c>
      <c r="X274" s="369" t="b">
        <v>0</v>
      </c>
    </row>
    <row r="275" ht="24.0" customHeight="1">
      <c r="A275" s="76" t="s">
        <v>447</v>
      </c>
      <c r="B275" s="383">
        <v>46149.0</v>
      </c>
      <c r="C275" s="384" t="s">
        <v>1280</v>
      </c>
      <c r="D275" s="91" t="s">
        <v>263</v>
      </c>
      <c r="E275" s="399"/>
      <c r="F275" s="388"/>
      <c r="G275" s="76" t="s">
        <v>185</v>
      </c>
      <c r="H275" s="385">
        <v>3.0</v>
      </c>
      <c r="I275" s="386">
        <f>IF(G275="", "", IFERROR(VLOOKUP(G275, Products!A:F, 4, FALSE), ""))
</f>
        <v>80</v>
      </c>
      <c r="J275" s="386">
        <v>45.0</v>
      </c>
      <c r="K275" s="54">
        <f t="shared" si="10"/>
        <v>195</v>
      </c>
      <c r="L275" s="387">
        <v>195.0</v>
      </c>
      <c r="M275" s="138" t="s">
        <v>110</v>
      </c>
      <c r="N275" s="46">
        <f t="shared" si="2"/>
        <v>0</v>
      </c>
      <c r="O275" s="369" t="b">
        <v>1</v>
      </c>
      <c r="P275" s="369" t="b">
        <v>1</v>
      </c>
      <c r="Q275" s="387"/>
      <c r="R275" s="388"/>
      <c r="S275" s="65">
        <f t="shared" si="14"/>
        <v>0</v>
      </c>
      <c r="T275" s="369" t="b">
        <v>1</v>
      </c>
      <c r="U275" s="388"/>
      <c r="V275" s="391" t="b">
        <v>0</v>
      </c>
      <c r="W275" s="391" t="b">
        <v>0</v>
      </c>
      <c r="X275" s="391" t="b">
        <v>0</v>
      </c>
    </row>
    <row r="276" ht="24.0" customHeight="1">
      <c r="A276" s="76" t="s">
        <v>181</v>
      </c>
      <c r="B276" s="383">
        <v>46149.0</v>
      </c>
      <c r="C276" s="384" t="s">
        <v>1281</v>
      </c>
      <c r="D276" s="116" t="s">
        <v>93</v>
      </c>
      <c r="E276" s="116" t="s">
        <v>176</v>
      </c>
      <c r="F276" s="388"/>
      <c r="G276" s="44" t="s">
        <v>168</v>
      </c>
      <c r="H276" s="385">
        <v>2.0</v>
      </c>
      <c r="I276" s="386">
        <f>IF(G276="", "", IFERROR(VLOOKUP(G276, Products!A:F, 4, FALSE), ""))
</f>
        <v>80</v>
      </c>
      <c r="J276" s="386">
        <v>0.0</v>
      </c>
      <c r="K276" s="54">
        <f t="shared" si="10"/>
        <v>160</v>
      </c>
      <c r="L276" s="387">
        <v>160.0</v>
      </c>
      <c r="M276" s="138" t="s">
        <v>73</v>
      </c>
      <c r="N276" s="46">
        <f t="shared" si="2"/>
        <v>0</v>
      </c>
      <c r="O276" s="369" t="b">
        <v>1</v>
      </c>
      <c r="P276" s="369" t="b">
        <v>1</v>
      </c>
      <c r="Q276" s="387"/>
      <c r="R276" s="388"/>
      <c r="S276" s="65">
        <f t="shared" si="14"/>
        <v>0</v>
      </c>
      <c r="T276" s="369" t="b">
        <v>1</v>
      </c>
      <c r="U276" s="138" t="s">
        <v>1274</v>
      </c>
      <c r="V276" s="369" t="b">
        <v>0</v>
      </c>
      <c r="W276" s="369" t="b">
        <v>0</v>
      </c>
      <c r="X276" s="369" t="b">
        <v>0</v>
      </c>
    </row>
    <row r="277" ht="24.0" customHeight="1">
      <c r="A277" s="76" t="s">
        <v>449</v>
      </c>
      <c r="B277" s="383">
        <v>46149.0</v>
      </c>
      <c r="C277" s="384"/>
      <c r="D277" s="116" t="s">
        <v>78</v>
      </c>
      <c r="E277" s="116" t="s">
        <v>633</v>
      </c>
      <c r="F277" s="388"/>
      <c r="G277" s="457" t="s">
        <v>61</v>
      </c>
      <c r="H277" s="385">
        <v>1.0</v>
      </c>
      <c r="I277" s="386">
        <f>IF(G277="", "", IFERROR(VLOOKUP(G277, Products!A:F, 4, FALSE), ""))
</f>
        <v>18</v>
      </c>
      <c r="J277" s="386">
        <v>0.0</v>
      </c>
      <c r="K277" s="54">
        <f t="shared" si="10"/>
        <v>18</v>
      </c>
      <c r="L277" s="387">
        <v>18.0</v>
      </c>
      <c r="M277" s="138" t="s">
        <v>271</v>
      </c>
      <c r="N277" s="46">
        <f t="shared" si="2"/>
        <v>0</v>
      </c>
      <c r="O277" s="369" t="b">
        <v>1</v>
      </c>
      <c r="P277" s="369" t="b">
        <v>1</v>
      </c>
      <c r="Q277" s="387"/>
      <c r="R277" s="388"/>
      <c r="S277" s="65">
        <f t="shared" si="14"/>
        <v>0</v>
      </c>
      <c r="T277" s="369" t="b">
        <v>1</v>
      </c>
      <c r="U277" s="388"/>
      <c r="V277" s="391" t="b">
        <v>0</v>
      </c>
      <c r="W277" s="391" t="b">
        <v>0</v>
      </c>
      <c r="X277" s="391" t="b">
        <v>0</v>
      </c>
    </row>
    <row r="278" ht="24.0" customHeight="1">
      <c r="A278" s="76" t="s">
        <v>449</v>
      </c>
      <c r="B278" s="383">
        <v>46149.0</v>
      </c>
      <c r="C278" s="384"/>
      <c r="D278" s="116" t="s">
        <v>78</v>
      </c>
      <c r="E278" s="116" t="s">
        <v>633</v>
      </c>
      <c r="F278" s="388"/>
      <c r="G278" s="457" t="s">
        <v>85</v>
      </c>
      <c r="H278" s="385">
        <v>3.0</v>
      </c>
      <c r="I278" s="386">
        <f>IF(G278="", "", IFERROR(VLOOKUP(G278, Products!A:F, 4, FALSE), ""))
</f>
        <v>30</v>
      </c>
      <c r="J278" s="386">
        <v>0.0</v>
      </c>
      <c r="K278" s="54">
        <f t="shared" si="10"/>
        <v>90</v>
      </c>
      <c r="L278" s="387">
        <v>90.0</v>
      </c>
      <c r="M278" s="138" t="s">
        <v>271</v>
      </c>
      <c r="N278" s="46">
        <f t="shared" si="2"/>
        <v>0</v>
      </c>
      <c r="O278" s="369" t="b">
        <v>1</v>
      </c>
      <c r="P278" s="369" t="b">
        <v>1</v>
      </c>
      <c r="Q278" s="387"/>
      <c r="R278" s="388"/>
      <c r="S278" s="65">
        <f t="shared" si="14"/>
        <v>0</v>
      </c>
      <c r="T278" s="369" t="b">
        <v>1</v>
      </c>
      <c r="U278" s="388"/>
      <c r="V278" s="391" t="b">
        <v>0</v>
      </c>
      <c r="W278" s="391" t="b">
        <v>0</v>
      </c>
      <c r="X278" s="391" t="b">
        <v>0</v>
      </c>
    </row>
    <row r="279" ht="24.0" customHeight="1">
      <c r="A279" s="76" t="s">
        <v>449</v>
      </c>
      <c r="B279" s="383">
        <v>46149.0</v>
      </c>
      <c r="C279" s="384"/>
      <c r="D279" s="116" t="s">
        <v>78</v>
      </c>
      <c r="E279" s="116" t="s">
        <v>633</v>
      </c>
      <c r="F279" s="388"/>
      <c r="G279" s="457" t="s">
        <v>24</v>
      </c>
      <c r="H279" s="385">
        <v>5.0</v>
      </c>
      <c r="I279" s="386">
        <f>IF(G279="", "", IFERROR(VLOOKUP(G279, Products!A:F, 4, FALSE), ""))
</f>
        <v>30</v>
      </c>
      <c r="J279" s="386">
        <v>0.0</v>
      </c>
      <c r="K279" s="54">
        <f t="shared" si="10"/>
        <v>150</v>
      </c>
      <c r="L279" s="387">
        <v>150.0</v>
      </c>
      <c r="M279" s="138" t="s">
        <v>271</v>
      </c>
      <c r="N279" s="46">
        <f t="shared" si="2"/>
        <v>0</v>
      </c>
      <c r="O279" s="369" t="b">
        <v>1</v>
      </c>
      <c r="P279" s="369" t="b">
        <v>1</v>
      </c>
      <c r="Q279" s="387"/>
      <c r="R279" s="388"/>
      <c r="S279" s="65">
        <f t="shared" si="14"/>
        <v>0</v>
      </c>
      <c r="T279" s="369" t="b">
        <v>1</v>
      </c>
      <c r="U279" s="388"/>
      <c r="V279" s="391" t="b">
        <v>0</v>
      </c>
      <c r="W279" s="391" t="b">
        <v>0</v>
      </c>
      <c r="X279" s="391" t="b">
        <v>0</v>
      </c>
    </row>
    <row r="280" ht="24.0" customHeight="1">
      <c r="A280" s="76" t="s">
        <v>449</v>
      </c>
      <c r="B280" s="383">
        <v>46149.0</v>
      </c>
      <c r="C280" s="384"/>
      <c r="D280" s="116" t="s">
        <v>78</v>
      </c>
      <c r="E280" s="116" t="s">
        <v>633</v>
      </c>
      <c r="F280" s="388"/>
      <c r="G280" s="457" t="s">
        <v>72</v>
      </c>
      <c r="H280" s="385">
        <v>6.0</v>
      </c>
      <c r="I280" s="386">
        <f>IF(G280="", "", IFERROR(VLOOKUP(G280, Products!A:F, 4, FALSE), ""))
</f>
        <v>23</v>
      </c>
      <c r="J280" s="386">
        <v>0.0</v>
      </c>
      <c r="K280" s="54">
        <f t="shared" si="10"/>
        <v>138</v>
      </c>
      <c r="L280" s="387">
        <v>138.0</v>
      </c>
      <c r="M280" s="138" t="s">
        <v>271</v>
      </c>
      <c r="N280" s="46">
        <f t="shared" si="2"/>
        <v>0</v>
      </c>
      <c r="O280" s="369" t="b">
        <v>1</v>
      </c>
      <c r="P280" s="369" t="b">
        <v>1</v>
      </c>
      <c r="Q280" s="387"/>
      <c r="R280" s="388"/>
      <c r="S280" s="65">
        <f t="shared" si="14"/>
        <v>0</v>
      </c>
      <c r="T280" s="369" t="b">
        <v>1</v>
      </c>
      <c r="U280" s="388"/>
      <c r="V280" s="391" t="b">
        <v>0</v>
      </c>
      <c r="W280" s="391" t="b">
        <v>0</v>
      </c>
      <c r="X280" s="391" t="b">
        <v>0</v>
      </c>
    </row>
    <row r="281" ht="24.0" customHeight="1">
      <c r="A281" s="459" t="s">
        <v>796</v>
      </c>
      <c r="B281" s="460">
        <v>46149.0</v>
      </c>
      <c r="C281" s="461"/>
      <c r="D281" s="462"/>
      <c r="E281" s="462"/>
      <c r="F281" s="463"/>
      <c r="G281" s="44" t="s">
        <v>104</v>
      </c>
      <c r="H281" s="464">
        <v>28.0</v>
      </c>
      <c r="I281" s="465">
        <f>IF(G281="", "", IFERROR(VLOOKUP(G281, Products!A:F, 4, FALSE), ""))
</f>
        <v>80</v>
      </c>
      <c r="J281" s="465">
        <v>0.0</v>
      </c>
      <c r="K281" s="54">
        <f t="shared" si="10"/>
        <v>2240</v>
      </c>
      <c r="L281" s="466"/>
      <c r="M281" s="463"/>
      <c r="N281" s="46">
        <f t="shared" si="2"/>
        <v>2240</v>
      </c>
      <c r="O281" s="369" t="b">
        <v>1</v>
      </c>
      <c r="P281" s="369" t="b">
        <v>1</v>
      </c>
      <c r="Q281" s="466"/>
      <c r="R281" s="463"/>
      <c r="S281" s="467">
        <f t="shared" si="14"/>
        <v>2240</v>
      </c>
      <c r="T281" s="468" t="b">
        <v>1</v>
      </c>
      <c r="U281" s="463"/>
      <c r="V281" s="469" t="b">
        <v>0</v>
      </c>
      <c r="W281" s="469" t="b">
        <v>0</v>
      </c>
      <c r="X281" s="469" t="b">
        <v>0</v>
      </c>
    </row>
    <row r="282" ht="24.0" customHeight="1">
      <c r="A282" s="459" t="s">
        <v>796</v>
      </c>
      <c r="B282" s="460">
        <v>46149.0</v>
      </c>
      <c r="C282" s="461"/>
      <c r="D282" s="462"/>
      <c r="E282" s="462"/>
      <c r="F282" s="463"/>
      <c r="G282" s="459" t="s">
        <v>153</v>
      </c>
      <c r="H282" s="464">
        <v>3.0</v>
      </c>
      <c r="I282" s="465">
        <f>IF(G282="", "", IFERROR(VLOOKUP(G282, Products!A:F, 4, FALSE), ""))
</f>
        <v>80</v>
      </c>
      <c r="J282" s="465">
        <v>0.0</v>
      </c>
      <c r="K282" s="54">
        <f t="shared" si="10"/>
        <v>240</v>
      </c>
      <c r="L282" s="466"/>
      <c r="M282" s="463"/>
      <c r="N282" s="46">
        <f t="shared" si="2"/>
        <v>240</v>
      </c>
      <c r="O282" s="369" t="b">
        <v>1</v>
      </c>
      <c r="P282" s="369" t="b">
        <v>1</v>
      </c>
      <c r="Q282" s="466"/>
      <c r="R282" s="463"/>
      <c r="S282" s="467">
        <f t="shared" si="14"/>
        <v>240</v>
      </c>
      <c r="T282" s="468" t="b">
        <v>1</v>
      </c>
      <c r="U282" s="463"/>
      <c r="V282" s="469" t="b">
        <v>0</v>
      </c>
      <c r="W282" s="469" t="b">
        <v>0</v>
      </c>
      <c r="X282" s="469" t="b">
        <v>0</v>
      </c>
    </row>
    <row r="283" ht="24.0" customHeight="1">
      <c r="A283" s="459" t="s">
        <v>796</v>
      </c>
      <c r="B283" s="460">
        <v>46149.0</v>
      </c>
      <c r="C283" s="461"/>
      <c r="D283" s="462"/>
      <c r="E283" s="462"/>
      <c r="F283" s="463"/>
      <c r="G283" s="459" t="s">
        <v>161</v>
      </c>
      <c r="H283" s="464">
        <v>17.0</v>
      </c>
      <c r="I283" s="465">
        <f>IF(G283="", "", IFERROR(VLOOKUP(G283, Products!A:F, 4, FALSE), ""))
</f>
        <v>80</v>
      </c>
      <c r="J283" s="465">
        <v>0.0</v>
      </c>
      <c r="K283" s="54">
        <f t="shared" si="10"/>
        <v>1360</v>
      </c>
      <c r="L283" s="466"/>
      <c r="M283" s="463"/>
      <c r="N283" s="46">
        <f t="shared" si="2"/>
        <v>1360</v>
      </c>
      <c r="O283" s="369" t="b">
        <v>1</v>
      </c>
      <c r="P283" s="369" t="b">
        <v>1</v>
      </c>
      <c r="Q283" s="466"/>
      <c r="R283" s="463"/>
      <c r="S283" s="467">
        <f t="shared" si="14"/>
        <v>1360</v>
      </c>
      <c r="T283" s="468" t="b">
        <v>1</v>
      </c>
      <c r="U283" s="463"/>
      <c r="V283" s="469" t="b">
        <v>0</v>
      </c>
      <c r="W283" s="469" t="b">
        <v>0</v>
      </c>
      <c r="X283" s="469" t="b">
        <v>0</v>
      </c>
    </row>
    <row r="284" ht="24.0" customHeight="1">
      <c r="A284" s="459" t="s">
        <v>796</v>
      </c>
      <c r="B284" s="460">
        <v>46149.0</v>
      </c>
      <c r="C284" s="461"/>
      <c r="D284" s="462"/>
      <c r="E284" s="462"/>
      <c r="F284" s="463"/>
      <c r="G284" s="76" t="s">
        <v>122</v>
      </c>
      <c r="H284" s="464">
        <v>1.0</v>
      </c>
      <c r="I284" s="465">
        <f>IF(G284="", "", IFERROR(VLOOKUP(G284, Products!A:F, 4, FALSE), ""))
</f>
        <v>80</v>
      </c>
      <c r="J284" s="465">
        <v>0.0</v>
      </c>
      <c r="K284" s="54">
        <f t="shared" si="10"/>
        <v>80</v>
      </c>
      <c r="L284" s="466"/>
      <c r="M284" s="463"/>
      <c r="N284" s="46">
        <f t="shared" si="2"/>
        <v>80</v>
      </c>
      <c r="O284" s="369" t="b">
        <v>1</v>
      </c>
      <c r="P284" s="369" t="b">
        <v>1</v>
      </c>
      <c r="Q284" s="466"/>
      <c r="R284" s="463"/>
      <c r="S284" s="467">
        <f t="shared" si="14"/>
        <v>80</v>
      </c>
      <c r="T284" s="468" t="b">
        <v>1</v>
      </c>
      <c r="U284" s="463"/>
      <c r="V284" s="469" t="b">
        <v>0</v>
      </c>
      <c r="W284" s="469" t="b">
        <v>0</v>
      </c>
      <c r="X284" s="469" t="b">
        <v>0</v>
      </c>
    </row>
    <row r="285" ht="24.0" customHeight="1">
      <c r="A285" s="459" t="s">
        <v>796</v>
      </c>
      <c r="B285" s="460">
        <v>46149.0</v>
      </c>
      <c r="C285" s="461"/>
      <c r="D285" s="462"/>
      <c r="E285" s="462"/>
      <c r="F285" s="463"/>
      <c r="G285" s="76" t="s">
        <v>185</v>
      </c>
      <c r="H285" s="464">
        <v>1.0</v>
      </c>
      <c r="I285" s="465">
        <f>IF(G285="", "", IFERROR(VLOOKUP(G285, Products!A:F, 4, FALSE), ""))
</f>
        <v>80</v>
      </c>
      <c r="J285" s="465">
        <v>0.0</v>
      </c>
      <c r="K285" s="54">
        <f t="shared" si="10"/>
        <v>80</v>
      </c>
      <c r="L285" s="466"/>
      <c r="M285" s="463"/>
      <c r="N285" s="46">
        <f t="shared" si="2"/>
        <v>80</v>
      </c>
      <c r="O285" s="369" t="b">
        <v>1</v>
      </c>
      <c r="P285" s="369" t="b">
        <v>1</v>
      </c>
      <c r="Q285" s="466"/>
      <c r="R285" s="463"/>
      <c r="S285" s="65">
        <f t="shared" si="14"/>
        <v>80</v>
      </c>
      <c r="T285" s="369" t="b">
        <v>1</v>
      </c>
      <c r="U285" s="388"/>
      <c r="V285" s="391" t="b">
        <v>0</v>
      </c>
      <c r="W285" s="391" t="b">
        <v>0</v>
      </c>
      <c r="X285" s="391" t="b">
        <v>0</v>
      </c>
    </row>
    <row r="286" ht="24.0" customHeight="1">
      <c r="A286" s="76" t="s">
        <v>453</v>
      </c>
      <c r="B286" s="383">
        <v>46153.0</v>
      </c>
      <c r="C286" s="384" t="s">
        <v>1282</v>
      </c>
      <c r="D286" s="116" t="s">
        <v>454</v>
      </c>
      <c r="E286" s="399"/>
      <c r="F286" s="388"/>
      <c r="G286" s="76" t="s">
        <v>187</v>
      </c>
      <c r="H286" s="385">
        <v>2.0</v>
      </c>
      <c r="I286" s="386">
        <f>IF(G286="", "", IFERROR(VLOOKUP(G286, Products!A:F, 4, FALSE), ""))
</f>
        <v>400</v>
      </c>
      <c r="J286" s="386">
        <v>0.0</v>
      </c>
      <c r="K286" s="54">
        <f t="shared" si="10"/>
        <v>800</v>
      </c>
      <c r="L286" s="387">
        <v>300.0</v>
      </c>
      <c r="M286" s="138" t="s">
        <v>73</v>
      </c>
      <c r="N286" s="46">
        <f t="shared" si="2"/>
        <v>500</v>
      </c>
      <c r="O286" s="369" t="b">
        <v>1</v>
      </c>
      <c r="P286" s="369" t="b">
        <v>1</v>
      </c>
      <c r="Q286" s="387">
        <v>500.0</v>
      </c>
      <c r="R286" s="138" t="s">
        <v>73</v>
      </c>
      <c r="S286" s="65">
        <f t="shared" si="14"/>
        <v>0</v>
      </c>
      <c r="T286" s="369" t="b">
        <v>1</v>
      </c>
      <c r="U286" s="388"/>
      <c r="V286" s="391" t="b">
        <v>0</v>
      </c>
      <c r="W286" s="391" t="b">
        <v>0</v>
      </c>
      <c r="X286" s="391" t="b">
        <v>0</v>
      </c>
    </row>
    <row r="287" ht="24.0" customHeight="1">
      <c r="A287" s="76" t="s">
        <v>453</v>
      </c>
      <c r="B287" s="383">
        <v>46153.0</v>
      </c>
      <c r="C287" s="384" t="s">
        <v>1282</v>
      </c>
      <c r="D287" s="116" t="s">
        <v>454</v>
      </c>
      <c r="E287" s="399"/>
      <c r="F287" s="388"/>
      <c r="G287" s="76" t="s">
        <v>190</v>
      </c>
      <c r="H287" s="385">
        <v>2.0</v>
      </c>
      <c r="I287" s="386">
        <f>IF(G287="", "", IFERROR(VLOOKUP(G287, Products!A:F, 4, FALSE), ""))
</f>
        <v>200</v>
      </c>
      <c r="J287" s="386">
        <v>0.0</v>
      </c>
      <c r="K287" s="54">
        <f t="shared" si="10"/>
        <v>400</v>
      </c>
      <c r="L287" s="387">
        <v>250.0</v>
      </c>
      <c r="M287" s="138" t="s">
        <v>73</v>
      </c>
      <c r="N287" s="46">
        <f t="shared" si="2"/>
        <v>150</v>
      </c>
      <c r="O287" s="369" t="b">
        <v>1</v>
      </c>
      <c r="P287" s="369" t="b">
        <v>1</v>
      </c>
      <c r="Q287" s="387">
        <v>150.0</v>
      </c>
      <c r="R287" s="138" t="s">
        <v>73</v>
      </c>
      <c r="S287" s="65">
        <f t="shared" si="14"/>
        <v>0</v>
      </c>
      <c r="T287" s="369" t="b">
        <v>1</v>
      </c>
      <c r="U287" s="388"/>
      <c r="V287" s="391" t="b">
        <v>0</v>
      </c>
      <c r="W287" s="391" t="b">
        <v>0</v>
      </c>
      <c r="X287" s="391" t="b">
        <v>0</v>
      </c>
    </row>
    <row r="288" ht="24.0" customHeight="1">
      <c r="A288" s="76" t="s">
        <v>455</v>
      </c>
      <c r="B288" s="383">
        <v>46153.0</v>
      </c>
      <c r="C288" s="384" t="s">
        <v>1283</v>
      </c>
      <c r="D288" s="91" t="s">
        <v>188</v>
      </c>
      <c r="E288" s="92"/>
      <c r="F288" s="388"/>
      <c r="G288" s="76" t="s">
        <v>187</v>
      </c>
      <c r="H288" s="385">
        <v>2.0</v>
      </c>
      <c r="I288" s="386">
        <f>IF(G288="", "", IFERROR(VLOOKUP(G288, Products!A:F, 4, FALSE), ""))
</f>
        <v>400</v>
      </c>
      <c r="J288" s="386">
        <v>0.0</v>
      </c>
      <c r="K288" s="54">
        <f t="shared" si="10"/>
        <v>800</v>
      </c>
      <c r="L288" s="387">
        <v>300.0</v>
      </c>
      <c r="M288" s="138" t="s">
        <v>73</v>
      </c>
      <c r="N288" s="46">
        <f t="shared" si="2"/>
        <v>500</v>
      </c>
      <c r="O288" s="369" t="b">
        <v>1</v>
      </c>
      <c r="P288" s="369" t="b">
        <v>1</v>
      </c>
      <c r="Q288" s="387">
        <v>500.0</v>
      </c>
      <c r="R288" s="138" t="s">
        <v>73</v>
      </c>
      <c r="S288" s="65">
        <f t="shared" si="14"/>
        <v>0</v>
      </c>
      <c r="T288" s="369" t="b">
        <v>1</v>
      </c>
      <c r="U288" s="388"/>
      <c r="V288" s="391" t="b">
        <v>0</v>
      </c>
      <c r="W288" s="391" t="b">
        <v>0</v>
      </c>
      <c r="X288" s="391" t="b">
        <v>0</v>
      </c>
    </row>
    <row r="289" ht="24.0" customHeight="1">
      <c r="A289" s="76" t="s">
        <v>455</v>
      </c>
      <c r="B289" s="383">
        <v>46153.0</v>
      </c>
      <c r="C289" s="384" t="s">
        <v>1283</v>
      </c>
      <c r="D289" s="91" t="s">
        <v>188</v>
      </c>
      <c r="E289" s="92"/>
      <c r="F289" s="388"/>
      <c r="G289" s="76" t="s">
        <v>190</v>
      </c>
      <c r="H289" s="385">
        <v>1.0</v>
      </c>
      <c r="I289" s="386">
        <f>IF(G289="", "", IFERROR(VLOOKUP(G289, Products!A:F, 4, FALSE), ""))
</f>
        <v>200</v>
      </c>
      <c r="J289" s="386">
        <v>0.0</v>
      </c>
      <c r="K289" s="54">
        <f t="shared" si="10"/>
        <v>200</v>
      </c>
      <c r="L289" s="387">
        <v>200.0</v>
      </c>
      <c r="M289" s="138" t="s">
        <v>73</v>
      </c>
      <c r="N289" s="46">
        <f t="shared" si="2"/>
        <v>0</v>
      </c>
      <c r="O289" s="369" t="b">
        <v>1</v>
      </c>
      <c r="P289" s="369" t="b">
        <v>1</v>
      </c>
      <c r="Q289" s="387"/>
      <c r="R289" s="388"/>
      <c r="S289" s="65">
        <f t="shared" si="14"/>
        <v>0</v>
      </c>
      <c r="T289" s="369" t="b">
        <v>1</v>
      </c>
      <c r="U289" s="388"/>
      <c r="V289" s="391" t="b">
        <v>0</v>
      </c>
      <c r="W289" s="391" t="b">
        <v>0</v>
      </c>
      <c r="X289" s="391" t="b">
        <v>0</v>
      </c>
    </row>
    <row r="290" ht="24.0" customHeight="1">
      <c r="A290" s="76" t="s">
        <v>451</v>
      </c>
      <c r="B290" s="383">
        <v>46153.0</v>
      </c>
      <c r="C290" s="384" t="s">
        <v>1284</v>
      </c>
      <c r="D290" s="116" t="s">
        <v>53</v>
      </c>
      <c r="E290" s="116" t="s">
        <v>452</v>
      </c>
      <c r="F290" s="388"/>
      <c r="G290" s="76" t="s">
        <v>185</v>
      </c>
      <c r="H290" s="385">
        <v>3.0</v>
      </c>
      <c r="I290" s="386">
        <f>IF(G290="", "", IFERROR(VLOOKUP(G290, Products!A:F, 4, FALSE), ""))
</f>
        <v>80</v>
      </c>
      <c r="J290" s="386">
        <v>0.0</v>
      </c>
      <c r="K290" s="54">
        <f t="shared" si="10"/>
        <v>240</v>
      </c>
      <c r="L290" s="387">
        <v>200.0</v>
      </c>
      <c r="M290" s="138" t="s">
        <v>73</v>
      </c>
      <c r="N290" s="46">
        <f t="shared" si="2"/>
        <v>40</v>
      </c>
      <c r="O290" s="369" t="b">
        <v>1</v>
      </c>
      <c r="P290" s="369" t="b">
        <v>1</v>
      </c>
      <c r="Q290" s="387">
        <v>40.0</v>
      </c>
      <c r="R290" s="138" t="s">
        <v>684</v>
      </c>
      <c r="S290" s="65">
        <f t="shared" si="14"/>
        <v>0</v>
      </c>
      <c r="T290" s="369" t="b">
        <v>1</v>
      </c>
      <c r="U290" s="388"/>
      <c r="V290" s="391" t="b">
        <v>0</v>
      </c>
      <c r="W290" s="391" t="b">
        <v>0</v>
      </c>
      <c r="X290" s="391" t="b">
        <v>0</v>
      </c>
    </row>
    <row r="291" ht="24.0" customHeight="1">
      <c r="A291" s="76" t="s">
        <v>451</v>
      </c>
      <c r="B291" s="383">
        <v>46153.0</v>
      </c>
      <c r="C291" s="384" t="s">
        <v>1284</v>
      </c>
      <c r="D291" s="116" t="s">
        <v>53</v>
      </c>
      <c r="E291" s="116" t="s">
        <v>452</v>
      </c>
      <c r="F291" s="388"/>
      <c r="G291" s="76" t="s">
        <v>201</v>
      </c>
      <c r="H291" s="385">
        <v>3.0</v>
      </c>
      <c r="I291" s="386">
        <f>IF(G291="", "", IFERROR(VLOOKUP(G291, Products!A:F, 4, FALSE), ""))
</f>
        <v>80</v>
      </c>
      <c r="J291" s="386">
        <v>0.0</v>
      </c>
      <c r="K291" s="54">
        <f t="shared" si="10"/>
        <v>240</v>
      </c>
      <c r="L291" s="387">
        <v>300.0</v>
      </c>
      <c r="M291" s="138" t="s">
        <v>73</v>
      </c>
      <c r="N291" s="46">
        <f t="shared" si="2"/>
        <v>-60</v>
      </c>
      <c r="O291" s="369" t="b">
        <v>1</v>
      </c>
      <c r="P291" s="369" t="b">
        <v>1</v>
      </c>
      <c r="Q291" s="387"/>
      <c r="R291" s="388"/>
      <c r="S291" s="65">
        <f t="shared" si="14"/>
        <v>-60</v>
      </c>
      <c r="T291" s="369" t="b">
        <v>1</v>
      </c>
      <c r="U291" s="388"/>
      <c r="V291" s="391" t="b">
        <v>0</v>
      </c>
      <c r="W291" s="391" t="b">
        <v>0</v>
      </c>
      <c r="X291" s="391" t="b">
        <v>0</v>
      </c>
    </row>
    <row r="292" ht="24.0" customHeight="1">
      <c r="A292" s="76" t="s">
        <v>450</v>
      </c>
      <c r="B292" s="383">
        <v>46153.0</v>
      </c>
      <c r="C292" s="384" t="s">
        <v>1285</v>
      </c>
      <c r="D292" s="116" t="s">
        <v>78</v>
      </c>
      <c r="E292" s="116" t="s">
        <v>213</v>
      </c>
      <c r="F292" s="388"/>
      <c r="G292" s="76" t="s">
        <v>185</v>
      </c>
      <c r="H292" s="385">
        <v>1.0</v>
      </c>
      <c r="I292" s="386">
        <f>IF(G292="", "", IFERROR(VLOOKUP(G292, Products!A:F, 4, FALSE), ""))
</f>
        <v>80</v>
      </c>
      <c r="J292" s="386">
        <v>10.0</v>
      </c>
      <c r="K292" s="54">
        <f t="shared" si="10"/>
        <v>70</v>
      </c>
      <c r="L292" s="387">
        <v>70.0</v>
      </c>
      <c r="M292" s="138" t="s">
        <v>73</v>
      </c>
      <c r="N292" s="46">
        <f t="shared" si="2"/>
        <v>0</v>
      </c>
      <c r="O292" s="369" t="b">
        <v>1</v>
      </c>
      <c r="P292" s="369" t="b">
        <v>1</v>
      </c>
      <c r="Q292" s="387"/>
      <c r="R292" s="388"/>
      <c r="S292" s="65">
        <f t="shared" si="14"/>
        <v>0</v>
      </c>
      <c r="T292" s="369" t="b">
        <v>1</v>
      </c>
      <c r="U292" s="388"/>
      <c r="V292" s="391" t="b">
        <v>0</v>
      </c>
      <c r="W292" s="391" t="b">
        <v>0</v>
      </c>
      <c r="X292" s="391" t="b">
        <v>0</v>
      </c>
    </row>
    <row r="293" ht="24.0" customHeight="1">
      <c r="A293" s="76" t="s">
        <v>450</v>
      </c>
      <c r="B293" s="383">
        <v>46153.0</v>
      </c>
      <c r="C293" s="384" t="s">
        <v>1285</v>
      </c>
      <c r="D293" s="116" t="s">
        <v>78</v>
      </c>
      <c r="E293" s="116" t="s">
        <v>213</v>
      </c>
      <c r="F293" s="388"/>
      <c r="G293" s="44" t="s">
        <v>168</v>
      </c>
      <c r="H293" s="385">
        <v>1.0</v>
      </c>
      <c r="I293" s="386">
        <f>IF(G293="", "", IFERROR(VLOOKUP(G293, Products!A:F, 4, FALSE), ""))
</f>
        <v>80</v>
      </c>
      <c r="J293" s="386">
        <v>0.0</v>
      </c>
      <c r="K293" s="54">
        <f t="shared" si="10"/>
        <v>80</v>
      </c>
      <c r="L293" s="387"/>
      <c r="M293" s="138" t="s">
        <v>73</v>
      </c>
      <c r="N293" s="46">
        <f t="shared" si="2"/>
        <v>80</v>
      </c>
      <c r="O293" s="369" t="b">
        <v>1</v>
      </c>
      <c r="P293" s="369" t="b">
        <v>1</v>
      </c>
      <c r="Q293" s="387">
        <v>80.0</v>
      </c>
      <c r="R293" s="138" t="s">
        <v>684</v>
      </c>
      <c r="S293" s="65">
        <f t="shared" si="14"/>
        <v>0</v>
      </c>
      <c r="T293" s="369" t="b">
        <v>1</v>
      </c>
      <c r="U293" s="388"/>
      <c r="V293" s="391" t="b">
        <v>0</v>
      </c>
      <c r="W293" s="391" t="b">
        <v>0</v>
      </c>
      <c r="X293" s="391" t="b">
        <v>0</v>
      </c>
    </row>
    <row r="294" ht="24.0" customHeight="1">
      <c r="A294" s="76" t="s">
        <v>450</v>
      </c>
      <c r="B294" s="383">
        <v>46153.0</v>
      </c>
      <c r="C294" s="384" t="s">
        <v>1285</v>
      </c>
      <c r="D294" s="116" t="s">
        <v>78</v>
      </c>
      <c r="E294" s="116" t="s">
        <v>213</v>
      </c>
      <c r="F294" s="388"/>
      <c r="G294" s="76" t="s">
        <v>201</v>
      </c>
      <c r="H294" s="385">
        <v>1.0</v>
      </c>
      <c r="I294" s="386">
        <f>IF(G294="", "", IFERROR(VLOOKUP(G294, Products!A:F, 4, FALSE), ""))
</f>
        <v>80</v>
      </c>
      <c r="J294" s="386">
        <v>0.0</v>
      </c>
      <c r="K294" s="54">
        <f t="shared" si="10"/>
        <v>80</v>
      </c>
      <c r="L294" s="387">
        <v>100.0</v>
      </c>
      <c r="M294" s="138" t="s">
        <v>73</v>
      </c>
      <c r="N294" s="46">
        <f t="shared" si="2"/>
        <v>-20</v>
      </c>
      <c r="O294" s="369" t="b">
        <v>1</v>
      </c>
      <c r="P294" s="369" t="b">
        <v>1</v>
      </c>
      <c r="Q294" s="387"/>
      <c r="R294" s="388"/>
      <c r="S294" s="65">
        <f t="shared" si="14"/>
        <v>-20</v>
      </c>
      <c r="T294" s="369" t="b">
        <v>1</v>
      </c>
      <c r="U294" s="388"/>
      <c r="V294" s="391" t="b">
        <v>0</v>
      </c>
      <c r="W294" s="391" t="b">
        <v>0</v>
      </c>
      <c r="X294" s="391" t="b">
        <v>0</v>
      </c>
    </row>
    <row r="295" ht="24.0" customHeight="1">
      <c r="A295" s="76" t="s">
        <v>450</v>
      </c>
      <c r="B295" s="383">
        <v>46153.0</v>
      </c>
      <c r="C295" s="384" t="s">
        <v>1285</v>
      </c>
      <c r="D295" s="116" t="s">
        <v>78</v>
      </c>
      <c r="E295" s="116" t="s">
        <v>213</v>
      </c>
      <c r="F295" s="388"/>
      <c r="G295" s="76" t="s">
        <v>122</v>
      </c>
      <c r="H295" s="385">
        <v>1.0</v>
      </c>
      <c r="I295" s="386">
        <f>IF(G295="", "", IFERROR(VLOOKUP(G295, Products!A:F, 4, FALSE), ""))
</f>
        <v>80</v>
      </c>
      <c r="J295" s="386">
        <v>0.0</v>
      </c>
      <c r="K295" s="54">
        <f t="shared" si="10"/>
        <v>80</v>
      </c>
      <c r="L295" s="387"/>
      <c r="M295" s="388"/>
      <c r="N295" s="46">
        <f t="shared" si="2"/>
        <v>80</v>
      </c>
      <c r="O295" s="369" t="b">
        <v>1</v>
      </c>
      <c r="P295" s="369" t="b">
        <v>1</v>
      </c>
      <c r="Q295" s="387">
        <v>80.0</v>
      </c>
      <c r="R295" s="138" t="s">
        <v>684</v>
      </c>
      <c r="S295" s="65">
        <f t="shared" si="14"/>
        <v>0</v>
      </c>
      <c r="T295" s="369" t="b">
        <v>1</v>
      </c>
      <c r="U295" s="388"/>
      <c r="V295" s="391" t="b">
        <v>0</v>
      </c>
      <c r="W295" s="391" t="b">
        <v>0</v>
      </c>
      <c r="X295" s="391" t="b">
        <v>0</v>
      </c>
    </row>
    <row r="296" ht="24.0" customHeight="1">
      <c r="A296" s="76" t="s">
        <v>450</v>
      </c>
      <c r="B296" s="383">
        <v>46153.0</v>
      </c>
      <c r="C296" s="384" t="s">
        <v>1285</v>
      </c>
      <c r="D296" s="116" t="s">
        <v>78</v>
      </c>
      <c r="E296" s="116" t="s">
        <v>213</v>
      </c>
      <c r="F296" s="388"/>
      <c r="G296" s="76" t="s">
        <v>187</v>
      </c>
      <c r="H296" s="385">
        <v>1.0</v>
      </c>
      <c r="I296" s="386">
        <f>IF(G296="", "", IFERROR(VLOOKUP(G296, Products!A:F, 4, FALSE), ""))
</f>
        <v>400</v>
      </c>
      <c r="J296" s="386">
        <v>0.0</v>
      </c>
      <c r="K296" s="54">
        <f t="shared" si="10"/>
        <v>400</v>
      </c>
      <c r="L296" s="387"/>
      <c r="M296" s="388"/>
      <c r="N296" s="46">
        <f t="shared" si="2"/>
        <v>400</v>
      </c>
      <c r="O296" s="369" t="b">
        <v>1</v>
      </c>
      <c r="P296" s="369" t="b">
        <v>1</v>
      </c>
      <c r="Q296" s="387">
        <v>400.0</v>
      </c>
      <c r="R296" s="138" t="s">
        <v>684</v>
      </c>
      <c r="S296" s="65">
        <f t="shared" si="14"/>
        <v>0</v>
      </c>
      <c r="T296" s="369" t="b">
        <v>1</v>
      </c>
      <c r="U296" s="388"/>
      <c r="V296" s="391" t="b">
        <v>0</v>
      </c>
      <c r="W296" s="391" t="b">
        <v>0</v>
      </c>
      <c r="X296" s="391" t="b">
        <v>0</v>
      </c>
    </row>
    <row r="297" ht="24.0" customHeight="1">
      <c r="A297" s="76" t="s">
        <v>450</v>
      </c>
      <c r="B297" s="383">
        <v>46153.0</v>
      </c>
      <c r="C297" s="384" t="s">
        <v>1285</v>
      </c>
      <c r="D297" s="116" t="s">
        <v>78</v>
      </c>
      <c r="E297" s="116" t="s">
        <v>213</v>
      </c>
      <c r="F297" s="388"/>
      <c r="G297" s="76" t="s">
        <v>190</v>
      </c>
      <c r="H297" s="385">
        <v>1.0</v>
      </c>
      <c r="I297" s="386">
        <f>IF(G297="", "", IFERROR(VLOOKUP(G297, Products!A:F, 4, FALSE), ""))
</f>
        <v>200</v>
      </c>
      <c r="J297" s="386">
        <v>0.0</v>
      </c>
      <c r="K297" s="54">
        <f t="shared" si="10"/>
        <v>200</v>
      </c>
      <c r="L297" s="387"/>
      <c r="M297" s="388"/>
      <c r="N297" s="46">
        <f t="shared" si="2"/>
        <v>200</v>
      </c>
      <c r="O297" s="369" t="b">
        <v>1</v>
      </c>
      <c r="P297" s="369" t="b">
        <v>1</v>
      </c>
      <c r="Q297" s="387">
        <v>200.0</v>
      </c>
      <c r="R297" s="138" t="s">
        <v>684</v>
      </c>
      <c r="S297" s="65">
        <f t="shared" si="14"/>
        <v>0</v>
      </c>
      <c r="T297" s="369" t="b">
        <v>1</v>
      </c>
      <c r="U297" s="388"/>
      <c r="V297" s="391" t="b">
        <v>0</v>
      </c>
      <c r="W297" s="391" t="b">
        <v>0</v>
      </c>
      <c r="X297" s="391" t="b">
        <v>0</v>
      </c>
    </row>
    <row r="298" ht="24.0" customHeight="1">
      <c r="A298" s="76" t="s">
        <v>196</v>
      </c>
      <c r="B298" s="383">
        <v>46153.0</v>
      </c>
      <c r="C298" s="384" t="s">
        <v>1286</v>
      </c>
      <c r="D298" s="116" t="s">
        <v>93</v>
      </c>
      <c r="E298" s="116" t="s">
        <v>553</v>
      </c>
      <c r="F298" s="388"/>
      <c r="G298" s="76" t="s">
        <v>187</v>
      </c>
      <c r="H298" s="385">
        <v>2.0</v>
      </c>
      <c r="I298" s="386">
        <f>IF(G298="", "", IFERROR(VLOOKUP(G298, Products!A:F, 4, FALSE), ""))
</f>
        <v>400</v>
      </c>
      <c r="J298" s="386">
        <v>100.0</v>
      </c>
      <c r="K298" s="54">
        <f t="shared" si="10"/>
        <v>700</v>
      </c>
      <c r="L298" s="387">
        <v>350.0</v>
      </c>
      <c r="M298" s="138" t="s">
        <v>73</v>
      </c>
      <c r="N298" s="46">
        <f t="shared" si="2"/>
        <v>350</v>
      </c>
      <c r="O298" s="369" t="b">
        <v>1</v>
      </c>
      <c r="P298" s="369" t="b">
        <v>1</v>
      </c>
      <c r="Q298" s="387">
        <v>350.0</v>
      </c>
      <c r="R298" s="138" t="s">
        <v>73</v>
      </c>
      <c r="S298" s="65">
        <f t="shared" si="14"/>
        <v>0</v>
      </c>
      <c r="T298" s="369" t="b">
        <v>1</v>
      </c>
      <c r="U298" s="138" t="s">
        <v>1274</v>
      </c>
      <c r="V298" s="369" t="b">
        <v>0</v>
      </c>
      <c r="W298" s="369" t="b">
        <v>0</v>
      </c>
      <c r="X298" s="369" t="b">
        <v>0</v>
      </c>
    </row>
    <row r="299" ht="24.0" customHeight="1">
      <c r="A299" s="76" t="s">
        <v>401</v>
      </c>
      <c r="B299" s="383">
        <v>46158.0</v>
      </c>
      <c r="C299" s="384" t="s">
        <v>1287</v>
      </c>
      <c r="D299" s="116" t="s">
        <v>204</v>
      </c>
      <c r="E299" s="399"/>
      <c r="F299" s="388"/>
      <c r="G299" s="44" t="s">
        <v>104</v>
      </c>
      <c r="H299" s="385">
        <v>1.0</v>
      </c>
      <c r="I299" s="386">
        <f>IF(G299="", "", IFERROR(VLOOKUP(G299, Products!A:F, 4, FALSE), ""))
</f>
        <v>80</v>
      </c>
      <c r="J299" s="386">
        <v>0.0</v>
      </c>
      <c r="K299" s="54">
        <f t="shared" si="10"/>
        <v>80</v>
      </c>
      <c r="L299" s="387">
        <v>70.0</v>
      </c>
      <c r="M299" s="138" t="s">
        <v>73</v>
      </c>
      <c r="N299" s="46">
        <f t="shared" si="2"/>
        <v>10</v>
      </c>
      <c r="O299" s="369" t="b">
        <v>1</v>
      </c>
      <c r="P299" s="369" t="b">
        <v>1</v>
      </c>
      <c r="Q299" s="387">
        <v>10.0</v>
      </c>
      <c r="R299" s="138" t="s">
        <v>73</v>
      </c>
      <c r="S299" s="65">
        <f t="shared" si="14"/>
        <v>0</v>
      </c>
      <c r="T299" s="369" t="b">
        <v>1</v>
      </c>
      <c r="U299" s="388"/>
      <c r="V299" s="391" t="b">
        <v>0</v>
      </c>
      <c r="W299" s="391" t="b">
        <v>0</v>
      </c>
      <c r="X299" s="391" t="b">
        <v>0</v>
      </c>
    </row>
    <row r="300" ht="24.0" customHeight="1">
      <c r="A300" s="76" t="s">
        <v>401</v>
      </c>
      <c r="B300" s="383">
        <v>46158.0</v>
      </c>
      <c r="C300" s="384" t="s">
        <v>1287</v>
      </c>
      <c r="D300" s="116" t="s">
        <v>204</v>
      </c>
      <c r="E300" s="399"/>
      <c r="F300" s="388"/>
      <c r="G300" s="76" t="s">
        <v>201</v>
      </c>
      <c r="H300" s="385">
        <v>1.0</v>
      </c>
      <c r="I300" s="386">
        <f>IF(G300="", "", IFERROR(VLOOKUP(G300, Products!A:F, 4, FALSE), ""))
</f>
        <v>80</v>
      </c>
      <c r="J300" s="386">
        <v>0.0</v>
      </c>
      <c r="K300" s="54">
        <f t="shared" si="10"/>
        <v>80</v>
      </c>
      <c r="L300" s="387"/>
      <c r="M300" s="388"/>
      <c r="N300" s="46">
        <f t="shared" si="2"/>
        <v>80</v>
      </c>
      <c r="O300" s="369" t="b">
        <v>1</v>
      </c>
      <c r="P300" s="369" t="b">
        <v>1</v>
      </c>
      <c r="Q300" s="387">
        <v>100.0</v>
      </c>
      <c r="R300" s="138" t="s">
        <v>73</v>
      </c>
      <c r="S300" s="65">
        <f t="shared" si="14"/>
        <v>-20</v>
      </c>
      <c r="T300" s="369" t="b">
        <v>1</v>
      </c>
      <c r="U300" s="388"/>
      <c r="V300" s="391" t="b">
        <v>0</v>
      </c>
      <c r="W300" s="391" t="b">
        <v>0</v>
      </c>
      <c r="X300" s="391" t="b">
        <v>0</v>
      </c>
    </row>
    <row r="301" ht="24.0" customHeight="1">
      <c r="A301" s="76" t="s">
        <v>401</v>
      </c>
      <c r="B301" s="383">
        <v>46158.0</v>
      </c>
      <c r="C301" s="384" t="s">
        <v>1287</v>
      </c>
      <c r="D301" s="116" t="s">
        <v>204</v>
      </c>
      <c r="E301" s="399"/>
      <c r="F301" s="388"/>
      <c r="G301" s="76" t="s">
        <v>190</v>
      </c>
      <c r="H301" s="385">
        <v>1.0</v>
      </c>
      <c r="I301" s="386">
        <f>IF(G301="", "", IFERROR(VLOOKUP(G301, Products!A:F, 4, FALSE), ""))
</f>
        <v>200</v>
      </c>
      <c r="J301" s="386">
        <v>0.0</v>
      </c>
      <c r="K301" s="54">
        <f t="shared" si="10"/>
        <v>200</v>
      </c>
      <c r="L301" s="387"/>
      <c r="M301" s="388"/>
      <c r="N301" s="46">
        <f t="shared" si="2"/>
        <v>200</v>
      </c>
      <c r="O301" s="369" t="b">
        <v>1</v>
      </c>
      <c r="P301" s="369" t="b">
        <v>1</v>
      </c>
      <c r="Q301" s="387">
        <v>200.0</v>
      </c>
      <c r="R301" s="138" t="s">
        <v>73</v>
      </c>
      <c r="S301" s="65">
        <f t="shared" si="14"/>
        <v>0</v>
      </c>
      <c r="T301" s="369" t="b">
        <v>1</v>
      </c>
      <c r="U301" s="388"/>
      <c r="V301" s="391" t="b">
        <v>0</v>
      </c>
      <c r="W301" s="391" t="b">
        <v>0</v>
      </c>
      <c r="X301" s="391" t="b">
        <v>0</v>
      </c>
    </row>
    <row r="302" ht="24.0" customHeight="1">
      <c r="A302" s="76" t="s">
        <v>401</v>
      </c>
      <c r="B302" s="383">
        <v>46158.0</v>
      </c>
      <c r="C302" s="384" t="s">
        <v>1287</v>
      </c>
      <c r="D302" s="116" t="s">
        <v>204</v>
      </c>
      <c r="E302" s="399"/>
      <c r="F302" s="388"/>
      <c r="G302" s="76" t="s">
        <v>122</v>
      </c>
      <c r="H302" s="385">
        <v>1.0</v>
      </c>
      <c r="I302" s="386">
        <f>IF(G302="", "", IFERROR(VLOOKUP(G302, Products!A:F, 4, FALSE), ""))
</f>
        <v>80</v>
      </c>
      <c r="J302" s="386">
        <v>0.0</v>
      </c>
      <c r="K302" s="54">
        <f t="shared" si="10"/>
        <v>80</v>
      </c>
      <c r="L302" s="387"/>
      <c r="M302" s="388"/>
      <c r="N302" s="46">
        <f t="shared" si="2"/>
        <v>80</v>
      </c>
      <c r="O302" s="369" t="b">
        <v>1</v>
      </c>
      <c r="P302" s="369" t="b">
        <v>1</v>
      </c>
      <c r="Q302" s="387">
        <v>80.0</v>
      </c>
      <c r="R302" s="138" t="s">
        <v>73</v>
      </c>
      <c r="S302" s="65">
        <f t="shared" si="14"/>
        <v>0</v>
      </c>
      <c r="T302" s="369" t="b">
        <v>1</v>
      </c>
      <c r="U302" s="388"/>
      <c r="V302" s="391" t="b">
        <v>0</v>
      </c>
      <c r="W302" s="391" t="b">
        <v>0</v>
      </c>
      <c r="X302" s="391" t="b">
        <v>0</v>
      </c>
    </row>
    <row r="303" ht="24.0" customHeight="1">
      <c r="A303" s="76" t="s">
        <v>401</v>
      </c>
      <c r="B303" s="383">
        <v>46158.0</v>
      </c>
      <c r="C303" s="384" t="s">
        <v>1287</v>
      </c>
      <c r="D303" s="116" t="s">
        <v>204</v>
      </c>
      <c r="E303" s="399"/>
      <c r="F303" s="388"/>
      <c r="G303" s="76" t="s">
        <v>187</v>
      </c>
      <c r="H303" s="385">
        <v>1.0</v>
      </c>
      <c r="I303" s="386">
        <f>IF(G303="", "", IFERROR(VLOOKUP(G303, Products!A:F, 4, FALSE), ""))
</f>
        <v>400</v>
      </c>
      <c r="J303" s="386">
        <v>0.0</v>
      </c>
      <c r="K303" s="54">
        <f t="shared" si="10"/>
        <v>400</v>
      </c>
      <c r="L303" s="387">
        <v>400.0</v>
      </c>
      <c r="M303" s="138" t="s">
        <v>73</v>
      </c>
      <c r="N303" s="46">
        <f t="shared" si="2"/>
        <v>0</v>
      </c>
      <c r="O303" s="369" t="b">
        <v>1</v>
      </c>
      <c r="P303" s="369" t="b">
        <v>1</v>
      </c>
      <c r="Q303" s="387"/>
      <c r="R303" s="388"/>
      <c r="S303" s="65">
        <f t="shared" si="14"/>
        <v>0</v>
      </c>
      <c r="T303" s="369" t="b">
        <v>1</v>
      </c>
      <c r="U303" s="388"/>
      <c r="V303" s="391" t="b">
        <v>0</v>
      </c>
      <c r="W303" s="391" t="b">
        <v>0</v>
      </c>
      <c r="X303" s="391" t="b">
        <v>0</v>
      </c>
    </row>
    <row r="304" ht="24.0" customHeight="1">
      <c r="A304" s="76" t="s">
        <v>401</v>
      </c>
      <c r="B304" s="383">
        <v>46158.0</v>
      </c>
      <c r="C304" s="384" t="s">
        <v>1287</v>
      </c>
      <c r="D304" s="116" t="s">
        <v>204</v>
      </c>
      <c r="E304" s="399"/>
      <c r="F304" s="388"/>
      <c r="G304" s="76" t="s">
        <v>185</v>
      </c>
      <c r="H304" s="385">
        <v>1.0</v>
      </c>
      <c r="I304" s="386">
        <f>IF(G304="", "", IFERROR(VLOOKUP(G304, Products!A:F, 4, FALSE), ""))
</f>
        <v>80</v>
      </c>
      <c r="J304" s="386">
        <v>0.0</v>
      </c>
      <c r="K304" s="54">
        <f t="shared" si="10"/>
        <v>80</v>
      </c>
      <c r="L304" s="387"/>
      <c r="M304" s="388"/>
      <c r="N304" s="46">
        <f t="shared" si="2"/>
        <v>80</v>
      </c>
      <c r="O304" s="369" t="b">
        <v>1</v>
      </c>
      <c r="P304" s="369" t="b">
        <v>1</v>
      </c>
      <c r="Q304" s="387">
        <v>80.0</v>
      </c>
      <c r="R304" s="138" t="s">
        <v>73</v>
      </c>
      <c r="S304" s="65">
        <f t="shared" si="14"/>
        <v>0</v>
      </c>
      <c r="T304" s="369" t="b">
        <v>1</v>
      </c>
      <c r="U304" s="388"/>
      <c r="V304" s="391" t="b">
        <v>0</v>
      </c>
      <c r="W304" s="391" t="b">
        <v>0</v>
      </c>
      <c r="X304" s="391" t="b">
        <v>0</v>
      </c>
    </row>
    <row r="305" ht="24.0" customHeight="1">
      <c r="A305" s="76" t="s">
        <v>401</v>
      </c>
      <c r="B305" s="383">
        <v>46158.0</v>
      </c>
      <c r="C305" s="384" t="s">
        <v>1287</v>
      </c>
      <c r="D305" s="116" t="s">
        <v>204</v>
      </c>
      <c r="E305" s="399"/>
      <c r="F305" s="388"/>
      <c r="G305" s="76" t="s">
        <v>205</v>
      </c>
      <c r="H305" s="385">
        <v>1.0</v>
      </c>
      <c r="I305" s="386">
        <f>IF(G305="", "", IFERROR(VLOOKUP(G305, Products!A:F, 4, FALSE), ""))
</f>
        <v>100</v>
      </c>
      <c r="J305" s="386">
        <v>0.0</v>
      </c>
      <c r="K305" s="54">
        <f t="shared" si="10"/>
        <v>100</v>
      </c>
      <c r="L305" s="387"/>
      <c r="M305" s="388"/>
      <c r="N305" s="46">
        <f t="shared" si="2"/>
        <v>100</v>
      </c>
      <c r="O305" s="369" t="b">
        <v>1</v>
      </c>
      <c r="P305" s="369" t="b">
        <v>1</v>
      </c>
      <c r="Q305" s="387">
        <v>100.0</v>
      </c>
      <c r="R305" s="138" t="s">
        <v>73</v>
      </c>
      <c r="S305" s="65">
        <f t="shared" si="14"/>
        <v>0</v>
      </c>
      <c r="T305" s="369" t="b">
        <v>1</v>
      </c>
      <c r="U305" s="388"/>
      <c r="V305" s="391" t="b">
        <v>0</v>
      </c>
      <c r="W305" s="391" t="b">
        <v>0</v>
      </c>
      <c r="X305" s="391" t="b">
        <v>0</v>
      </c>
    </row>
    <row r="306" ht="24.0" customHeight="1">
      <c r="A306" s="76" t="s">
        <v>458</v>
      </c>
      <c r="B306" s="383">
        <v>46158.0</v>
      </c>
      <c r="C306" s="384" t="s">
        <v>1288</v>
      </c>
      <c r="D306" s="116" t="s">
        <v>53</v>
      </c>
      <c r="E306" s="116" t="s">
        <v>586</v>
      </c>
      <c r="F306" s="388"/>
      <c r="G306" s="76" t="s">
        <v>187</v>
      </c>
      <c r="H306" s="385">
        <v>1.0</v>
      </c>
      <c r="I306" s="386">
        <f>IF(G306="", "", IFERROR(VLOOKUP(G306, Products!A:F, 4, FALSE), ""))
</f>
        <v>400</v>
      </c>
      <c r="J306" s="386">
        <v>0.0</v>
      </c>
      <c r="K306" s="54">
        <f t="shared" si="10"/>
        <v>400</v>
      </c>
      <c r="L306" s="387">
        <v>200.0</v>
      </c>
      <c r="M306" s="138" t="s">
        <v>73</v>
      </c>
      <c r="N306" s="46">
        <f t="shared" si="2"/>
        <v>200</v>
      </c>
      <c r="O306" s="369" t="b">
        <v>1</v>
      </c>
      <c r="P306" s="369" t="b">
        <v>1</v>
      </c>
      <c r="Q306" s="387">
        <v>200.0</v>
      </c>
      <c r="R306" s="138" t="s">
        <v>271</v>
      </c>
      <c r="S306" s="65">
        <f t="shared" si="14"/>
        <v>0</v>
      </c>
      <c r="T306" s="369" t="b">
        <v>1</v>
      </c>
      <c r="U306" s="138" t="s">
        <v>1274</v>
      </c>
      <c r="V306" s="369" t="b">
        <v>0</v>
      </c>
      <c r="W306" s="369" t="b">
        <v>0</v>
      </c>
      <c r="X306" s="369" t="b">
        <v>0</v>
      </c>
    </row>
    <row r="307" ht="24.0" customHeight="1">
      <c r="A307" s="76" t="s">
        <v>456</v>
      </c>
      <c r="B307" s="383">
        <v>46158.0</v>
      </c>
      <c r="C307" s="384" t="s">
        <v>1289</v>
      </c>
      <c r="D307" s="116" t="s">
        <v>93</v>
      </c>
      <c r="E307" s="116" t="s">
        <v>457</v>
      </c>
      <c r="F307" s="388"/>
      <c r="G307" s="76" t="s">
        <v>185</v>
      </c>
      <c r="H307" s="385">
        <v>4.0</v>
      </c>
      <c r="I307" s="386">
        <f>IF(G307="", "", IFERROR(VLOOKUP(G307, Products!A:F, 4, FALSE), ""))
</f>
        <v>80</v>
      </c>
      <c r="J307" s="386">
        <v>0.0</v>
      </c>
      <c r="K307" s="54">
        <f t="shared" si="10"/>
        <v>320</v>
      </c>
      <c r="L307" s="387">
        <v>160.0</v>
      </c>
      <c r="M307" s="138" t="s">
        <v>73</v>
      </c>
      <c r="N307" s="46">
        <f t="shared" si="2"/>
        <v>160</v>
      </c>
      <c r="O307" s="369" t="b">
        <v>1</v>
      </c>
      <c r="P307" s="369" t="b">
        <v>1</v>
      </c>
      <c r="Q307" s="387">
        <v>160.0</v>
      </c>
      <c r="R307" s="138" t="s">
        <v>73</v>
      </c>
      <c r="S307" s="65">
        <f t="shared" si="14"/>
        <v>0</v>
      </c>
      <c r="T307" s="369" t="b">
        <v>1</v>
      </c>
      <c r="U307" s="388"/>
      <c r="V307" s="391" t="b">
        <v>0</v>
      </c>
      <c r="W307" s="391" t="b">
        <v>0</v>
      </c>
      <c r="X307" s="391" t="b">
        <v>0</v>
      </c>
    </row>
    <row r="308" ht="24.0" customHeight="1">
      <c r="A308" s="76" t="s">
        <v>460</v>
      </c>
      <c r="B308" s="383">
        <v>46167.0</v>
      </c>
      <c r="C308" s="384" t="s">
        <v>1290</v>
      </c>
      <c r="D308" s="116" t="s">
        <v>461</v>
      </c>
      <c r="E308" s="399"/>
      <c r="F308" s="388"/>
      <c r="G308" s="457" t="s">
        <v>145</v>
      </c>
      <c r="H308" s="385">
        <v>3.0</v>
      </c>
      <c r="I308" s="386">
        <f>IF(G308="", "", IFERROR(VLOOKUP(G308, Products!A:F, 4, FALSE), ""))
</f>
        <v>100</v>
      </c>
      <c r="J308" s="386">
        <v>0.0</v>
      </c>
      <c r="K308" s="54">
        <f t="shared" si="10"/>
        <v>300</v>
      </c>
      <c r="L308" s="387">
        <v>300.0</v>
      </c>
      <c r="M308" s="138" t="s">
        <v>73</v>
      </c>
      <c r="N308" s="46">
        <f t="shared" si="2"/>
        <v>0</v>
      </c>
      <c r="O308" s="369" t="b">
        <v>1</v>
      </c>
      <c r="P308" s="369" t="b">
        <v>1</v>
      </c>
      <c r="Q308" s="387"/>
      <c r="R308" s="388"/>
      <c r="S308" s="65">
        <f t="shared" si="14"/>
        <v>0</v>
      </c>
      <c r="T308" s="369" t="b">
        <v>1</v>
      </c>
      <c r="U308" s="138" t="s">
        <v>1291</v>
      </c>
      <c r="V308" s="369" t="b">
        <v>0</v>
      </c>
      <c r="W308" s="369" t="b">
        <v>0</v>
      </c>
      <c r="X308" s="369" t="b">
        <v>0</v>
      </c>
    </row>
    <row r="309" ht="24.0" customHeight="1">
      <c r="A309" s="76" t="s">
        <v>462</v>
      </c>
      <c r="B309" s="383">
        <v>46169.0</v>
      </c>
      <c r="C309" s="384" t="s">
        <v>1292</v>
      </c>
      <c r="D309" s="116" t="s">
        <v>243</v>
      </c>
      <c r="E309" s="399"/>
      <c r="F309" s="388"/>
      <c r="G309" s="76" t="s">
        <v>187</v>
      </c>
      <c r="H309" s="385">
        <v>1.0</v>
      </c>
      <c r="I309" s="386">
        <f>IF(G309="", "", IFERROR(VLOOKUP(G309, Products!A:F, 4, FALSE), ""))
</f>
        <v>400</v>
      </c>
      <c r="J309" s="386">
        <v>0.0</v>
      </c>
      <c r="K309" s="54">
        <f t="shared" si="10"/>
        <v>400</v>
      </c>
      <c r="L309" s="387">
        <v>400.0</v>
      </c>
      <c r="M309" s="138" t="s">
        <v>73</v>
      </c>
      <c r="N309" s="46">
        <f t="shared" si="2"/>
        <v>0</v>
      </c>
      <c r="O309" s="369" t="b">
        <v>1</v>
      </c>
      <c r="P309" s="369" t="b">
        <v>1</v>
      </c>
      <c r="Q309" s="387"/>
      <c r="R309" s="388"/>
      <c r="S309" s="65">
        <f t="shared" si="14"/>
        <v>0</v>
      </c>
      <c r="T309" s="369" t="b">
        <v>1</v>
      </c>
      <c r="U309" s="388"/>
      <c r="V309" s="391" t="b">
        <v>0</v>
      </c>
      <c r="W309" s="391" t="b">
        <v>0</v>
      </c>
      <c r="X309" s="391" t="b">
        <v>0</v>
      </c>
    </row>
    <row r="310" ht="24.0" customHeight="1">
      <c r="A310" s="76" t="s">
        <v>462</v>
      </c>
      <c r="B310" s="383">
        <v>46169.0</v>
      </c>
      <c r="C310" s="384" t="s">
        <v>1292</v>
      </c>
      <c r="D310" s="116" t="s">
        <v>243</v>
      </c>
      <c r="E310" s="399"/>
      <c r="F310" s="388"/>
      <c r="G310" s="76" t="s">
        <v>190</v>
      </c>
      <c r="H310" s="385">
        <v>1.0</v>
      </c>
      <c r="I310" s="386">
        <f>IF(G310="", "", IFERROR(VLOOKUP(G310, Products!A:F, 4, FALSE), ""))
</f>
        <v>200</v>
      </c>
      <c r="J310" s="386">
        <v>0.0</v>
      </c>
      <c r="K310" s="54">
        <f t="shared" si="10"/>
        <v>200</v>
      </c>
      <c r="L310" s="387">
        <v>200.0</v>
      </c>
      <c r="M310" s="138" t="s">
        <v>73</v>
      </c>
      <c r="N310" s="46">
        <f t="shared" si="2"/>
        <v>0</v>
      </c>
      <c r="O310" s="369" t="b">
        <v>1</v>
      </c>
      <c r="P310" s="369" t="b">
        <v>1</v>
      </c>
      <c r="Q310" s="387"/>
      <c r="R310" s="388"/>
      <c r="S310" s="65">
        <f t="shared" si="14"/>
        <v>0</v>
      </c>
      <c r="T310" s="369" t="b">
        <v>1</v>
      </c>
      <c r="U310" s="388"/>
      <c r="V310" s="391" t="b">
        <v>0</v>
      </c>
      <c r="W310" s="391" t="b">
        <v>0</v>
      </c>
      <c r="X310" s="391" t="b">
        <v>0</v>
      </c>
    </row>
    <row r="311" ht="24.0" customHeight="1">
      <c r="A311" s="76" t="s">
        <v>462</v>
      </c>
      <c r="B311" s="383">
        <v>46169.0</v>
      </c>
      <c r="C311" s="384" t="s">
        <v>1292</v>
      </c>
      <c r="D311" s="116" t="s">
        <v>243</v>
      </c>
      <c r="E311" s="399"/>
      <c r="F311" s="388"/>
      <c r="G311" s="76" t="s">
        <v>122</v>
      </c>
      <c r="H311" s="385">
        <v>1.0</v>
      </c>
      <c r="I311" s="386">
        <f>IF(G311="", "", IFERROR(VLOOKUP(G311, Products!A:F, 4, FALSE), ""))
</f>
        <v>80</v>
      </c>
      <c r="J311" s="386">
        <v>0.0</v>
      </c>
      <c r="K311" s="54">
        <f t="shared" si="10"/>
        <v>80</v>
      </c>
      <c r="L311" s="387">
        <v>80.0</v>
      </c>
      <c r="M311" s="138" t="s">
        <v>73</v>
      </c>
      <c r="N311" s="46">
        <f t="shared" si="2"/>
        <v>0</v>
      </c>
      <c r="O311" s="369" t="b">
        <v>1</v>
      </c>
      <c r="P311" s="369" t="b">
        <v>1</v>
      </c>
      <c r="Q311" s="387"/>
      <c r="R311" s="388"/>
      <c r="S311" s="65">
        <f t="shared" si="14"/>
        <v>0</v>
      </c>
      <c r="T311" s="369" t="b">
        <v>1</v>
      </c>
      <c r="U311" s="388"/>
      <c r="V311" s="391" t="b">
        <v>0</v>
      </c>
      <c r="W311" s="391" t="b">
        <v>0</v>
      </c>
      <c r="X311" s="391" t="b">
        <v>0</v>
      </c>
    </row>
    <row r="312" ht="24.0" customHeight="1">
      <c r="A312" s="76" t="s">
        <v>462</v>
      </c>
      <c r="B312" s="383">
        <v>46169.0</v>
      </c>
      <c r="C312" s="384" t="s">
        <v>1292</v>
      </c>
      <c r="D312" s="116" t="s">
        <v>243</v>
      </c>
      <c r="E312" s="399"/>
      <c r="F312" s="388"/>
      <c r="G312" s="76" t="s">
        <v>201</v>
      </c>
      <c r="H312" s="385">
        <v>1.0</v>
      </c>
      <c r="I312" s="386">
        <f>IF(G312="", "", IFERROR(VLOOKUP(G312, Products!A:F, 4, FALSE), ""))
</f>
        <v>80</v>
      </c>
      <c r="J312" s="386">
        <v>0.0</v>
      </c>
      <c r="K312" s="54">
        <f t="shared" si="10"/>
        <v>80</v>
      </c>
      <c r="L312" s="387">
        <v>80.0</v>
      </c>
      <c r="M312" s="138" t="s">
        <v>73</v>
      </c>
      <c r="N312" s="46">
        <f t="shared" si="2"/>
        <v>0</v>
      </c>
      <c r="O312" s="369" t="b">
        <v>1</v>
      </c>
      <c r="P312" s="369" t="b">
        <v>1</v>
      </c>
      <c r="Q312" s="387">
        <v>20.0</v>
      </c>
      <c r="R312" s="138" t="s">
        <v>684</v>
      </c>
      <c r="S312" s="65">
        <f t="shared" si="14"/>
        <v>-20</v>
      </c>
      <c r="T312" s="369" t="b">
        <v>1</v>
      </c>
      <c r="U312" s="470" t="s">
        <v>750</v>
      </c>
      <c r="V312" s="471" t="b">
        <v>0</v>
      </c>
      <c r="W312" s="471" t="b">
        <v>0</v>
      </c>
      <c r="X312" s="471" t="b">
        <v>0</v>
      </c>
    </row>
    <row r="313" ht="24.0" customHeight="1">
      <c r="A313" s="76" t="s">
        <v>415</v>
      </c>
      <c r="B313" s="383">
        <v>46174.0</v>
      </c>
      <c r="C313" s="384" t="s">
        <v>1194</v>
      </c>
      <c r="D313" s="116" t="s">
        <v>416</v>
      </c>
      <c r="E313" s="399"/>
      <c r="F313" s="388"/>
      <c r="G313" s="76" t="s">
        <v>190</v>
      </c>
      <c r="H313" s="385">
        <v>4.0</v>
      </c>
      <c r="I313" s="386">
        <f>IF(G313="", "", IFERROR(VLOOKUP(G313, Products!A:F, 4, FALSE), ""))
</f>
        <v>200</v>
      </c>
      <c r="J313" s="405">
        <v>0.0</v>
      </c>
      <c r="K313" s="54">
        <f t="shared" si="10"/>
        <v>800</v>
      </c>
      <c r="L313" s="387">
        <v>400.0</v>
      </c>
      <c r="M313" s="138" t="s">
        <v>110</v>
      </c>
      <c r="N313" s="46">
        <f t="shared" si="2"/>
        <v>400</v>
      </c>
      <c r="O313" s="369" t="b">
        <v>1</v>
      </c>
      <c r="P313" s="369" t="b">
        <v>1</v>
      </c>
      <c r="Q313" s="387">
        <v>400.0</v>
      </c>
      <c r="R313" s="138" t="s">
        <v>684</v>
      </c>
      <c r="S313" s="65">
        <f t="shared" si="14"/>
        <v>0</v>
      </c>
      <c r="T313" s="369" t="b">
        <v>1</v>
      </c>
      <c r="U313" s="470" t="s">
        <v>750</v>
      </c>
      <c r="V313" s="471" t="b">
        <v>0</v>
      </c>
      <c r="W313" s="471" t="b">
        <v>0</v>
      </c>
      <c r="X313" s="471" t="b">
        <v>0</v>
      </c>
    </row>
    <row r="314" ht="24.0" customHeight="1">
      <c r="A314" s="76" t="s">
        <v>463</v>
      </c>
      <c r="B314" s="383">
        <v>46174.0</v>
      </c>
      <c r="C314" s="384" t="s">
        <v>1293</v>
      </c>
      <c r="D314" s="116" t="s">
        <v>78</v>
      </c>
      <c r="E314" s="116" t="s">
        <v>574</v>
      </c>
      <c r="F314" s="388"/>
      <c r="G314" s="76" t="s">
        <v>187</v>
      </c>
      <c r="H314" s="385">
        <v>1.0</v>
      </c>
      <c r="I314" s="386">
        <f>IF(G314="", "", IFERROR(VLOOKUP(G314, Products!A:F, 4, FALSE), ""))
</f>
        <v>400</v>
      </c>
      <c r="J314" s="386">
        <v>0.0</v>
      </c>
      <c r="K314" s="54">
        <f t="shared" si="10"/>
        <v>400</v>
      </c>
      <c r="L314" s="387">
        <v>400.0</v>
      </c>
      <c r="M314" s="138" t="s">
        <v>73</v>
      </c>
      <c r="N314" s="46">
        <f t="shared" si="2"/>
        <v>0</v>
      </c>
      <c r="O314" s="369" t="b">
        <v>1</v>
      </c>
      <c r="P314" s="369" t="b">
        <v>1</v>
      </c>
      <c r="Q314" s="387"/>
      <c r="R314" s="388"/>
      <c r="S314" s="65">
        <f t="shared" si="14"/>
        <v>0</v>
      </c>
      <c r="T314" s="369" t="b">
        <v>1</v>
      </c>
      <c r="U314" s="388"/>
      <c r="V314" s="391" t="b">
        <v>0</v>
      </c>
      <c r="W314" s="391" t="b">
        <v>0</v>
      </c>
      <c r="X314" s="391" t="b">
        <v>0</v>
      </c>
    </row>
    <row r="315" ht="24.0" customHeight="1">
      <c r="A315" s="76" t="s">
        <v>463</v>
      </c>
      <c r="B315" s="383">
        <v>46174.0</v>
      </c>
      <c r="C315" s="384" t="s">
        <v>1293</v>
      </c>
      <c r="D315" s="116" t="s">
        <v>78</v>
      </c>
      <c r="E315" s="116" t="s">
        <v>574</v>
      </c>
      <c r="F315" s="388"/>
      <c r="G315" s="76" t="s">
        <v>190</v>
      </c>
      <c r="H315" s="385">
        <v>2.0</v>
      </c>
      <c r="I315" s="386">
        <f>IF(G315="", "", IFERROR(VLOOKUP(G315, Products!A:F, 4, FALSE), ""))
</f>
        <v>200</v>
      </c>
      <c r="J315" s="386">
        <v>0.0</v>
      </c>
      <c r="K315" s="54">
        <f t="shared" si="10"/>
        <v>400</v>
      </c>
      <c r="L315" s="387">
        <v>400.0</v>
      </c>
      <c r="M315" s="138" t="s">
        <v>73</v>
      </c>
      <c r="N315" s="46">
        <f t="shared" si="2"/>
        <v>0</v>
      </c>
      <c r="O315" s="369" t="b">
        <v>1</v>
      </c>
      <c r="P315" s="369" t="b">
        <v>1</v>
      </c>
      <c r="Q315" s="387"/>
      <c r="R315" s="388"/>
      <c r="S315" s="65">
        <f t="shared" si="14"/>
        <v>0</v>
      </c>
      <c r="T315" s="369" t="b">
        <v>1</v>
      </c>
      <c r="U315" s="388"/>
      <c r="V315" s="391" t="b">
        <v>0</v>
      </c>
      <c r="W315" s="391" t="b">
        <v>0</v>
      </c>
      <c r="X315" s="391" t="b">
        <v>0</v>
      </c>
    </row>
    <row r="316" ht="24.0" customHeight="1">
      <c r="A316" s="76" t="s">
        <v>464</v>
      </c>
      <c r="B316" s="383">
        <v>46174.0</v>
      </c>
      <c r="C316" s="384" t="s">
        <v>1294</v>
      </c>
      <c r="D316" s="116" t="s">
        <v>243</v>
      </c>
      <c r="E316" s="399"/>
      <c r="F316" s="388"/>
      <c r="G316" s="76" t="s">
        <v>185</v>
      </c>
      <c r="H316" s="385">
        <v>3.0</v>
      </c>
      <c r="I316" s="386">
        <f>IF(G316="", "", IFERROR(VLOOKUP(G316, Products!A:F, 4, FALSE), ""))
</f>
        <v>80</v>
      </c>
      <c r="J316" s="386">
        <v>0.0</v>
      </c>
      <c r="K316" s="54">
        <f t="shared" si="10"/>
        <v>240</v>
      </c>
      <c r="L316" s="387">
        <v>120.0</v>
      </c>
      <c r="M316" s="138" t="s">
        <v>110</v>
      </c>
      <c r="N316" s="46">
        <f t="shared" si="2"/>
        <v>120</v>
      </c>
      <c r="O316" s="369" t="b">
        <v>1</v>
      </c>
      <c r="P316" s="369" t="b">
        <v>1</v>
      </c>
      <c r="Q316" s="387">
        <v>120.0</v>
      </c>
      <c r="R316" s="138" t="s">
        <v>684</v>
      </c>
      <c r="S316" s="65">
        <f t="shared" si="14"/>
        <v>0</v>
      </c>
      <c r="T316" s="369" t="b">
        <v>1</v>
      </c>
      <c r="U316" s="470" t="s">
        <v>750</v>
      </c>
      <c r="V316" s="471" t="b">
        <v>0</v>
      </c>
      <c r="W316" s="471" t="b">
        <v>0</v>
      </c>
      <c r="X316" s="471" t="b">
        <v>0</v>
      </c>
    </row>
    <row r="317" ht="24.0" customHeight="1">
      <c r="A317" s="76" t="s">
        <v>465</v>
      </c>
      <c r="B317" s="383">
        <v>46174.0</v>
      </c>
      <c r="C317" s="384" t="s">
        <v>1295</v>
      </c>
      <c r="D317" s="116" t="s">
        <v>204</v>
      </c>
      <c r="E317" s="399"/>
      <c r="F317" s="388"/>
      <c r="G317" s="76" t="s">
        <v>185</v>
      </c>
      <c r="H317" s="385">
        <v>3.0</v>
      </c>
      <c r="I317" s="386">
        <f>IF(G317="", "", IFERROR(VLOOKUP(G317, Products!A:F, 4, FALSE), ""))
</f>
        <v>80</v>
      </c>
      <c r="J317" s="386">
        <v>0.0</v>
      </c>
      <c r="K317" s="54">
        <f t="shared" si="10"/>
        <v>240</v>
      </c>
      <c r="L317" s="387"/>
      <c r="M317" s="388"/>
      <c r="N317" s="46">
        <f t="shared" si="2"/>
        <v>240</v>
      </c>
      <c r="O317" s="369" t="b">
        <v>1</v>
      </c>
      <c r="P317" s="369" t="b">
        <v>1</v>
      </c>
      <c r="Q317" s="387">
        <v>240.0</v>
      </c>
      <c r="R317" s="138" t="s">
        <v>684</v>
      </c>
      <c r="S317" s="65">
        <f t="shared" si="14"/>
        <v>0</v>
      </c>
      <c r="T317" s="369" t="b">
        <v>1</v>
      </c>
      <c r="U317" s="470" t="s">
        <v>750</v>
      </c>
      <c r="V317" s="471" t="b">
        <v>0</v>
      </c>
      <c r="W317" s="471" t="b">
        <v>0</v>
      </c>
      <c r="X317" s="471" t="b">
        <v>0</v>
      </c>
    </row>
    <row r="318" ht="24.0" customHeight="1">
      <c r="A318" s="472" t="s">
        <v>465</v>
      </c>
      <c r="B318" s="383">
        <v>46174.0</v>
      </c>
      <c r="C318" s="473" t="s">
        <v>1295</v>
      </c>
      <c r="D318" s="474" t="s">
        <v>204</v>
      </c>
      <c r="E318" s="475"/>
      <c r="F318" s="388"/>
      <c r="G318" s="76" t="s">
        <v>187</v>
      </c>
      <c r="H318" s="385">
        <v>1.0</v>
      </c>
      <c r="I318" s="386">
        <f>IF(G318="", "", IFERROR(VLOOKUP(G318, Products!A:F, 4, FALSE), ""))
</f>
        <v>400</v>
      </c>
      <c r="J318" s="386">
        <v>0.0</v>
      </c>
      <c r="K318" s="54">
        <f t="shared" si="10"/>
        <v>400</v>
      </c>
      <c r="L318" s="387">
        <v>340.0</v>
      </c>
      <c r="M318" s="138" t="s">
        <v>110</v>
      </c>
      <c r="N318" s="46">
        <f t="shared" si="2"/>
        <v>60</v>
      </c>
      <c r="O318" s="369" t="b">
        <v>1</v>
      </c>
      <c r="P318" s="369" t="b">
        <v>1</v>
      </c>
      <c r="Q318" s="387">
        <v>60.0</v>
      </c>
      <c r="R318" s="138" t="s">
        <v>684</v>
      </c>
      <c r="S318" s="65">
        <f t="shared" si="14"/>
        <v>0</v>
      </c>
      <c r="T318" s="369" t="b">
        <v>1</v>
      </c>
      <c r="U318" s="470" t="s">
        <v>750</v>
      </c>
      <c r="V318" s="471" t="b">
        <v>0</v>
      </c>
      <c r="W318" s="471" t="b">
        <v>0</v>
      </c>
      <c r="X318" s="471" t="b">
        <v>0</v>
      </c>
    </row>
    <row r="319" ht="24.0" customHeight="1">
      <c r="A319" s="76" t="s">
        <v>466</v>
      </c>
      <c r="B319" s="383">
        <v>46174.0</v>
      </c>
      <c r="C319" s="384" t="s">
        <v>1206</v>
      </c>
      <c r="D319" s="116" t="s">
        <v>78</v>
      </c>
      <c r="E319" s="116" t="s">
        <v>467</v>
      </c>
      <c r="F319" s="388"/>
      <c r="G319" s="76" t="s">
        <v>201</v>
      </c>
      <c r="H319" s="385">
        <v>2.0</v>
      </c>
      <c r="I319" s="386">
        <f>IF(G319="", "", IFERROR(VLOOKUP(G319, Products!A:F, 4, FALSE), ""))
</f>
        <v>80</v>
      </c>
      <c r="J319" s="386">
        <v>0.0</v>
      </c>
      <c r="K319" s="54">
        <f t="shared" si="10"/>
        <v>160</v>
      </c>
      <c r="L319" s="387">
        <v>100.0</v>
      </c>
      <c r="M319" s="138" t="s">
        <v>110</v>
      </c>
      <c r="N319" s="46">
        <f t="shared" si="2"/>
        <v>60</v>
      </c>
      <c r="O319" s="369" t="b">
        <v>1</v>
      </c>
      <c r="P319" s="369" t="b">
        <v>1</v>
      </c>
      <c r="Q319" s="387">
        <v>100.0</v>
      </c>
      <c r="R319" s="138" t="s">
        <v>684</v>
      </c>
      <c r="S319" s="65">
        <f t="shared" si="14"/>
        <v>-40</v>
      </c>
      <c r="T319" s="369" t="b">
        <v>1</v>
      </c>
      <c r="U319" s="470" t="s">
        <v>750</v>
      </c>
      <c r="V319" s="471" t="b">
        <v>0</v>
      </c>
      <c r="W319" s="471" t="b">
        <v>0</v>
      </c>
      <c r="X319" s="471" t="b">
        <v>0</v>
      </c>
    </row>
    <row r="320" ht="24.0" customHeight="1">
      <c r="A320" s="76" t="s">
        <v>466</v>
      </c>
      <c r="B320" s="383">
        <v>46174.0</v>
      </c>
      <c r="C320" s="384" t="s">
        <v>1206</v>
      </c>
      <c r="D320" s="116" t="s">
        <v>78</v>
      </c>
      <c r="E320" s="116" t="s">
        <v>467</v>
      </c>
      <c r="F320" s="388"/>
      <c r="G320" s="76" t="s">
        <v>190</v>
      </c>
      <c r="H320" s="385">
        <v>2.0</v>
      </c>
      <c r="I320" s="386">
        <f>IF(G320="", "", IFERROR(VLOOKUP(G320, Products!A:F, 4, FALSE), ""))
</f>
        <v>200</v>
      </c>
      <c r="J320" s="386">
        <v>0.0</v>
      </c>
      <c r="K320" s="54">
        <f t="shared" si="10"/>
        <v>400</v>
      </c>
      <c r="L320" s="387">
        <v>300.0</v>
      </c>
      <c r="M320" s="138" t="s">
        <v>110</v>
      </c>
      <c r="N320" s="46">
        <f t="shared" si="2"/>
        <v>100</v>
      </c>
      <c r="O320" s="369" t="b">
        <v>1</v>
      </c>
      <c r="P320" s="369" t="b">
        <v>1</v>
      </c>
      <c r="Q320" s="387">
        <v>100.0</v>
      </c>
      <c r="R320" s="138" t="s">
        <v>684</v>
      </c>
      <c r="S320" s="65">
        <f t="shared" si="14"/>
        <v>0</v>
      </c>
      <c r="T320" s="369" t="b">
        <v>1</v>
      </c>
      <c r="U320" s="470" t="s">
        <v>750</v>
      </c>
      <c r="V320" s="471" t="b">
        <v>0</v>
      </c>
      <c r="W320" s="471" t="b">
        <v>0</v>
      </c>
      <c r="X320" s="471" t="b">
        <v>0</v>
      </c>
    </row>
    <row r="321" ht="24.0" customHeight="1">
      <c r="A321" s="76" t="s">
        <v>460</v>
      </c>
      <c r="B321" s="383">
        <v>46179.0</v>
      </c>
      <c r="C321" s="384" t="s">
        <v>1290</v>
      </c>
      <c r="D321" s="116" t="s">
        <v>461</v>
      </c>
      <c r="E321" s="399"/>
      <c r="F321" s="388"/>
      <c r="G321" s="457" t="s">
        <v>145</v>
      </c>
      <c r="H321" s="385">
        <v>2.0</v>
      </c>
      <c r="I321" s="386">
        <f>IF(G321="", "", IFERROR(VLOOKUP(G321, Products!A:F, 4, FALSE), ""))
</f>
        <v>100</v>
      </c>
      <c r="J321" s="386">
        <v>0.0</v>
      </c>
      <c r="K321" s="54">
        <f t="shared" si="10"/>
        <v>200</v>
      </c>
      <c r="L321" s="387">
        <v>200.0</v>
      </c>
      <c r="M321" s="138" t="s">
        <v>73</v>
      </c>
      <c r="N321" s="46">
        <f t="shared" si="2"/>
        <v>0</v>
      </c>
      <c r="O321" s="369" t="b">
        <v>1</v>
      </c>
      <c r="P321" s="369" t="b">
        <v>1</v>
      </c>
      <c r="Q321" s="387"/>
      <c r="R321" s="388"/>
      <c r="S321" s="65">
        <f t="shared" si="14"/>
        <v>0</v>
      </c>
      <c r="T321" s="369" t="b">
        <v>1</v>
      </c>
      <c r="U321" s="388"/>
      <c r="V321" s="391" t="b">
        <v>0</v>
      </c>
      <c r="W321" s="391" t="b">
        <v>0</v>
      </c>
      <c r="X321" s="391" t="b">
        <v>0</v>
      </c>
    </row>
    <row r="322" ht="24.0" customHeight="1">
      <c r="A322" s="76" t="s">
        <v>487</v>
      </c>
      <c r="B322" s="383">
        <v>46181.0</v>
      </c>
      <c r="C322" s="384" t="s">
        <v>1258</v>
      </c>
      <c r="D322" s="116" t="s">
        <v>195</v>
      </c>
      <c r="E322" s="399"/>
      <c r="F322" s="388"/>
      <c r="G322" s="76" t="s">
        <v>187</v>
      </c>
      <c r="H322" s="385">
        <v>3.0</v>
      </c>
      <c r="I322" s="386">
        <f>IF(G322="", "", IFERROR(VLOOKUP(G322, Products!A:F, 4, FALSE), ""))
</f>
        <v>400</v>
      </c>
      <c r="J322" s="386">
        <v>0.0</v>
      </c>
      <c r="K322" s="54">
        <f t="shared" si="10"/>
        <v>1200</v>
      </c>
      <c r="L322" s="387">
        <v>500.0</v>
      </c>
      <c r="M322" s="138" t="s">
        <v>73</v>
      </c>
      <c r="N322" s="46">
        <f t="shared" si="2"/>
        <v>700</v>
      </c>
      <c r="O322" s="369" t="b">
        <v>1</v>
      </c>
      <c r="P322" s="369" t="b">
        <v>1</v>
      </c>
      <c r="Q322" s="387">
        <v>700.0</v>
      </c>
      <c r="R322" s="138" t="s">
        <v>687</v>
      </c>
      <c r="S322" s="65">
        <f t="shared" si="14"/>
        <v>0</v>
      </c>
      <c r="T322" s="369" t="b">
        <v>1</v>
      </c>
      <c r="U322" s="388"/>
      <c r="V322" s="391" t="b">
        <v>0</v>
      </c>
      <c r="W322" s="391" t="b">
        <v>0</v>
      </c>
      <c r="X322" s="391" t="b">
        <v>0</v>
      </c>
    </row>
    <row r="323" ht="24.0" customHeight="1">
      <c r="A323" s="76" t="s">
        <v>492</v>
      </c>
      <c r="B323" s="383">
        <v>46181.0</v>
      </c>
      <c r="C323" s="384" t="s">
        <v>1296</v>
      </c>
      <c r="D323" s="116" t="s">
        <v>93</v>
      </c>
      <c r="E323" s="116" t="s">
        <v>144</v>
      </c>
      <c r="F323" s="388"/>
      <c r="G323" s="76" t="s">
        <v>63</v>
      </c>
      <c r="H323" s="385">
        <v>1.0</v>
      </c>
      <c r="I323" s="386">
        <f>IF(G323="", "", IFERROR(VLOOKUP(G323, Products!A:F, 4, FALSE), ""))
</f>
        <v>850</v>
      </c>
      <c r="J323" s="405">
        <v>0.0</v>
      </c>
      <c r="K323" s="54">
        <f t="shared" si="10"/>
        <v>850</v>
      </c>
      <c r="L323" s="387">
        <v>850.0</v>
      </c>
      <c r="M323" s="138" t="s">
        <v>73</v>
      </c>
      <c r="N323" s="46">
        <f t="shared" si="2"/>
        <v>0</v>
      </c>
      <c r="O323" s="369" t="b">
        <v>1</v>
      </c>
      <c r="P323" s="369" t="b">
        <v>1</v>
      </c>
      <c r="Q323" s="387"/>
      <c r="R323" s="138" t="s">
        <v>687</v>
      </c>
      <c r="S323" s="65">
        <f t="shared" si="14"/>
        <v>0</v>
      </c>
      <c r="T323" s="369" t="b">
        <v>1</v>
      </c>
      <c r="U323" s="388"/>
      <c r="V323" s="391" t="b">
        <v>0</v>
      </c>
      <c r="W323" s="391" t="b">
        <v>0</v>
      </c>
      <c r="X323" s="391" t="b">
        <v>0</v>
      </c>
    </row>
    <row r="324" ht="24.0" customHeight="1">
      <c r="A324" s="76" t="s">
        <v>492</v>
      </c>
      <c r="B324" s="383">
        <v>46181.0</v>
      </c>
      <c r="C324" s="384" t="s">
        <v>1296</v>
      </c>
      <c r="D324" s="116" t="s">
        <v>93</v>
      </c>
      <c r="E324" s="116" t="s">
        <v>144</v>
      </c>
      <c r="F324" s="388"/>
      <c r="G324" s="76" t="s">
        <v>201</v>
      </c>
      <c r="H324" s="385">
        <v>1.0</v>
      </c>
      <c r="I324" s="386">
        <f>IF(G324="", "", IFERROR(VLOOKUP(G324, Products!A:F, 4, FALSE), ""))
</f>
        <v>80</v>
      </c>
      <c r="J324" s="405">
        <v>0.0</v>
      </c>
      <c r="K324" s="54">
        <f t="shared" si="10"/>
        <v>80</v>
      </c>
      <c r="L324" s="387">
        <v>100.0</v>
      </c>
      <c r="M324" s="138" t="s">
        <v>73</v>
      </c>
      <c r="N324" s="46">
        <f t="shared" si="2"/>
        <v>-20</v>
      </c>
      <c r="O324" s="369" t="b">
        <v>1</v>
      </c>
      <c r="P324" s="369" t="b">
        <v>1</v>
      </c>
      <c r="Q324" s="387"/>
      <c r="R324" s="138" t="s">
        <v>687</v>
      </c>
      <c r="S324" s="65">
        <f t="shared" si="14"/>
        <v>-20</v>
      </c>
      <c r="T324" s="369" t="b">
        <v>1</v>
      </c>
      <c r="U324" s="388"/>
      <c r="V324" s="391" t="b">
        <v>0</v>
      </c>
      <c r="W324" s="391" t="b">
        <v>0</v>
      </c>
      <c r="X324" s="391" t="b">
        <v>0</v>
      </c>
    </row>
    <row r="325" ht="24.0" customHeight="1">
      <c r="A325" s="76" t="s">
        <v>492</v>
      </c>
      <c r="B325" s="383">
        <v>46181.0</v>
      </c>
      <c r="C325" s="384" t="s">
        <v>1296</v>
      </c>
      <c r="D325" s="116" t="s">
        <v>93</v>
      </c>
      <c r="E325" s="116" t="s">
        <v>144</v>
      </c>
      <c r="F325" s="388"/>
      <c r="G325" s="76" t="s">
        <v>210</v>
      </c>
      <c r="H325" s="385">
        <v>1.0</v>
      </c>
      <c r="I325" s="386">
        <f>IF(G325="", "", IFERROR(VLOOKUP(G325, Products!A:F, 4, FALSE), ""))
</f>
        <v>80</v>
      </c>
      <c r="J325" s="405">
        <v>0.0</v>
      </c>
      <c r="K325" s="54">
        <f t="shared" si="10"/>
        <v>80</v>
      </c>
      <c r="L325" s="387">
        <v>80.0</v>
      </c>
      <c r="M325" s="138" t="s">
        <v>73</v>
      </c>
      <c r="N325" s="46">
        <f t="shared" si="2"/>
        <v>0</v>
      </c>
      <c r="O325" s="369" t="b">
        <v>1</v>
      </c>
      <c r="P325" s="369" t="b">
        <v>1</v>
      </c>
      <c r="Q325" s="387"/>
      <c r="R325" s="138" t="s">
        <v>687</v>
      </c>
      <c r="S325" s="65">
        <f t="shared" si="14"/>
        <v>0</v>
      </c>
      <c r="T325" s="369" t="b">
        <v>1</v>
      </c>
      <c r="U325" s="388"/>
      <c r="V325" s="391" t="b">
        <v>0</v>
      </c>
      <c r="W325" s="391" t="b">
        <v>0</v>
      </c>
      <c r="X325" s="391" t="b">
        <v>0</v>
      </c>
    </row>
    <row r="326" ht="24.0" customHeight="1">
      <c r="A326" s="76" t="s">
        <v>492</v>
      </c>
      <c r="B326" s="383">
        <v>46181.0</v>
      </c>
      <c r="C326" s="384" t="s">
        <v>1296</v>
      </c>
      <c r="D326" s="116" t="s">
        <v>93</v>
      </c>
      <c r="E326" s="116" t="s">
        <v>144</v>
      </c>
      <c r="F326" s="388"/>
      <c r="G326" s="76" t="s">
        <v>122</v>
      </c>
      <c r="H326" s="385">
        <v>1.0</v>
      </c>
      <c r="I326" s="386">
        <f>IF(G326="", "", IFERROR(VLOOKUP(G326, Products!A:F, 4, FALSE), ""))
</f>
        <v>80</v>
      </c>
      <c r="J326" s="405">
        <v>0.0</v>
      </c>
      <c r="K326" s="54">
        <f t="shared" si="10"/>
        <v>80</v>
      </c>
      <c r="L326" s="387">
        <v>5.0</v>
      </c>
      <c r="M326" s="138" t="s">
        <v>73</v>
      </c>
      <c r="N326" s="46">
        <f t="shared" si="2"/>
        <v>75</v>
      </c>
      <c r="O326" s="369" t="b">
        <v>1</v>
      </c>
      <c r="P326" s="369" t="b">
        <v>1</v>
      </c>
      <c r="Q326" s="387">
        <v>75.0</v>
      </c>
      <c r="R326" s="138" t="s">
        <v>687</v>
      </c>
      <c r="S326" s="65">
        <f t="shared" si="14"/>
        <v>0</v>
      </c>
      <c r="T326" s="369" t="b">
        <v>1</v>
      </c>
      <c r="U326" s="388"/>
      <c r="V326" s="391" t="b">
        <v>0</v>
      </c>
      <c r="W326" s="391" t="b">
        <v>0</v>
      </c>
      <c r="X326" s="391" t="b">
        <v>0</v>
      </c>
    </row>
    <row r="327" ht="24.0" customHeight="1">
      <c r="A327" s="76" t="s">
        <v>492</v>
      </c>
      <c r="B327" s="383">
        <v>46181.0</v>
      </c>
      <c r="C327" s="384" t="s">
        <v>1296</v>
      </c>
      <c r="D327" s="116" t="s">
        <v>93</v>
      </c>
      <c r="E327" s="116" t="s">
        <v>144</v>
      </c>
      <c r="F327" s="388"/>
      <c r="G327" s="76" t="s">
        <v>187</v>
      </c>
      <c r="H327" s="385">
        <v>1.0</v>
      </c>
      <c r="I327" s="386">
        <f>IF(G327="", "", IFERROR(VLOOKUP(G327, Products!A:F, 4, FALSE), ""))
</f>
        <v>400</v>
      </c>
      <c r="J327" s="405">
        <v>0.0</v>
      </c>
      <c r="K327" s="54">
        <f t="shared" si="10"/>
        <v>400</v>
      </c>
      <c r="L327" s="387"/>
      <c r="M327" s="388"/>
      <c r="N327" s="46">
        <f t="shared" si="2"/>
        <v>400</v>
      </c>
      <c r="O327" s="369" t="b">
        <v>1</v>
      </c>
      <c r="P327" s="369" t="b">
        <v>1</v>
      </c>
      <c r="Q327" s="387">
        <v>400.0</v>
      </c>
      <c r="R327" s="138" t="s">
        <v>687</v>
      </c>
      <c r="S327" s="65">
        <f t="shared" si="14"/>
        <v>0</v>
      </c>
      <c r="T327" s="369" t="b">
        <v>1</v>
      </c>
      <c r="U327" s="388"/>
      <c r="V327" s="391" t="b">
        <v>0</v>
      </c>
      <c r="W327" s="391" t="b">
        <v>0</v>
      </c>
      <c r="X327" s="391" t="b">
        <v>0</v>
      </c>
    </row>
    <row r="328" ht="24.0" customHeight="1">
      <c r="A328" s="76" t="s">
        <v>492</v>
      </c>
      <c r="B328" s="383">
        <v>46181.0</v>
      </c>
      <c r="C328" s="384" t="s">
        <v>1297</v>
      </c>
      <c r="D328" s="116" t="s">
        <v>93</v>
      </c>
      <c r="E328" s="116" t="s">
        <v>144</v>
      </c>
      <c r="F328" s="388"/>
      <c r="G328" s="76" t="s">
        <v>190</v>
      </c>
      <c r="H328" s="385">
        <v>1.0</v>
      </c>
      <c r="I328" s="386">
        <f>IF(G328="", "", IFERROR(VLOOKUP(G328, Products!A:F, 4, FALSE), ""))
</f>
        <v>200</v>
      </c>
      <c r="J328" s="405">
        <v>0.0</v>
      </c>
      <c r="K328" s="54">
        <f t="shared" si="10"/>
        <v>200</v>
      </c>
      <c r="L328" s="387"/>
      <c r="M328" s="388"/>
      <c r="N328" s="46">
        <f t="shared" si="2"/>
        <v>200</v>
      </c>
      <c r="O328" s="369" t="b">
        <v>1</v>
      </c>
      <c r="P328" s="369" t="b">
        <v>1</v>
      </c>
      <c r="Q328" s="387">
        <v>200.0</v>
      </c>
      <c r="R328" s="138" t="s">
        <v>687</v>
      </c>
      <c r="S328" s="65">
        <f t="shared" si="14"/>
        <v>0</v>
      </c>
      <c r="T328" s="369" t="b">
        <v>1</v>
      </c>
      <c r="U328" s="388"/>
      <c r="V328" s="391" t="b">
        <v>0</v>
      </c>
      <c r="W328" s="391" t="b">
        <v>0</v>
      </c>
      <c r="X328" s="391" t="b">
        <v>0</v>
      </c>
    </row>
    <row r="329" ht="24.0" customHeight="1">
      <c r="A329" s="76" t="s">
        <v>492</v>
      </c>
      <c r="B329" s="383">
        <v>46181.0</v>
      </c>
      <c r="C329" s="384" t="s">
        <v>1296</v>
      </c>
      <c r="D329" s="116" t="s">
        <v>93</v>
      </c>
      <c r="E329" s="116" t="s">
        <v>144</v>
      </c>
      <c r="F329" s="388"/>
      <c r="G329" s="76" t="s">
        <v>207</v>
      </c>
      <c r="H329" s="385">
        <v>1.0</v>
      </c>
      <c r="I329" s="386">
        <f>IF(G329="", "", IFERROR(VLOOKUP(G329, Products!A:F, 4, FALSE), ""))
</f>
        <v>80</v>
      </c>
      <c r="J329" s="405">
        <v>0.0</v>
      </c>
      <c r="K329" s="54">
        <f t="shared" si="10"/>
        <v>80</v>
      </c>
      <c r="L329" s="387"/>
      <c r="M329" s="388"/>
      <c r="N329" s="46">
        <f t="shared" si="2"/>
        <v>80</v>
      </c>
      <c r="O329" s="369" t="b">
        <v>1</v>
      </c>
      <c r="P329" s="369" t="b">
        <v>1</v>
      </c>
      <c r="Q329" s="387">
        <v>80.0</v>
      </c>
      <c r="R329" s="138" t="s">
        <v>687</v>
      </c>
      <c r="S329" s="65">
        <f t="shared" si="14"/>
        <v>0</v>
      </c>
      <c r="T329" s="369" t="b">
        <v>1</v>
      </c>
      <c r="U329" s="388"/>
      <c r="V329" s="391" t="b">
        <v>0</v>
      </c>
      <c r="W329" s="391" t="b">
        <v>0</v>
      </c>
      <c r="X329" s="391" t="b">
        <v>0</v>
      </c>
    </row>
    <row r="330" ht="24.0" customHeight="1">
      <c r="A330" s="76" t="s">
        <v>492</v>
      </c>
      <c r="B330" s="383">
        <v>46181.0</v>
      </c>
      <c r="C330" s="384" t="s">
        <v>1296</v>
      </c>
      <c r="D330" s="116" t="s">
        <v>93</v>
      </c>
      <c r="E330" s="116" t="s">
        <v>144</v>
      </c>
      <c r="F330" s="388"/>
      <c r="G330" s="76" t="s">
        <v>205</v>
      </c>
      <c r="H330" s="385">
        <v>1.0</v>
      </c>
      <c r="I330" s="386">
        <f>IF(G330="", "", IFERROR(VLOOKUP(G330, Products!A:F, 4, FALSE), ""))
</f>
        <v>100</v>
      </c>
      <c r="J330" s="405">
        <v>0.0</v>
      </c>
      <c r="K330" s="54">
        <f t="shared" si="10"/>
        <v>100</v>
      </c>
      <c r="L330" s="387"/>
      <c r="M330" s="388"/>
      <c r="N330" s="46">
        <f t="shared" si="2"/>
        <v>100</v>
      </c>
      <c r="O330" s="369" t="b">
        <v>1</v>
      </c>
      <c r="P330" s="369" t="b">
        <v>1</v>
      </c>
      <c r="Q330" s="387">
        <v>100.0</v>
      </c>
      <c r="R330" s="138" t="s">
        <v>687</v>
      </c>
      <c r="S330" s="65">
        <f t="shared" si="14"/>
        <v>0</v>
      </c>
      <c r="T330" s="369" t="b">
        <v>1</v>
      </c>
      <c r="U330" s="388"/>
      <c r="V330" s="391" t="b">
        <v>0</v>
      </c>
      <c r="W330" s="391" t="b">
        <v>0</v>
      </c>
      <c r="X330" s="391" t="b">
        <v>0</v>
      </c>
    </row>
    <row r="331" ht="24.0" customHeight="1">
      <c r="A331" s="76" t="s">
        <v>492</v>
      </c>
      <c r="B331" s="383">
        <v>46181.0</v>
      </c>
      <c r="C331" s="384" t="s">
        <v>1296</v>
      </c>
      <c r="D331" s="116" t="s">
        <v>93</v>
      </c>
      <c r="E331" s="116" t="s">
        <v>144</v>
      </c>
      <c r="F331" s="388"/>
      <c r="G331" s="76" t="s">
        <v>222</v>
      </c>
      <c r="H331" s="385">
        <v>1.0</v>
      </c>
      <c r="I331" s="386">
        <v>80.0</v>
      </c>
      <c r="J331" s="405">
        <v>0.0</v>
      </c>
      <c r="K331" s="54">
        <f t="shared" si="10"/>
        <v>80</v>
      </c>
      <c r="L331" s="387"/>
      <c r="M331" s="388"/>
      <c r="N331" s="46">
        <f t="shared" si="2"/>
        <v>80</v>
      </c>
      <c r="O331" s="369" t="b">
        <v>1</v>
      </c>
      <c r="P331" s="369" t="b">
        <v>1</v>
      </c>
      <c r="Q331" s="387">
        <v>80.0</v>
      </c>
      <c r="R331" s="138" t="s">
        <v>687</v>
      </c>
      <c r="S331" s="65">
        <f t="shared" si="14"/>
        <v>0</v>
      </c>
      <c r="T331" s="369" t="b">
        <v>1</v>
      </c>
      <c r="U331" s="388"/>
      <c r="V331" s="391" t="b">
        <v>0</v>
      </c>
      <c r="W331" s="391" t="b">
        <v>0</v>
      </c>
      <c r="X331" s="391" t="b">
        <v>0</v>
      </c>
    </row>
    <row r="332" ht="24.0" customHeight="1">
      <c r="A332" s="76" t="s">
        <v>494</v>
      </c>
      <c r="B332" s="383">
        <v>46181.0</v>
      </c>
      <c r="C332" s="384" t="s">
        <v>1298</v>
      </c>
      <c r="D332" s="116" t="s">
        <v>93</v>
      </c>
      <c r="E332" s="116" t="s">
        <v>154</v>
      </c>
      <c r="F332" s="388"/>
      <c r="G332" s="76" t="s">
        <v>63</v>
      </c>
      <c r="H332" s="385">
        <v>4.0</v>
      </c>
      <c r="I332" s="386">
        <f>IF(G332="", "", IFERROR(VLOOKUP(G332, Products!A:F, 4, FALSE), ""))
</f>
        <v>850</v>
      </c>
      <c r="J332" s="405">
        <v>0.0</v>
      </c>
      <c r="K332" s="54">
        <f t="shared" si="10"/>
        <v>3400</v>
      </c>
      <c r="L332" s="387">
        <v>720.0</v>
      </c>
      <c r="M332" s="138" t="s">
        <v>73</v>
      </c>
      <c r="N332" s="46">
        <f t="shared" si="2"/>
        <v>2680</v>
      </c>
      <c r="O332" s="369" t="b">
        <v>1</v>
      </c>
      <c r="P332" s="369" t="b">
        <v>1</v>
      </c>
      <c r="Q332" s="387">
        <v>2680.0</v>
      </c>
      <c r="R332" s="138" t="s">
        <v>687</v>
      </c>
      <c r="S332" s="65">
        <f t="shared" si="14"/>
        <v>0</v>
      </c>
      <c r="T332" s="369" t="b">
        <v>1</v>
      </c>
      <c r="U332" s="388"/>
      <c r="V332" s="391" t="b">
        <v>0</v>
      </c>
      <c r="W332" s="391" t="b">
        <v>0</v>
      </c>
      <c r="X332" s="391" t="b">
        <v>0</v>
      </c>
    </row>
    <row r="333" ht="24.0" customHeight="1">
      <c r="A333" s="76" t="s">
        <v>469</v>
      </c>
      <c r="B333" s="383">
        <v>46181.0</v>
      </c>
      <c r="C333" s="384" t="s">
        <v>1299</v>
      </c>
      <c r="D333" s="116" t="s">
        <v>93</v>
      </c>
      <c r="E333" s="116" t="s">
        <v>470</v>
      </c>
      <c r="F333" s="388"/>
      <c r="G333" s="76" t="s">
        <v>210</v>
      </c>
      <c r="H333" s="385">
        <v>1.0</v>
      </c>
      <c r="I333" s="386">
        <f>IF(G333="", "", IFERROR(VLOOKUP(G333, Products!A:F, 4, FALSE), ""))
</f>
        <v>80</v>
      </c>
      <c r="J333" s="405">
        <v>0.0</v>
      </c>
      <c r="K333" s="54">
        <f t="shared" si="10"/>
        <v>80</v>
      </c>
      <c r="L333" s="387"/>
      <c r="M333" s="388"/>
      <c r="N333" s="46">
        <f t="shared" si="2"/>
        <v>80</v>
      </c>
      <c r="O333" s="369" t="b">
        <v>1</v>
      </c>
      <c r="P333" s="369" t="b">
        <v>1</v>
      </c>
      <c r="Q333" s="387">
        <v>80.0</v>
      </c>
      <c r="R333" s="138" t="s">
        <v>687</v>
      </c>
      <c r="S333" s="65">
        <f t="shared" si="14"/>
        <v>0</v>
      </c>
      <c r="T333" s="369" t="b">
        <v>1</v>
      </c>
      <c r="U333" s="388"/>
      <c r="V333" s="391" t="b">
        <v>0</v>
      </c>
      <c r="W333" s="391" t="b">
        <v>0</v>
      </c>
      <c r="X333" s="391" t="b">
        <v>0</v>
      </c>
    </row>
    <row r="334" ht="24.0" customHeight="1">
      <c r="A334" s="76" t="s">
        <v>469</v>
      </c>
      <c r="B334" s="383">
        <v>46181.0</v>
      </c>
      <c r="C334" s="384" t="s">
        <v>1299</v>
      </c>
      <c r="D334" s="116" t="s">
        <v>93</v>
      </c>
      <c r="E334" s="116" t="s">
        <v>470</v>
      </c>
      <c r="F334" s="388"/>
      <c r="G334" s="76" t="s">
        <v>205</v>
      </c>
      <c r="H334" s="385">
        <v>1.0</v>
      </c>
      <c r="I334" s="386">
        <f>IF(G334="", "", IFERROR(VLOOKUP(G334, Products!A:F, 4, FALSE), ""))
</f>
        <v>100</v>
      </c>
      <c r="J334" s="405">
        <v>0.0</v>
      </c>
      <c r="K334" s="54">
        <f t="shared" si="10"/>
        <v>100</v>
      </c>
      <c r="L334" s="387"/>
      <c r="M334" s="388"/>
      <c r="N334" s="46">
        <f t="shared" si="2"/>
        <v>100</v>
      </c>
      <c r="O334" s="369" t="b">
        <v>1</v>
      </c>
      <c r="P334" s="369" t="b">
        <v>1</v>
      </c>
      <c r="Q334" s="387">
        <v>100.0</v>
      </c>
      <c r="R334" s="138" t="s">
        <v>687</v>
      </c>
      <c r="S334" s="65">
        <f t="shared" si="14"/>
        <v>0</v>
      </c>
      <c r="T334" s="369" t="b">
        <v>1</v>
      </c>
      <c r="U334" s="388"/>
      <c r="V334" s="391" t="b">
        <v>0</v>
      </c>
      <c r="W334" s="391" t="b">
        <v>0</v>
      </c>
      <c r="X334" s="391" t="b">
        <v>0</v>
      </c>
    </row>
    <row r="335" ht="24.0" customHeight="1">
      <c r="A335" s="76" t="s">
        <v>469</v>
      </c>
      <c r="B335" s="383">
        <v>46181.0</v>
      </c>
      <c r="C335" s="384" t="s">
        <v>1299</v>
      </c>
      <c r="D335" s="116" t="s">
        <v>93</v>
      </c>
      <c r="E335" s="116" t="s">
        <v>470</v>
      </c>
      <c r="F335" s="388"/>
      <c r="G335" s="76" t="s">
        <v>201</v>
      </c>
      <c r="H335" s="385">
        <v>1.0</v>
      </c>
      <c r="I335" s="386">
        <f>IF(G335="", "", IFERROR(VLOOKUP(G335, Products!A:F, 4, FALSE), ""))
</f>
        <v>80</v>
      </c>
      <c r="J335" s="405">
        <v>0.0</v>
      </c>
      <c r="K335" s="54">
        <f t="shared" si="10"/>
        <v>80</v>
      </c>
      <c r="L335" s="387"/>
      <c r="M335" s="388"/>
      <c r="N335" s="46">
        <f t="shared" si="2"/>
        <v>80</v>
      </c>
      <c r="O335" s="369" t="b">
        <v>1</v>
      </c>
      <c r="P335" s="369" t="b">
        <v>1</v>
      </c>
      <c r="Q335" s="387">
        <v>80.0</v>
      </c>
      <c r="R335" s="138" t="s">
        <v>687</v>
      </c>
      <c r="S335" s="65">
        <f t="shared" si="14"/>
        <v>0</v>
      </c>
      <c r="T335" s="369" t="b">
        <v>1</v>
      </c>
      <c r="U335" s="388"/>
      <c r="V335" s="391" t="b">
        <v>0</v>
      </c>
      <c r="W335" s="391" t="b">
        <v>0</v>
      </c>
      <c r="X335" s="391" t="b">
        <v>0</v>
      </c>
    </row>
    <row r="336" ht="24.0" customHeight="1">
      <c r="A336" s="76" t="s">
        <v>469</v>
      </c>
      <c r="B336" s="383">
        <v>46181.0</v>
      </c>
      <c r="C336" s="384" t="s">
        <v>1299</v>
      </c>
      <c r="D336" s="116" t="s">
        <v>93</v>
      </c>
      <c r="E336" s="116" t="s">
        <v>470</v>
      </c>
      <c r="F336" s="388"/>
      <c r="G336" s="76" t="s">
        <v>187</v>
      </c>
      <c r="H336" s="385">
        <v>1.0</v>
      </c>
      <c r="I336" s="386">
        <f>IF(G336="", "", IFERROR(VLOOKUP(G336, Products!A:F, 4, FALSE), ""))
</f>
        <v>400</v>
      </c>
      <c r="J336" s="405">
        <v>0.0</v>
      </c>
      <c r="K336" s="54">
        <f t="shared" si="10"/>
        <v>400</v>
      </c>
      <c r="L336" s="387">
        <v>350.0</v>
      </c>
      <c r="M336" s="138" t="s">
        <v>73</v>
      </c>
      <c r="N336" s="46">
        <f t="shared" si="2"/>
        <v>50</v>
      </c>
      <c r="O336" s="369" t="b">
        <v>1</v>
      </c>
      <c r="P336" s="369" t="b">
        <v>1</v>
      </c>
      <c r="Q336" s="387">
        <v>50.0</v>
      </c>
      <c r="R336" s="138" t="s">
        <v>687</v>
      </c>
      <c r="S336" s="65">
        <f t="shared" si="14"/>
        <v>0</v>
      </c>
      <c r="T336" s="369" t="b">
        <v>1</v>
      </c>
      <c r="U336" s="388"/>
      <c r="V336" s="391" t="b">
        <v>0</v>
      </c>
      <c r="W336" s="391" t="b">
        <v>0</v>
      </c>
      <c r="X336" s="391" t="b">
        <v>0</v>
      </c>
    </row>
    <row r="337" ht="24.0" customHeight="1">
      <c r="A337" s="76" t="s">
        <v>490</v>
      </c>
      <c r="B337" s="383">
        <v>46181.0</v>
      </c>
      <c r="C337" s="384" t="s">
        <v>1300</v>
      </c>
      <c r="D337" s="116" t="s">
        <v>134</v>
      </c>
      <c r="E337" s="399"/>
      <c r="F337" s="388"/>
      <c r="G337" s="76" t="s">
        <v>214</v>
      </c>
      <c r="H337" s="385">
        <v>1.0</v>
      </c>
      <c r="I337" s="386">
        <f>IF(G337="", "", IFERROR(VLOOKUP(G337, Products!A:F, 4, FALSE), ""))
</f>
        <v>120</v>
      </c>
      <c r="J337" s="405">
        <v>0.0</v>
      </c>
      <c r="K337" s="54">
        <f t="shared" si="10"/>
        <v>120</v>
      </c>
      <c r="L337" s="387">
        <v>115.0</v>
      </c>
      <c r="M337" s="138" t="s">
        <v>73</v>
      </c>
      <c r="N337" s="46">
        <f t="shared" si="2"/>
        <v>5</v>
      </c>
      <c r="O337" s="369" t="b">
        <v>1</v>
      </c>
      <c r="P337" s="369" t="b">
        <v>0</v>
      </c>
      <c r="Q337" s="387">
        <v>5.0</v>
      </c>
      <c r="R337" s="138" t="s">
        <v>687</v>
      </c>
      <c r="S337" s="65">
        <f t="shared" si="14"/>
        <v>0</v>
      </c>
      <c r="T337" s="369" t="b">
        <v>0</v>
      </c>
      <c r="U337" s="388"/>
      <c r="V337" s="391" t="b">
        <v>0</v>
      </c>
      <c r="W337" s="391" t="b">
        <v>0</v>
      </c>
      <c r="X337" s="391" t="b">
        <v>0</v>
      </c>
    </row>
    <row r="338" ht="24.0" customHeight="1">
      <c r="A338" s="76" t="s">
        <v>490</v>
      </c>
      <c r="B338" s="383">
        <v>46181.0</v>
      </c>
      <c r="C338" s="384" t="s">
        <v>1300</v>
      </c>
      <c r="D338" s="116" t="s">
        <v>134</v>
      </c>
      <c r="E338" s="399"/>
      <c r="F338" s="388"/>
      <c r="G338" s="457" t="s">
        <v>72</v>
      </c>
      <c r="H338" s="385">
        <v>1.0</v>
      </c>
      <c r="I338" s="386">
        <f>IF(G338="", "", IFERROR(VLOOKUP(G338, Products!A:F, 4, FALSE), ""))
</f>
        <v>23</v>
      </c>
      <c r="J338" s="405">
        <v>0.0</v>
      </c>
      <c r="K338" s="54">
        <f t="shared" si="10"/>
        <v>23</v>
      </c>
      <c r="L338" s="387"/>
      <c r="M338" s="388"/>
      <c r="N338" s="46">
        <f t="shared" si="2"/>
        <v>23</v>
      </c>
      <c r="O338" s="369" t="b">
        <v>1</v>
      </c>
      <c r="P338" s="369" t="b">
        <v>1</v>
      </c>
      <c r="Q338" s="387">
        <v>23.0</v>
      </c>
      <c r="R338" s="138" t="s">
        <v>687</v>
      </c>
      <c r="S338" s="65">
        <f t="shared" si="14"/>
        <v>0</v>
      </c>
      <c r="T338" s="369" t="b">
        <v>0</v>
      </c>
      <c r="U338" s="388"/>
      <c r="V338" s="391" t="b">
        <v>0</v>
      </c>
      <c r="W338" s="391" t="b">
        <v>0</v>
      </c>
      <c r="X338" s="391" t="b">
        <v>0</v>
      </c>
    </row>
    <row r="339" ht="24.0" customHeight="1">
      <c r="A339" s="76" t="s">
        <v>490</v>
      </c>
      <c r="B339" s="383">
        <v>46181.0</v>
      </c>
      <c r="C339" s="384" t="s">
        <v>1300</v>
      </c>
      <c r="D339" s="116" t="s">
        <v>134</v>
      </c>
      <c r="E339" s="399"/>
      <c r="F339" s="388"/>
      <c r="G339" s="457" t="s">
        <v>61</v>
      </c>
      <c r="H339" s="385">
        <v>1.0</v>
      </c>
      <c r="I339" s="386">
        <f>IF(G339="", "", IFERROR(VLOOKUP(G339, Products!A:F, 4, FALSE), ""))
</f>
        <v>18</v>
      </c>
      <c r="J339" s="405">
        <v>0.0</v>
      </c>
      <c r="K339" s="54">
        <f t="shared" si="10"/>
        <v>18</v>
      </c>
      <c r="L339" s="387"/>
      <c r="M339" s="388"/>
      <c r="N339" s="46">
        <f t="shared" si="2"/>
        <v>18</v>
      </c>
      <c r="O339" s="369" t="b">
        <v>1</v>
      </c>
      <c r="P339" s="369" t="b">
        <v>1</v>
      </c>
      <c r="Q339" s="387">
        <v>18.0</v>
      </c>
      <c r="R339" s="138" t="s">
        <v>687</v>
      </c>
      <c r="S339" s="65">
        <f t="shared" si="14"/>
        <v>0</v>
      </c>
      <c r="T339" s="369" t="b">
        <v>0</v>
      </c>
      <c r="U339" s="388"/>
      <c r="V339" s="391" t="b">
        <v>0</v>
      </c>
      <c r="W339" s="391" t="b">
        <v>0</v>
      </c>
      <c r="X339" s="391" t="b">
        <v>0</v>
      </c>
    </row>
    <row r="340" ht="24.0" customHeight="1">
      <c r="A340" s="76" t="s">
        <v>490</v>
      </c>
      <c r="B340" s="383">
        <v>46181.0</v>
      </c>
      <c r="C340" s="384" t="s">
        <v>1300</v>
      </c>
      <c r="D340" s="116" t="s">
        <v>134</v>
      </c>
      <c r="E340" s="399"/>
      <c r="F340" s="388"/>
      <c r="G340" s="457" t="s">
        <v>85</v>
      </c>
      <c r="H340" s="385">
        <v>1.0</v>
      </c>
      <c r="I340" s="386">
        <f>IF(G340="", "", IFERROR(VLOOKUP(G340, Products!A:F, 4, FALSE), ""))
</f>
        <v>30</v>
      </c>
      <c r="J340" s="405">
        <v>0.0</v>
      </c>
      <c r="K340" s="54">
        <f t="shared" si="10"/>
        <v>30</v>
      </c>
      <c r="L340" s="387"/>
      <c r="M340" s="388"/>
      <c r="N340" s="46">
        <f t="shared" si="2"/>
        <v>30</v>
      </c>
      <c r="O340" s="369" t="b">
        <v>1</v>
      </c>
      <c r="P340" s="369" t="b">
        <v>1</v>
      </c>
      <c r="Q340" s="387">
        <v>30.0</v>
      </c>
      <c r="R340" s="138" t="s">
        <v>687</v>
      </c>
      <c r="S340" s="65">
        <f t="shared" si="14"/>
        <v>0</v>
      </c>
      <c r="T340" s="369" t="b">
        <v>0</v>
      </c>
      <c r="U340" s="388"/>
      <c r="V340" s="391" t="b">
        <v>0</v>
      </c>
      <c r="W340" s="391" t="b">
        <v>0</v>
      </c>
      <c r="X340" s="391" t="b">
        <v>0</v>
      </c>
    </row>
    <row r="341" ht="24.0" customHeight="1">
      <c r="A341" s="76" t="s">
        <v>490</v>
      </c>
      <c r="B341" s="383">
        <v>46181.0</v>
      </c>
      <c r="C341" s="384" t="s">
        <v>1300</v>
      </c>
      <c r="D341" s="116" t="s">
        <v>134</v>
      </c>
      <c r="E341" s="399"/>
      <c r="F341" s="388"/>
      <c r="G341" s="457" t="s">
        <v>24</v>
      </c>
      <c r="H341" s="385">
        <v>1.0</v>
      </c>
      <c r="I341" s="386">
        <f>IF(G341="", "", IFERROR(VLOOKUP(G341, Products!A:F, 4, FALSE), ""))
</f>
        <v>30</v>
      </c>
      <c r="J341" s="405">
        <v>0.0</v>
      </c>
      <c r="K341" s="54">
        <f t="shared" si="10"/>
        <v>30</v>
      </c>
      <c r="L341" s="387"/>
      <c r="M341" s="388"/>
      <c r="N341" s="46">
        <f t="shared" si="2"/>
        <v>30</v>
      </c>
      <c r="O341" s="369" t="b">
        <v>1</v>
      </c>
      <c r="P341" s="369" t="b">
        <v>1</v>
      </c>
      <c r="Q341" s="387">
        <v>30.0</v>
      </c>
      <c r="R341" s="138" t="s">
        <v>687</v>
      </c>
      <c r="S341" s="65">
        <f t="shared" si="14"/>
        <v>0</v>
      </c>
      <c r="T341" s="369" t="b">
        <v>0</v>
      </c>
      <c r="U341" s="388"/>
      <c r="V341" s="391" t="b">
        <v>0</v>
      </c>
      <c r="W341" s="391" t="b">
        <v>0</v>
      </c>
      <c r="X341" s="391" t="b">
        <v>0</v>
      </c>
    </row>
    <row r="342" ht="24.0" customHeight="1">
      <c r="A342" s="76" t="s">
        <v>483</v>
      </c>
      <c r="B342" s="383">
        <v>46181.0</v>
      </c>
      <c r="C342" s="384"/>
      <c r="D342" s="116" t="s">
        <v>195</v>
      </c>
      <c r="E342" s="399"/>
      <c r="F342" s="388"/>
      <c r="G342" s="76" t="s">
        <v>187</v>
      </c>
      <c r="H342" s="385">
        <v>1.0</v>
      </c>
      <c r="I342" s="386">
        <f>IF(G342="", "", IFERROR(VLOOKUP(G342, Products!A:F, 4, FALSE), ""))
</f>
        <v>400</v>
      </c>
      <c r="J342" s="405">
        <v>0.0</v>
      </c>
      <c r="K342" s="54">
        <f t="shared" si="10"/>
        <v>400</v>
      </c>
      <c r="L342" s="387">
        <v>200.0</v>
      </c>
      <c r="M342" s="138" t="s">
        <v>73</v>
      </c>
      <c r="N342" s="46">
        <f t="shared" si="2"/>
        <v>200</v>
      </c>
      <c r="O342" s="369" t="b">
        <v>1</v>
      </c>
      <c r="P342" s="369" t="b">
        <v>1</v>
      </c>
      <c r="Q342" s="387">
        <v>200.0</v>
      </c>
      <c r="R342" s="138" t="s">
        <v>687</v>
      </c>
      <c r="S342" s="65">
        <f t="shared" si="14"/>
        <v>0</v>
      </c>
      <c r="T342" s="369" t="b">
        <v>1</v>
      </c>
      <c r="U342" s="388"/>
      <c r="V342" s="391" t="b">
        <v>0</v>
      </c>
      <c r="W342" s="391" t="b">
        <v>0</v>
      </c>
      <c r="X342" s="391" t="b">
        <v>0</v>
      </c>
    </row>
    <row r="343" ht="24.0" customHeight="1">
      <c r="A343" s="76" t="s">
        <v>685</v>
      </c>
      <c r="B343" s="383">
        <v>46181.0</v>
      </c>
      <c r="C343" s="384" t="s">
        <v>1247</v>
      </c>
      <c r="D343" s="116" t="s">
        <v>256</v>
      </c>
      <c r="E343" s="116" t="s">
        <v>428</v>
      </c>
      <c r="F343" s="388"/>
      <c r="G343" s="76" t="s">
        <v>205</v>
      </c>
      <c r="H343" s="385">
        <v>12.0</v>
      </c>
      <c r="I343" s="386">
        <f>IF(G343="", "", IFERROR(VLOOKUP(G343, Products!A:F, 4, FALSE), ""))
</f>
        <v>100</v>
      </c>
      <c r="J343" s="405">
        <v>120.0</v>
      </c>
      <c r="K343" s="54">
        <f t="shared" si="10"/>
        <v>1080</v>
      </c>
      <c r="L343" s="387">
        <v>1080.0</v>
      </c>
      <c r="M343" s="138" t="s">
        <v>73</v>
      </c>
      <c r="N343" s="46">
        <f t="shared" si="2"/>
        <v>0</v>
      </c>
      <c r="O343" s="369" t="b">
        <v>1</v>
      </c>
      <c r="P343" s="369" t="b">
        <v>1</v>
      </c>
      <c r="Q343" s="387"/>
      <c r="R343" s="138" t="s">
        <v>687</v>
      </c>
      <c r="S343" s="65">
        <f t="shared" si="14"/>
        <v>0</v>
      </c>
      <c r="T343" s="369" t="b">
        <v>1</v>
      </c>
      <c r="U343" s="388"/>
      <c r="V343" s="391" t="b">
        <v>0</v>
      </c>
      <c r="W343" s="391" t="b">
        <v>0</v>
      </c>
      <c r="X343" s="391" t="b">
        <v>0</v>
      </c>
    </row>
    <row r="344" ht="24.0" customHeight="1">
      <c r="A344" s="76" t="s">
        <v>468</v>
      </c>
      <c r="B344" s="383">
        <v>46181.0</v>
      </c>
      <c r="C344" s="384" t="s">
        <v>1301</v>
      </c>
      <c r="D344" s="116" t="s">
        <v>93</v>
      </c>
      <c r="E344" s="116" t="s">
        <v>162</v>
      </c>
      <c r="F344" s="388"/>
      <c r="G344" s="76" t="s">
        <v>187</v>
      </c>
      <c r="H344" s="385">
        <v>1.0</v>
      </c>
      <c r="I344" s="386">
        <f>IF(G344="", "", IFERROR(VLOOKUP(G344, Products!A:F, 4, FALSE), ""))
</f>
        <v>400</v>
      </c>
      <c r="J344" s="405">
        <v>0.0</v>
      </c>
      <c r="K344" s="54">
        <f t="shared" si="10"/>
        <v>400</v>
      </c>
      <c r="L344" s="387">
        <v>200.0</v>
      </c>
      <c r="M344" s="138" t="s">
        <v>73</v>
      </c>
      <c r="N344" s="46">
        <f t="shared" si="2"/>
        <v>200</v>
      </c>
      <c r="O344" s="369" t="b">
        <v>1</v>
      </c>
      <c r="P344" s="369" t="b">
        <v>1</v>
      </c>
      <c r="Q344" s="387">
        <v>200.0</v>
      </c>
      <c r="R344" s="138" t="s">
        <v>687</v>
      </c>
      <c r="S344" s="65">
        <f t="shared" si="14"/>
        <v>0</v>
      </c>
      <c r="T344" s="369" t="b">
        <v>1</v>
      </c>
      <c r="U344" s="388"/>
      <c r="V344" s="391" t="b">
        <v>0</v>
      </c>
      <c r="W344" s="391" t="b">
        <v>0</v>
      </c>
      <c r="X344" s="391" t="b">
        <v>0</v>
      </c>
    </row>
    <row r="345" ht="24.0" customHeight="1">
      <c r="A345" s="76" t="s">
        <v>739</v>
      </c>
      <c r="B345" s="383">
        <v>46181.0</v>
      </c>
      <c r="C345" s="384" t="s">
        <v>1302</v>
      </c>
      <c r="D345" s="116" t="s">
        <v>78</v>
      </c>
      <c r="E345" s="399"/>
      <c r="F345" s="388"/>
      <c r="G345" s="76" t="s">
        <v>187</v>
      </c>
      <c r="H345" s="385">
        <v>2.0</v>
      </c>
      <c r="I345" s="386">
        <f>IF(G345="", "", IFERROR(VLOOKUP(G345, Products!A:F, 4, FALSE), ""))
</f>
        <v>400</v>
      </c>
      <c r="J345" s="405">
        <v>0.0</v>
      </c>
      <c r="K345" s="54">
        <f t="shared" si="10"/>
        <v>800</v>
      </c>
      <c r="L345" s="387">
        <v>700.0</v>
      </c>
      <c r="M345" s="138" t="s">
        <v>73</v>
      </c>
      <c r="N345" s="46">
        <f t="shared" si="2"/>
        <v>100</v>
      </c>
      <c r="O345" s="369" t="b">
        <v>1</v>
      </c>
      <c r="P345" s="369" t="b">
        <v>1</v>
      </c>
      <c r="Q345" s="387">
        <v>100.0</v>
      </c>
      <c r="R345" s="138" t="s">
        <v>687</v>
      </c>
      <c r="S345" s="65">
        <f t="shared" si="14"/>
        <v>0</v>
      </c>
      <c r="T345" s="369" t="b">
        <v>1</v>
      </c>
      <c r="U345" s="388"/>
      <c r="V345" s="391" t="b">
        <v>0</v>
      </c>
      <c r="W345" s="391" t="b">
        <v>0</v>
      </c>
      <c r="X345" s="391" t="b">
        <v>0</v>
      </c>
    </row>
    <row r="346" ht="24.0" customHeight="1">
      <c r="A346" s="76" t="s">
        <v>472</v>
      </c>
      <c r="B346" s="383">
        <v>46181.0</v>
      </c>
      <c r="C346" s="384" t="s">
        <v>1303</v>
      </c>
      <c r="D346" s="116" t="s">
        <v>256</v>
      </c>
      <c r="E346" s="399"/>
      <c r="F346" s="388"/>
      <c r="G346" s="76" t="s">
        <v>187</v>
      </c>
      <c r="H346" s="385">
        <v>1.0</v>
      </c>
      <c r="I346" s="386">
        <f>IF(G346="", "", IFERROR(VLOOKUP(G346, Products!A:F, 4, FALSE), ""))
</f>
        <v>400</v>
      </c>
      <c r="J346" s="405">
        <v>0.0</v>
      </c>
      <c r="K346" s="54">
        <f t="shared" si="10"/>
        <v>400</v>
      </c>
      <c r="L346" s="387">
        <v>300.0</v>
      </c>
      <c r="M346" s="138" t="s">
        <v>73</v>
      </c>
      <c r="N346" s="46">
        <f t="shared" si="2"/>
        <v>100</v>
      </c>
      <c r="O346" s="369" t="b">
        <v>1</v>
      </c>
      <c r="P346" s="369" t="b">
        <v>1</v>
      </c>
      <c r="Q346" s="387">
        <v>100.0</v>
      </c>
      <c r="R346" s="138" t="s">
        <v>687</v>
      </c>
      <c r="S346" s="65">
        <f t="shared" si="14"/>
        <v>0</v>
      </c>
      <c r="T346" s="369" t="b">
        <v>1</v>
      </c>
      <c r="U346" s="388"/>
      <c r="V346" s="391" t="b">
        <v>0</v>
      </c>
      <c r="W346" s="391" t="b">
        <v>0</v>
      </c>
      <c r="X346" s="391" t="b">
        <v>0</v>
      </c>
    </row>
    <row r="347" ht="24.0" customHeight="1">
      <c r="A347" s="76" t="s">
        <v>472</v>
      </c>
      <c r="B347" s="383">
        <v>46181.0</v>
      </c>
      <c r="C347" s="384" t="s">
        <v>1303</v>
      </c>
      <c r="D347" s="116" t="s">
        <v>256</v>
      </c>
      <c r="E347" s="399"/>
      <c r="F347" s="388"/>
      <c r="G347" s="76" t="s">
        <v>205</v>
      </c>
      <c r="H347" s="385">
        <v>1.0</v>
      </c>
      <c r="I347" s="386">
        <f>IF(G347="", "", IFERROR(VLOOKUP(G347, Products!A:F, 4, FALSE), ""))
</f>
        <v>100</v>
      </c>
      <c r="J347" s="405">
        <v>0.0</v>
      </c>
      <c r="K347" s="54">
        <f t="shared" si="10"/>
        <v>100</v>
      </c>
      <c r="L347" s="387"/>
      <c r="M347" s="388"/>
      <c r="N347" s="46">
        <f t="shared" si="2"/>
        <v>100</v>
      </c>
      <c r="O347" s="369" t="b">
        <v>1</v>
      </c>
      <c r="P347" s="369" t="b">
        <v>1</v>
      </c>
      <c r="Q347" s="387">
        <v>100.0</v>
      </c>
      <c r="R347" s="138" t="s">
        <v>687</v>
      </c>
      <c r="S347" s="65">
        <f t="shared" si="14"/>
        <v>0</v>
      </c>
      <c r="T347" s="369" t="b">
        <v>1</v>
      </c>
      <c r="U347" s="388"/>
      <c r="V347" s="391" t="b">
        <v>0</v>
      </c>
      <c r="W347" s="391" t="b">
        <v>0</v>
      </c>
      <c r="X347" s="391" t="b">
        <v>0</v>
      </c>
    </row>
    <row r="348" ht="24.0" customHeight="1">
      <c r="A348" s="76" t="s">
        <v>472</v>
      </c>
      <c r="B348" s="383">
        <v>46181.0</v>
      </c>
      <c r="C348" s="384" t="s">
        <v>1303</v>
      </c>
      <c r="D348" s="116" t="s">
        <v>256</v>
      </c>
      <c r="E348" s="399"/>
      <c r="F348" s="388"/>
      <c r="G348" s="76" t="s">
        <v>210</v>
      </c>
      <c r="H348" s="385">
        <v>1.0</v>
      </c>
      <c r="I348" s="386">
        <f>IF(G348="", "", IFERROR(VLOOKUP(G348, Products!A:F, 4, FALSE), ""))
</f>
        <v>80</v>
      </c>
      <c r="J348" s="405">
        <v>0.0</v>
      </c>
      <c r="K348" s="54">
        <f t="shared" si="10"/>
        <v>80</v>
      </c>
      <c r="L348" s="387"/>
      <c r="M348" s="388"/>
      <c r="N348" s="46">
        <f t="shared" si="2"/>
        <v>80</v>
      </c>
      <c r="O348" s="369" t="b">
        <v>1</v>
      </c>
      <c r="P348" s="369" t="b">
        <v>1</v>
      </c>
      <c r="Q348" s="387">
        <v>80.0</v>
      </c>
      <c r="R348" s="138" t="s">
        <v>687</v>
      </c>
      <c r="S348" s="65">
        <f t="shared" si="14"/>
        <v>0</v>
      </c>
      <c r="T348" s="369" t="b">
        <v>1</v>
      </c>
      <c r="U348" s="388"/>
      <c r="V348" s="391" t="b">
        <v>0</v>
      </c>
      <c r="W348" s="391" t="b">
        <v>0</v>
      </c>
      <c r="X348" s="391" t="b">
        <v>0</v>
      </c>
    </row>
    <row r="349" ht="24.0" customHeight="1">
      <c r="A349" s="76" t="s">
        <v>472</v>
      </c>
      <c r="B349" s="383">
        <v>46181.0</v>
      </c>
      <c r="C349" s="384" t="s">
        <v>1303</v>
      </c>
      <c r="D349" s="116" t="s">
        <v>256</v>
      </c>
      <c r="E349" s="399"/>
      <c r="F349" s="388"/>
      <c r="G349" s="44" t="s">
        <v>168</v>
      </c>
      <c r="H349" s="385">
        <v>1.0</v>
      </c>
      <c r="I349" s="386">
        <f>IF(G349="", "", IFERROR(VLOOKUP(G349, Products!A:F, 4, FALSE), ""))
</f>
        <v>80</v>
      </c>
      <c r="J349" s="405">
        <v>0.0</v>
      </c>
      <c r="K349" s="54">
        <f t="shared" si="10"/>
        <v>80</v>
      </c>
      <c r="L349" s="387"/>
      <c r="M349" s="388"/>
      <c r="N349" s="46">
        <f t="shared" si="2"/>
        <v>80</v>
      </c>
      <c r="O349" s="369" t="b">
        <v>1</v>
      </c>
      <c r="P349" s="369" t="b">
        <v>1</v>
      </c>
      <c r="Q349" s="387">
        <v>80.0</v>
      </c>
      <c r="R349" s="138" t="s">
        <v>687</v>
      </c>
      <c r="S349" s="65">
        <f t="shared" si="14"/>
        <v>0</v>
      </c>
      <c r="T349" s="369" t="b">
        <v>1</v>
      </c>
      <c r="U349" s="388"/>
      <c r="V349" s="391" t="b">
        <v>0</v>
      </c>
      <c r="W349" s="391" t="b">
        <v>0</v>
      </c>
      <c r="X349" s="391" t="b">
        <v>0</v>
      </c>
    </row>
    <row r="350" ht="24.0" customHeight="1">
      <c r="A350" s="76" t="s">
        <v>472</v>
      </c>
      <c r="B350" s="383">
        <v>46181.0</v>
      </c>
      <c r="C350" s="384" t="s">
        <v>1303</v>
      </c>
      <c r="D350" s="116" t="s">
        <v>256</v>
      </c>
      <c r="E350" s="399"/>
      <c r="F350" s="388"/>
      <c r="G350" s="76" t="s">
        <v>185</v>
      </c>
      <c r="H350" s="385">
        <v>1.0</v>
      </c>
      <c r="I350" s="386">
        <f>IF(G350="", "", IFERROR(VLOOKUP(G350, Products!A:F, 4, FALSE), ""))
</f>
        <v>80</v>
      </c>
      <c r="J350" s="405">
        <v>0.0</v>
      </c>
      <c r="K350" s="54">
        <f t="shared" si="10"/>
        <v>80</v>
      </c>
      <c r="L350" s="387">
        <v>80.0</v>
      </c>
      <c r="M350" s="138" t="s">
        <v>73</v>
      </c>
      <c r="N350" s="46">
        <f t="shared" si="2"/>
        <v>0</v>
      </c>
      <c r="O350" s="369" t="b">
        <v>1</v>
      </c>
      <c r="P350" s="369" t="b">
        <v>1</v>
      </c>
      <c r="Q350" s="387"/>
      <c r="R350" s="138" t="s">
        <v>687</v>
      </c>
      <c r="S350" s="65">
        <f t="shared" si="14"/>
        <v>0</v>
      </c>
      <c r="T350" s="369" t="b">
        <v>1</v>
      </c>
      <c r="U350" s="388"/>
      <c r="V350" s="391" t="b">
        <v>0</v>
      </c>
      <c r="W350" s="391" t="b">
        <v>0</v>
      </c>
      <c r="X350" s="391" t="b">
        <v>0</v>
      </c>
    </row>
    <row r="351" ht="24.0" customHeight="1">
      <c r="A351" s="76" t="s">
        <v>472</v>
      </c>
      <c r="B351" s="383">
        <v>46181.0</v>
      </c>
      <c r="C351" s="384" t="s">
        <v>1303</v>
      </c>
      <c r="D351" s="116" t="s">
        <v>256</v>
      </c>
      <c r="E351" s="399"/>
      <c r="F351" s="388"/>
      <c r="G351" s="44" t="s">
        <v>104</v>
      </c>
      <c r="H351" s="385">
        <v>1.0</v>
      </c>
      <c r="I351" s="386">
        <f>IF(G351="", "", IFERROR(VLOOKUP(G351, Products!A:F, 4, FALSE), ""))
</f>
        <v>80</v>
      </c>
      <c r="J351" s="405">
        <v>0.0</v>
      </c>
      <c r="K351" s="54">
        <f t="shared" si="10"/>
        <v>80</v>
      </c>
      <c r="L351" s="387"/>
      <c r="M351" s="138" t="s">
        <v>73</v>
      </c>
      <c r="N351" s="46">
        <f t="shared" si="2"/>
        <v>80</v>
      </c>
      <c r="O351" s="369" t="b">
        <v>1</v>
      </c>
      <c r="P351" s="369" t="b">
        <v>1</v>
      </c>
      <c r="Q351" s="387">
        <v>80.0</v>
      </c>
      <c r="R351" s="138" t="s">
        <v>687</v>
      </c>
      <c r="S351" s="65">
        <f t="shared" si="14"/>
        <v>0</v>
      </c>
      <c r="T351" s="369" t="b">
        <v>1</v>
      </c>
      <c r="U351" s="388"/>
      <c r="V351" s="391" t="b">
        <v>0</v>
      </c>
      <c r="W351" s="391" t="b">
        <v>0</v>
      </c>
      <c r="X351" s="391" t="b">
        <v>0</v>
      </c>
    </row>
    <row r="352" ht="24.0" customHeight="1">
      <c r="A352" s="76" t="s">
        <v>472</v>
      </c>
      <c r="B352" s="383">
        <v>46181.0</v>
      </c>
      <c r="C352" s="384" t="s">
        <v>1303</v>
      </c>
      <c r="D352" s="116" t="s">
        <v>256</v>
      </c>
      <c r="E352" s="399"/>
      <c r="F352" s="388"/>
      <c r="G352" s="457" t="s">
        <v>24</v>
      </c>
      <c r="H352" s="385">
        <v>20.0</v>
      </c>
      <c r="I352" s="386">
        <f>IF(G352="", "", IFERROR(VLOOKUP(G352, Products!A:F, 4, FALSE), ""))
</f>
        <v>30</v>
      </c>
      <c r="J352" s="405">
        <v>0.0</v>
      </c>
      <c r="K352" s="54">
        <f t="shared" si="10"/>
        <v>600</v>
      </c>
      <c r="L352" s="387"/>
      <c r="M352" s="388"/>
      <c r="N352" s="46">
        <f t="shared" si="2"/>
        <v>600</v>
      </c>
      <c r="O352" s="369" t="b">
        <v>1</v>
      </c>
      <c r="P352" s="369" t="b">
        <v>1</v>
      </c>
      <c r="Q352" s="387">
        <v>600.0</v>
      </c>
      <c r="R352" s="138" t="s">
        <v>687</v>
      </c>
      <c r="S352" s="65">
        <f t="shared" si="14"/>
        <v>0</v>
      </c>
      <c r="T352" s="369" t="b">
        <v>1</v>
      </c>
      <c r="U352" s="388"/>
      <c r="V352" s="391" t="b">
        <v>0</v>
      </c>
      <c r="W352" s="391" t="b">
        <v>0</v>
      </c>
      <c r="X352" s="391" t="b">
        <v>0</v>
      </c>
    </row>
    <row r="353" ht="24.0" customHeight="1">
      <c r="A353" s="76" t="s">
        <v>485</v>
      </c>
      <c r="B353" s="383">
        <v>46181.0</v>
      </c>
      <c r="C353" s="384" t="s">
        <v>1304</v>
      </c>
      <c r="D353" s="116" t="s">
        <v>243</v>
      </c>
      <c r="E353" s="399"/>
      <c r="F353" s="388"/>
      <c r="G353" s="76" t="s">
        <v>63</v>
      </c>
      <c r="H353" s="385">
        <v>1.0</v>
      </c>
      <c r="I353" s="386">
        <f>IF(G353="", "", IFERROR(VLOOKUP(G353, Products!A:F, 4, FALSE), ""))
</f>
        <v>850</v>
      </c>
      <c r="J353" s="405">
        <v>0.0</v>
      </c>
      <c r="K353" s="54">
        <f t="shared" si="10"/>
        <v>850</v>
      </c>
      <c r="L353" s="387">
        <v>850.0</v>
      </c>
      <c r="M353" s="138" t="s">
        <v>73</v>
      </c>
      <c r="N353" s="46">
        <f t="shared" si="2"/>
        <v>0</v>
      </c>
      <c r="O353" s="369" t="b">
        <v>1</v>
      </c>
      <c r="P353" s="369" t="b">
        <v>1</v>
      </c>
      <c r="Q353" s="387"/>
      <c r="R353" s="138" t="s">
        <v>687</v>
      </c>
      <c r="S353" s="65">
        <f t="shared" si="14"/>
        <v>0</v>
      </c>
      <c r="T353" s="369" t="b">
        <v>1</v>
      </c>
      <c r="U353" s="388"/>
      <c r="V353" s="391" t="b">
        <v>0</v>
      </c>
      <c r="W353" s="391" t="b">
        <v>0</v>
      </c>
      <c r="X353" s="391" t="b">
        <v>0</v>
      </c>
    </row>
    <row r="354" ht="24.0" customHeight="1">
      <c r="A354" s="76" t="s">
        <v>485</v>
      </c>
      <c r="B354" s="383">
        <v>46181.0</v>
      </c>
      <c r="C354" s="384" t="s">
        <v>1304</v>
      </c>
      <c r="D354" s="116" t="s">
        <v>243</v>
      </c>
      <c r="E354" s="399"/>
      <c r="F354" s="388"/>
      <c r="G354" s="76" t="s">
        <v>187</v>
      </c>
      <c r="H354" s="385">
        <v>1.0</v>
      </c>
      <c r="I354" s="386">
        <f>IF(G354="", "", IFERROR(VLOOKUP(G354, Products!A:F, 4, FALSE), ""))
</f>
        <v>400</v>
      </c>
      <c r="J354" s="405">
        <v>0.0</v>
      </c>
      <c r="K354" s="54">
        <f t="shared" si="10"/>
        <v>400</v>
      </c>
      <c r="L354" s="387">
        <v>400.0</v>
      </c>
      <c r="M354" s="138" t="s">
        <v>73</v>
      </c>
      <c r="N354" s="46">
        <f t="shared" si="2"/>
        <v>0</v>
      </c>
      <c r="O354" s="369" t="b">
        <v>1</v>
      </c>
      <c r="P354" s="369" t="b">
        <v>1</v>
      </c>
      <c r="Q354" s="387"/>
      <c r="R354" s="138" t="s">
        <v>687</v>
      </c>
      <c r="S354" s="65">
        <f t="shared" si="14"/>
        <v>0</v>
      </c>
      <c r="T354" s="369" t="b">
        <v>1</v>
      </c>
      <c r="U354" s="388"/>
      <c r="V354" s="391" t="b">
        <v>0</v>
      </c>
      <c r="W354" s="391" t="b">
        <v>0</v>
      </c>
      <c r="X354" s="391" t="b">
        <v>0</v>
      </c>
    </row>
    <row r="355" ht="24.0" customHeight="1">
      <c r="A355" s="76" t="s">
        <v>485</v>
      </c>
      <c r="B355" s="383">
        <v>46181.0</v>
      </c>
      <c r="C355" s="384" t="s">
        <v>1304</v>
      </c>
      <c r="D355" s="116" t="s">
        <v>243</v>
      </c>
      <c r="E355" s="399"/>
      <c r="F355" s="388"/>
      <c r="G355" s="76" t="s">
        <v>122</v>
      </c>
      <c r="H355" s="385">
        <v>3.0</v>
      </c>
      <c r="I355" s="386">
        <f>IF(G355="", "", IFERROR(VLOOKUP(G355, Products!A:F, 4, FALSE), ""))
</f>
        <v>80</v>
      </c>
      <c r="J355" s="405">
        <v>0.0</v>
      </c>
      <c r="K355" s="54">
        <f t="shared" si="10"/>
        <v>240</v>
      </c>
      <c r="L355" s="387">
        <v>35.0</v>
      </c>
      <c r="M355" s="138" t="s">
        <v>73</v>
      </c>
      <c r="N355" s="46">
        <f t="shared" si="2"/>
        <v>205</v>
      </c>
      <c r="O355" s="369" t="b">
        <v>1</v>
      </c>
      <c r="P355" s="369" t="b">
        <v>1</v>
      </c>
      <c r="Q355" s="387">
        <v>205.0</v>
      </c>
      <c r="R355" s="138" t="s">
        <v>687</v>
      </c>
      <c r="S355" s="65">
        <f t="shared" si="14"/>
        <v>0</v>
      </c>
      <c r="T355" s="369" t="b">
        <v>1</v>
      </c>
      <c r="U355" s="388"/>
      <c r="V355" s="391" t="b">
        <v>0</v>
      </c>
      <c r="W355" s="391" t="b">
        <v>0</v>
      </c>
      <c r="X355" s="391" t="b">
        <v>0</v>
      </c>
    </row>
    <row r="356" ht="24.0" customHeight="1">
      <c r="A356" s="76" t="s">
        <v>485</v>
      </c>
      <c r="B356" s="383">
        <v>46181.0</v>
      </c>
      <c r="C356" s="384" t="s">
        <v>1304</v>
      </c>
      <c r="D356" s="116" t="s">
        <v>243</v>
      </c>
      <c r="E356" s="399"/>
      <c r="F356" s="388"/>
      <c r="G356" s="76" t="s">
        <v>210</v>
      </c>
      <c r="H356" s="385">
        <v>3.0</v>
      </c>
      <c r="I356" s="386">
        <f>IF(G356="", "", IFERROR(VLOOKUP(G356, Products!A:F, 4, FALSE), ""))
</f>
        <v>80</v>
      </c>
      <c r="J356" s="405">
        <v>0.0</v>
      </c>
      <c r="K356" s="54">
        <f t="shared" si="10"/>
        <v>240</v>
      </c>
      <c r="L356" s="387"/>
      <c r="M356" s="388"/>
      <c r="N356" s="46">
        <f t="shared" si="2"/>
        <v>240</v>
      </c>
      <c r="O356" s="369" t="b">
        <v>1</v>
      </c>
      <c r="P356" s="369" t="b">
        <v>1</v>
      </c>
      <c r="Q356" s="387">
        <v>240.0</v>
      </c>
      <c r="R356" s="138" t="s">
        <v>687</v>
      </c>
      <c r="S356" s="65">
        <f t="shared" si="14"/>
        <v>0</v>
      </c>
      <c r="T356" s="369" t="b">
        <v>1</v>
      </c>
      <c r="U356" s="388"/>
      <c r="V356" s="391" t="b">
        <v>0</v>
      </c>
      <c r="W356" s="391" t="b">
        <v>0</v>
      </c>
      <c r="X356" s="391" t="b">
        <v>0</v>
      </c>
    </row>
    <row r="357" ht="24.0" customHeight="1">
      <c r="A357" s="76" t="s">
        <v>485</v>
      </c>
      <c r="B357" s="383">
        <v>46181.0</v>
      </c>
      <c r="C357" s="384" t="s">
        <v>1304</v>
      </c>
      <c r="D357" s="116" t="s">
        <v>243</v>
      </c>
      <c r="E357" s="399"/>
      <c r="F357" s="388"/>
      <c r="G357" s="76" t="s">
        <v>201</v>
      </c>
      <c r="H357" s="385">
        <v>3.0</v>
      </c>
      <c r="I357" s="386">
        <f>IF(G357="", "", IFERROR(VLOOKUP(G357, Products!A:F, 4, FALSE), ""))
</f>
        <v>80</v>
      </c>
      <c r="J357" s="405">
        <v>0.0</v>
      </c>
      <c r="K357" s="54">
        <f t="shared" si="10"/>
        <v>240</v>
      </c>
      <c r="L357" s="387"/>
      <c r="M357" s="388"/>
      <c r="N357" s="46">
        <f t="shared" si="2"/>
        <v>240</v>
      </c>
      <c r="O357" s="369" t="b">
        <v>1</v>
      </c>
      <c r="P357" s="369" t="b">
        <v>1</v>
      </c>
      <c r="Q357" s="387">
        <v>240.0</v>
      </c>
      <c r="R357" s="138" t="s">
        <v>687</v>
      </c>
      <c r="S357" s="65">
        <f t="shared" si="14"/>
        <v>0</v>
      </c>
      <c r="T357" s="369" t="b">
        <v>1</v>
      </c>
      <c r="U357" s="388"/>
      <c r="V357" s="391" t="b">
        <v>0</v>
      </c>
      <c r="W357" s="391" t="b">
        <v>0</v>
      </c>
      <c r="X357" s="391" t="b">
        <v>0</v>
      </c>
    </row>
    <row r="358" ht="24.0" customHeight="1">
      <c r="A358" s="76" t="s">
        <v>485</v>
      </c>
      <c r="B358" s="383">
        <v>46181.0</v>
      </c>
      <c r="C358" s="384" t="s">
        <v>1304</v>
      </c>
      <c r="D358" s="116" t="s">
        <v>243</v>
      </c>
      <c r="E358" s="399"/>
      <c r="F358" s="388"/>
      <c r="G358" s="76" t="s">
        <v>205</v>
      </c>
      <c r="H358" s="385">
        <v>3.0</v>
      </c>
      <c r="I358" s="386">
        <f>IF(G358="", "", IFERROR(VLOOKUP(G358, Products!A:F, 4, FALSE), ""))
</f>
        <v>100</v>
      </c>
      <c r="J358" s="405">
        <v>0.0</v>
      </c>
      <c r="K358" s="54">
        <f t="shared" si="10"/>
        <v>300</v>
      </c>
      <c r="L358" s="387"/>
      <c r="M358" s="388"/>
      <c r="N358" s="46">
        <f t="shared" si="2"/>
        <v>300</v>
      </c>
      <c r="O358" s="369" t="b">
        <v>1</v>
      </c>
      <c r="P358" s="369" t="b">
        <v>1</v>
      </c>
      <c r="Q358" s="387">
        <v>300.0</v>
      </c>
      <c r="R358" s="138" t="s">
        <v>687</v>
      </c>
      <c r="S358" s="65">
        <f t="shared" si="14"/>
        <v>0</v>
      </c>
      <c r="T358" s="369" t="b">
        <v>1</v>
      </c>
      <c r="U358" s="388"/>
      <c r="V358" s="391" t="b">
        <v>0</v>
      </c>
      <c r="W358" s="391" t="b">
        <v>0</v>
      </c>
      <c r="X358" s="391" t="b">
        <v>0</v>
      </c>
    </row>
    <row r="359" ht="24.0" customHeight="1">
      <c r="A359" s="76" t="s">
        <v>485</v>
      </c>
      <c r="B359" s="383">
        <v>46181.0</v>
      </c>
      <c r="C359" s="384" t="s">
        <v>1304</v>
      </c>
      <c r="D359" s="116" t="s">
        <v>243</v>
      </c>
      <c r="E359" s="399"/>
      <c r="F359" s="388"/>
      <c r="G359" s="76" t="s">
        <v>207</v>
      </c>
      <c r="H359" s="385">
        <v>3.0</v>
      </c>
      <c r="I359" s="386">
        <f>IF(G359="", "", IFERROR(VLOOKUP(G359, Products!A:F, 4, FALSE), ""))
</f>
        <v>80</v>
      </c>
      <c r="J359" s="405">
        <v>0.0</v>
      </c>
      <c r="K359" s="54">
        <f>(H359*I359)-J559</f>
        <v>240</v>
      </c>
      <c r="L359" s="387"/>
      <c r="M359" s="388"/>
      <c r="N359" s="46">
        <f t="shared" si="2"/>
        <v>240</v>
      </c>
      <c r="O359" s="369" t="b">
        <v>1</v>
      </c>
      <c r="P359" s="369" t="b">
        <v>1</v>
      </c>
      <c r="Q359" s="387">
        <v>240.0</v>
      </c>
      <c r="R359" s="138" t="s">
        <v>687</v>
      </c>
      <c r="S359" s="65">
        <f t="shared" si="14"/>
        <v>0</v>
      </c>
      <c r="T359" s="369" t="b">
        <v>1</v>
      </c>
      <c r="U359" s="388"/>
      <c r="V359" s="391" t="b">
        <v>0</v>
      </c>
      <c r="W359" s="391" t="b">
        <v>0</v>
      </c>
      <c r="X359" s="391" t="b">
        <v>0</v>
      </c>
    </row>
    <row r="360" ht="24.0" customHeight="1">
      <c r="A360" s="76" t="s">
        <v>495</v>
      </c>
      <c r="B360" s="383">
        <v>46181.0</v>
      </c>
      <c r="C360" s="384"/>
      <c r="D360" s="455" t="s">
        <v>53</v>
      </c>
      <c r="E360" s="456" t="s">
        <v>620</v>
      </c>
      <c r="F360" s="388"/>
      <c r="G360" s="76" t="s">
        <v>187</v>
      </c>
      <c r="H360" s="385">
        <v>1.0</v>
      </c>
      <c r="I360" s="386">
        <f>IF(G360="", "", IFERROR(VLOOKUP(G360, Products!A:F, 4, FALSE), ""))
</f>
        <v>400</v>
      </c>
      <c r="J360" s="405">
        <v>0.0</v>
      </c>
      <c r="K360" s="54">
        <f t="shared" ref="K360:K471" si="15">(H360*I360)-J360</f>
        <v>400</v>
      </c>
      <c r="L360" s="387">
        <v>400.0</v>
      </c>
      <c r="M360" s="138" t="s">
        <v>271</v>
      </c>
      <c r="N360" s="46">
        <f t="shared" si="2"/>
        <v>0</v>
      </c>
      <c r="O360" s="369" t="b">
        <v>1</v>
      </c>
      <c r="P360" s="369" t="b">
        <v>1</v>
      </c>
      <c r="Q360" s="387"/>
      <c r="R360" s="138" t="s">
        <v>687</v>
      </c>
      <c r="S360" s="65">
        <f t="shared" si="14"/>
        <v>0</v>
      </c>
      <c r="T360" s="369" t="b">
        <v>1</v>
      </c>
      <c r="U360" s="388"/>
      <c r="V360" s="391" t="b">
        <v>0</v>
      </c>
      <c r="W360" s="391" t="b">
        <v>0</v>
      </c>
      <c r="X360" s="391" t="b">
        <v>0</v>
      </c>
    </row>
    <row r="361" ht="24.0" customHeight="1">
      <c r="A361" s="76" t="s">
        <v>292</v>
      </c>
      <c r="B361" s="383">
        <v>46181.0</v>
      </c>
      <c r="C361" s="384" t="s">
        <v>817</v>
      </c>
      <c r="D361" s="116" t="s">
        <v>53</v>
      </c>
      <c r="E361" s="116" t="s">
        <v>452</v>
      </c>
      <c r="F361" s="388"/>
      <c r="G361" s="76" t="s">
        <v>187</v>
      </c>
      <c r="H361" s="385">
        <v>1.0</v>
      </c>
      <c r="I361" s="386">
        <f>IF(G361="", "", IFERROR(VLOOKUP(G361, Products!A:F, 4, FALSE), ""))
</f>
        <v>400</v>
      </c>
      <c r="J361" s="405">
        <v>0.0</v>
      </c>
      <c r="K361" s="54">
        <f t="shared" si="15"/>
        <v>400</v>
      </c>
      <c r="L361" s="387">
        <v>200.0</v>
      </c>
      <c r="M361" s="138" t="s">
        <v>73</v>
      </c>
      <c r="N361" s="46">
        <f t="shared" si="2"/>
        <v>200</v>
      </c>
      <c r="O361" s="369" t="b">
        <v>1</v>
      </c>
      <c r="P361" s="369" t="b">
        <v>1</v>
      </c>
      <c r="Q361" s="387">
        <v>200.0</v>
      </c>
      <c r="R361" s="138" t="s">
        <v>687</v>
      </c>
      <c r="S361" s="65">
        <f t="shared" si="14"/>
        <v>0</v>
      </c>
      <c r="T361" s="369" t="b">
        <v>1</v>
      </c>
      <c r="U361" s="388"/>
      <c r="V361" s="391" t="b">
        <v>0</v>
      </c>
      <c r="W361" s="391" t="b">
        <v>0</v>
      </c>
      <c r="X361" s="391" t="b">
        <v>0</v>
      </c>
    </row>
    <row r="362" ht="24.0" customHeight="1">
      <c r="A362" s="76" t="s">
        <v>466</v>
      </c>
      <c r="B362" s="383">
        <v>46181.0</v>
      </c>
      <c r="C362" s="384" t="s">
        <v>1305</v>
      </c>
      <c r="D362" s="116" t="s">
        <v>78</v>
      </c>
      <c r="E362" s="116" t="s">
        <v>630</v>
      </c>
      <c r="F362" s="388"/>
      <c r="G362" s="76" t="s">
        <v>187</v>
      </c>
      <c r="H362" s="385">
        <v>1.0</v>
      </c>
      <c r="I362" s="386">
        <f>IF(G362="", "", IFERROR(VLOOKUP(G362, Products!A:F, 4, FALSE), ""))
</f>
        <v>400</v>
      </c>
      <c r="J362" s="405">
        <v>0.0</v>
      </c>
      <c r="K362" s="54">
        <f t="shared" si="15"/>
        <v>400</v>
      </c>
      <c r="L362" s="387">
        <v>200.0</v>
      </c>
      <c r="M362" s="138" t="s">
        <v>73</v>
      </c>
      <c r="N362" s="46">
        <f t="shared" si="2"/>
        <v>200</v>
      </c>
      <c r="O362" s="369" t="b">
        <v>1</v>
      </c>
      <c r="P362" s="369" t="b">
        <v>1</v>
      </c>
      <c r="Q362" s="387">
        <v>200.0</v>
      </c>
      <c r="R362" s="138" t="s">
        <v>687</v>
      </c>
      <c r="S362" s="65">
        <f t="shared" si="14"/>
        <v>0</v>
      </c>
      <c r="T362" s="369" t="b">
        <v>1</v>
      </c>
      <c r="U362" s="388"/>
      <c r="V362" s="391" t="b">
        <v>0</v>
      </c>
      <c r="W362" s="391" t="b">
        <v>0</v>
      </c>
      <c r="X362" s="391" t="b">
        <v>0</v>
      </c>
    </row>
    <row r="363" ht="24.0" customHeight="1">
      <c r="A363" s="76" t="s">
        <v>499</v>
      </c>
      <c r="B363" s="383">
        <v>46182.0</v>
      </c>
      <c r="C363" s="384" t="s">
        <v>1207</v>
      </c>
      <c r="D363" s="116" t="s">
        <v>93</v>
      </c>
      <c r="E363" s="116" t="s">
        <v>156</v>
      </c>
      <c r="F363" s="388"/>
      <c r="G363" s="76" t="s">
        <v>187</v>
      </c>
      <c r="H363" s="385">
        <v>3.0</v>
      </c>
      <c r="I363" s="386">
        <f>IF(G363="", "", IFERROR(VLOOKUP(G363, Products!A:F, 4, FALSE), ""))
</f>
        <v>400</v>
      </c>
      <c r="J363" s="405">
        <v>0.0</v>
      </c>
      <c r="K363" s="54">
        <f t="shared" si="15"/>
        <v>1200</v>
      </c>
      <c r="L363" s="387">
        <v>525.0</v>
      </c>
      <c r="M363" s="138" t="s">
        <v>73</v>
      </c>
      <c r="N363" s="46">
        <f t="shared" si="2"/>
        <v>675</v>
      </c>
      <c r="O363" s="369" t="b">
        <v>1</v>
      </c>
      <c r="P363" s="369" t="b">
        <v>1</v>
      </c>
      <c r="Q363" s="387">
        <v>675.0</v>
      </c>
      <c r="R363" s="138" t="s">
        <v>687</v>
      </c>
      <c r="S363" s="65">
        <f t="shared" si="14"/>
        <v>0</v>
      </c>
      <c r="T363" s="369" t="b">
        <v>1</v>
      </c>
      <c r="U363" s="388"/>
      <c r="V363" s="391" t="b">
        <v>0</v>
      </c>
      <c r="W363" s="391" t="b">
        <v>0</v>
      </c>
      <c r="X363" s="391" t="b">
        <v>0</v>
      </c>
    </row>
    <row r="364" ht="24.0" customHeight="1">
      <c r="A364" s="76" t="s">
        <v>800</v>
      </c>
      <c r="B364" s="383">
        <v>46182.0</v>
      </c>
      <c r="C364" s="384" t="s">
        <v>1306</v>
      </c>
      <c r="D364" s="116" t="s">
        <v>53</v>
      </c>
      <c r="E364" s="116" t="s">
        <v>497</v>
      </c>
      <c r="F364" s="388"/>
      <c r="G364" s="76" t="s">
        <v>205</v>
      </c>
      <c r="H364" s="385">
        <v>5.0</v>
      </c>
      <c r="I364" s="386">
        <f>IF(G364="", "", IFERROR(VLOOKUP(G364, Products!A:F, 4, FALSE), ""))
</f>
        <v>100</v>
      </c>
      <c r="J364" s="386">
        <v>0.0</v>
      </c>
      <c r="K364" s="54">
        <f t="shared" si="15"/>
        <v>500</v>
      </c>
      <c r="L364" s="387">
        <v>260.0</v>
      </c>
      <c r="M364" s="138" t="s">
        <v>73</v>
      </c>
      <c r="N364" s="46">
        <f t="shared" si="2"/>
        <v>240</v>
      </c>
      <c r="O364" s="369" t="b">
        <v>1</v>
      </c>
      <c r="P364" s="369" t="b">
        <v>1</v>
      </c>
      <c r="Q364" s="387">
        <v>240.0</v>
      </c>
      <c r="R364" s="138" t="s">
        <v>687</v>
      </c>
      <c r="S364" s="65">
        <f t="shared" si="14"/>
        <v>0</v>
      </c>
      <c r="T364" s="369" t="b">
        <v>1</v>
      </c>
      <c r="U364" s="388"/>
      <c r="V364" s="391" t="b">
        <v>0</v>
      </c>
      <c r="W364" s="391" t="b">
        <v>0</v>
      </c>
      <c r="X364" s="391" t="b">
        <v>0</v>
      </c>
    </row>
    <row r="365" ht="24.0" customHeight="1">
      <c r="A365" s="76" t="s">
        <v>502</v>
      </c>
      <c r="B365" s="383">
        <v>46182.0</v>
      </c>
      <c r="C365" s="384" t="s">
        <v>1307</v>
      </c>
      <c r="D365" s="116" t="s">
        <v>93</v>
      </c>
      <c r="E365" s="116" t="s">
        <v>503</v>
      </c>
      <c r="F365" s="388"/>
      <c r="G365" s="76" t="s">
        <v>63</v>
      </c>
      <c r="H365" s="385">
        <v>1.0</v>
      </c>
      <c r="I365" s="386">
        <f>IF(G365="", "", IFERROR(VLOOKUP(G365, Products!A:F, 4, FALSE), ""))
</f>
        <v>850</v>
      </c>
      <c r="J365" s="405">
        <v>0.0</v>
      </c>
      <c r="K365" s="54">
        <f t="shared" si="15"/>
        <v>850</v>
      </c>
      <c r="L365" s="387">
        <v>750.0</v>
      </c>
      <c r="M365" s="138" t="s">
        <v>73</v>
      </c>
      <c r="N365" s="46">
        <f t="shared" si="2"/>
        <v>100</v>
      </c>
      <c r="O365" s="369" t="b">
        <v>1</v>
      </c>
      <c r="P365" s="369" t="b">
        <v>1</v>
      </c>
      <c r="Q365" s="387">
        <v>100.0</v>
      </c>
      <c r="R365" s="138" t="s">
        <v>687</v>
      </c>
      <c r="S365" s="65">
        <f t="shared" si="14"/>
        <v>0</v>
      </c>
      <c r="T365" s="369" t="b">
        <v>1</v>
      </c>
      <c r="U365" s="388"/>
      <c r="V365" s="391" t="b">
        <v>0</v>
      </c>
      <c r="W365" s="391" t="b">
        <v>0</v>
      </c>
      <c r="X365" s="391" t="b">
        <v>0</v>
      </c>
    </row>
    <row r="366" ht="24.0" customHeight="1">
      <c r="A366" s="76" t="s">
        <v>502</v>
      </c>
      <c r="B366" s="383">
        <v>46182.0</v>
      </c>
      <c r="C366" s="384" t="s">
        <v>1307</v>
      </c>
      <c r="D366" s="116" t="s">
        <v>93</v>
      </c>
      <c r="E366" s="116" t="s">
        <v>503</v>
      </c>
      <c r="F366" s="388"/>
      <c r="G366" s="76" t="s">
        <v>201</v>
      </c>
      <c r="H366" s="385">
        <v>1.0</v>
      </c>
      <c r="I366" s="386">
        <f>IF(G366="", "", IFERROR(VLOOKUP(G366, Products!A:F, 4, FALSE), ""))
</f>
        <v>80</v>
      </c>
      <c r="J366" s="405">
        <v>0.0</v>
      </c>
      <c r="K366" s="54">
        <f t="shared" si="15"/>
        <v>80</v>
      </c>
      <c r="L366" s="387">
        <v>100.0</v>
      </c>
      <c r="M366" s="138" t="s">
        <v>73</v>
      </c>
      <c r="N366" s="46">
        <f t="shared" si="2"/>
        <v>-20</v>
      </c>
      <c r="O366" s="369" t="b">
        <v>1</v>
      </c>
      <c r="P366" s="369" t="b">
        <v>1</v>
      </c>
      <c r="Q366" s="387"/>
      <c r="R366" s="138" t="s">
        <v>687</v>
      </c>
      <c r="S366" s="65">
        <f t="shared" si="14"/>
        <v>-20</v>
      </c>
      <c r="T366" s="369" t="b">
        <v>1</v>
      </c>
      <c r="U366" s="388"/>
      <c r="V366" s="391" t="b">
        <v>0</v>
      </c>
      <c r="W366" s="391" t="b">
        <v>0</v>
      </c>
      <c r="X366" s="391" t="b">
        <v>0</v>
      </c>
    </row>
    <row r="367" ht="24.0" customHeight="1">
      <c r="A367" s="76" t="s">
        <v>502</v>
      </c>
      <c r="B367" s="383">
        <v>46182.0</v>
      </c>
      <c r="C367" s="384" t="s">
        <v>1307</v>
      </c>
      <c r="D367" s="116" t="s">
        <v>93</v>
      </c>
      <c r="E367" s="116" t="s">
        <v>503</v>
      </c>
      <c r="F367" s="388"/>
      <c r="G367" s="76" t="s">
        <v>210</v>
      </c>
      <c r="H367" s="385">
        <v>1.0</v>
      </c>
      <c r="I367" s="386">
        <f>IF(G367="", "", IFERROR(VLOOKUP(G367, Products!A:F, 4, FALSE), ""))
</f>
        <v>80</v>
      </c>
      <c r="J367" s="405">
        <v>0.0</v>
      </c>
      <c r="K367" s="54">
        <f t="shared" si="15"/>
        <v>80</v>
      </c>
      <c r="L367" s="387"/>
      <c r="M367" s="388"/>
      <c r="N367" s="46">
        <f t="shared" si="2"/>
        <v>80</v>
      </c>
      <c r="O367" s="369" t="b">
        <v>1</v>
      </c>
      <c r="P367" s="369" t="b">
        <v>1</v>
      </c>
      <c r="Q367" s="387">
        <v>80.0</v>
      </c>
      <c r="R367" s="138" t="s">
        <v>687</v>
      </c>
      <c r="S367" s="65">
        <f t="shared" si="14"/>
        <v>0</v>
      </c>
      <c r="T367" s="369" t="b">
        <v>1</v>
      </c>
      <c r="U367" s="388"/>
      <c r="V367" s="391" t="b">
        <v>0</v>
      </c>
      <c r="W367" s="391" t="b">
        <v>0</v>
      </c>
      <c r="X367" s="391" t="b">
        <v>0</v>
      </c>
    </row>
    <row r="368" ht="24.0" customHeight="1">
      <c r="A368" s="76" t="s">
        <v>502</v>
      </c>
      <c r="B368" s="383">
        <v>46182.0</v>
      </c>
      <c r="C368" s="384" t="s">
        <v>1307</v>
      </c>
      <c r="D368" s="116" t="s">
        <v>93</v>
      </c>
      <c r="E368" s="116" t="s">
        <v>503</v>
      </c>
      <c r="F368" s="388"/>
      <c r="G368" s="76" t="s">
        <v>122</v>
      </c>
      <c r="H368" s="385">
        <v>1.0</v>
      </c>
      <c r="I368" s="386">
        <f>IF(G368="", "", IFERROR(VLOOKUP(G368, Products!A:F, 4, FALSE), ""))
</f>
        <v>80</v>
      </c>
      <c r="J368" s="405">
        <v>0.0</v>
      </c>
      <c r="K368" s="54">
        <f t="shared" si="15"/>
        <v>80</v>
      </c>
      <c r="L368" s="387"/>
      <c r="M368" s="388"/>
      <c r="N368" s="46">
        <f t="shared" si="2"/>
        <v>80</v>
      </c>
      <c r="O368" s="369" t="b">
        <v>1</v>
      </c>
      <c r="P368" s="369" t="b">
        <v>1</v>
      </c>
      <c r="Q368" s="387">
        <v>80.0</v>
      </c>
      <c r="R368" s="138" t="s">
        <v>687</v>
      </c>
      <c r="S368" s="65">
        <f t="shared" si="14"/>
        <v>0</v>
      </c>
      <c r="T368" s="369" t="b">
        <v>1</v>
      </c>
      <c r="U368" s="388"/>
      <c r="V368" s="391" t="b">
        <v>0</v>
      </c>
      <c r="W368" s="391" t="b">
        <v>0</v>
      </c>
      <c r="X368" s="391" t="b">
        <v>0</v>
      </c>
    </row>
    <row r="369" ht="24.0" customHeight="1">
      <c r="A369" s="76" t="s">
        <v>502</v>
      </c>
      <c r="B369" s="383">
        <v>46182.0</v>
      </c>
      <c r="C369" s="384" t="s">
        <v>1307</v>
      </c>
      <c r="D369" s="116" t="s">
        <v>93</v>
      </c>
      <c r="E369" s="116" t="s">
        <v>503</v>
      </c>
      <c r="F369" s="388"/>
      <c r="G369" s="76" t="s">
        <v>187</v>
      </c>
      <c r="H369" s="385">
        <v>1.0</v>
      </c>
      <c r="I369" s="386">
        <f>IF(G369="", "", IFERROR(VLOOKUP(G369, Products!A:F, 4, FALSE), ""))
</f>
        <v>400</v>
      </c>
      <c r="J369" s="405">
        <v>0.0</v>
      </c>
      <c r="K369" s="54">
        <f t="shared" si="15"/>
        <v>400</v>
      </c>
      <c r="L369" s="387"/>
      <c r="M369" s="388"/>
      <c r="N369" s="46">
        <f t="shared" si="2"/>
        <v>400</v>
      </c>
      <c r="O369" s="369" t="b">
        <v>1</v>
      </c>
      <c r="P369" s="369" t="b">
        <v>1</v>
      </c>
      <c r="Q369" s="387">
        <v>400.0</v>
      </c>
      <c r="R369" s="138" t="s">
        <v>687</v>
      </c>
      <c r="S369" s="65">
        <f t="shared" si="14"/>
        <v>0</v>
      </c>
      <c r="T369" s="369" t="b">
        <v>1</v>
      </c>
      <c r="U369" s="388"/>
      <c r="V369" s="391" t="b">
        <v>0</v>
      </c>
      <c r="W369" s="391" t="b">
        <v>0</v>
      </c>
      <c r="X369" s="391" t="b">
        <v>0</v>
      </c>
    </row>
    <row r="370" ht="24.0" customHeight="1">
      <c r="A370" s="76" t="s">
        <v>502</v>
      </c>
      <c r="B370" s="383">
        <v>46182.0</v>
      </c>
      <c r="C370" s="384" t="s">
        <v>1307</v>
      </c>
      <c r="D370" s="116" t="s">
        <v>93</v>
      </c>
      <c r="E370" s="116" t="s">
        <v>503</v>
      </c>
      <c r="F370" s="388"/>
      <c r="G370" s="76" t="s">
        <v>190</v>
      </c>
      <c r="H370" s="385">
        <v>1.0</v>
      </c>
      <c r="I370" s="386">
        <f>IF(G370="", "", IFERROR(VLOOKUP(G370, Products!A:F, 4, FALSE), ""))
</f>
        <v>200</v>
      </c>
      <c r="J370" s="405">
        <v>0.0</v>
      </c>
      <c r="K370" s="54">
        <f t="shared" si="15"/>
        <v>200</v>
      </c>
      <c r="L370" s="387">
        <v>100.0</v>
      </c>
      <c r="M370" s="138" t="s">
        <v>73</v>
      </c>
      <c r="N370" s="46">
        <f t="shared" si="2"/>
        <v>100</v>
      </c>
      <c r="O370" s="369" t="b">
        <v>1</v>
      </c>
      <c r="P370" s="369" t="b">
        <v>1</v>
      </c>
      <c r="Q370" s="387">
        <v>100.0</v>
      </c>
      <c r="R370" s="138" t="s">
        <v>687</v>
      </c>
      <c r="S370" s="65">
        <f t="shared" si="14"/>
        <v>0</v>
      </c>
      <c r="T370" s="369" t="b">
        <v>1</v>
      </c>
      <c r="U370" s="388"/>
      <c r="V370" s="391" t="b">
        <v>0</v>
      </c>
      <c r="W370" s="391" t="b">
        <v>0</v>
      </c>
      <c r="X370" s="391" t="b">
        <v>0</v>
      </c>
    </row>
    <row r="371" ht="24.0" customHeight="1">
      <c r="A371" s="76" t="s">
        <v>502</v>
      </c>
      <c r="B371" s="383">
        <v>46182.0</v>
      </c>
      <c r="C371" s="384" t="s">
        <v>1307</v>
      </c>
      <c r="D371" s="116" t="s">
        <v>93</v>
      </c>
      <c r="E371" s="116" t="s">
        <v>503</v>
      </c>
      <c r="F371" s="388"/>
      <c r="G371" s="76" t="s">
        <v>207</v>
      </c>
      <c r="H371" s="385">
        <v>1.0</v>
      </c>
      <c r="I371" s="386">
        <f>IF(G371="", "", IFERROR(VLOOKUP(G371, Products!A:F, 4, FALSE), ""))
</f>
        <v>80</v>
      </c>
      <c r="J371" s="405">
        <v>0.0</v>
      </c>
      <c r="K371" s="54">
        <f t="shared" si="15"/>
        <v>80</v>
      </c>
      <c r="L371" s="387">
        <v>50.0</v>
      </c>
      <c r="M371" s="138" t="s">
        <v>73</v>
      </c>
      <c r="N371" s="46">
        <f t="shared" si="2"/>
        <v>30</v>
      </c>
      <c r="O371" s="369" t="b">
        <v>1</v>
      </c>
      <c r="P371" s="369" t="b">
        <v>1</v>
      </c>
      <c r="Q371" s="387">
        <v>30.0</v>
      </c>
      <c r="R371" s="138" t="s">
        <v>687</v>
      </c>
      <c r="S371" s="65">
        <f t="shared" si="14"/>
        <v>0</v>
      </c>
      <c r="T371" s="369" t="b">
        <v>1</v>
      </c>
      <c r="U371" s="388"/>
      <c r="V371" s="391" t="b">
        <v>0</v>
      </c>
      <c r="W371" s="391" t="b">
        <v>0</v>
      </c>
      <c r="X371" s="391" t="b">
        <v>0</v>
      </c>
    </row>
    <row r="372" ht="24.0" customHeight="1">
      <c r="A372" s="76" t="s">
        <v>502</v>
      </c>
      <c r="B372" s="383">
        <v>46182.0</v>
      </c>
      <c r="C372" s="384" t="s">
        <v>1307</v>
      </c>
      <c r="D372" s="116" t="s">
        <v>93</v>
      </c>
      <c r="E372" s="116" t="s">
        <v>503</v>
      </c>
      <c r="F372" s="388"/>
      <c r="G372" s="76" t="s">
        <v>205</v>
      </c>
      <c r="H372" s="385">
        <v>1.0</v>
      </c>
      <c r="I372" s="386">
        <f>IF(G372="", "", IFERROR(VLOOKUP(G372, Products!A:F, 4, FALSE), ""))
</f>
        <v>100</v>
      </c>
      <c r="J372" s="405">
        <v>0.0</v>
      </c>
      <c r="K372" s="54">
        <f t="shared" si="15"/>
        <v>100</v>
      </c>
      <c r="L372" s="387"/>
      <c r="M372" s="388"/>
      <c r="N372" s="46">
        <f t="shared" si="2"/>
        <v>100</v>
      </c>
      <c r="O372" s="369" t="b">
        <v>1</v>
      </c>
      <c r="P372" s="369" t="b">
        <v>1</v>
      </c>
      <c r="Q372" s="387">
        <v>100.0</v>
      </c>
      <c r="R372" s="138" t="s">
        <v>687</v>
      </c>
      <c r="S372" s="65">
        <f t="shared" si="14"/>
        <v>0</v>
      </c>
      <c r="T372" s="369" t="b">
        <v>1</v>
      </c>
      <c r="U372" s="388"/>
      <c r="V372" s="391" t="b">
        <v>0</v>
      </c>
      <c r="W372" s="391" t="b">
        <v>0</v>
      </c>
      <c r="X372" s="391" t="b">
        <v>0</v>
      </c>
    </row>
    <row r="373" ht="24.0" customHeight="1">
      <c r="A373" s="76" t="s">
        <v>502</v>
      </c>
      <c r="B373" s="383">
        <v>46182.0</v>
      </c>
      <c r="C373" s="384" t="s">
        <v>1307</v>
      </c>
      <c r="D373" s="116" t="s">
        <v>93</v>
      </c>
      <c r="E373" s="116" t="s">
        <v>503</v>
      </c>
      <c r="F373" s="388"/>
      <c r="G373" s="76" t="s">
        <v>222</v>
      </c>
      <c r="H373" s="385">
        <v>1.0</v>
      </c>
      <c r="I373" s="386">
        <v>80.0</v>
      </c>
      <c r="J373" s="405">
        <v>0.0</v>
      </c>
      <c r="K373" s="54">
        <f t="shared" si="15"/>
        <v>80</v>
      </c>
      <c r="L373" s="387"/>
      <c r="M373" s="388"/>
      <c r="N373" s="46">
        <f t="shared" si="2"/>
        <v>80</v>
      </c>
      <c r="O373" s="369" t="b">
        <v>1</v>
      </c>
      <c r="P373" s="369" t="b">
        <v>1</v>
      </c>
      <c r="Q373" s="387">
        <v>80.0</v>
      </c>
      <c r="R373" s="138" t="s">
        <v>687</v>
      </c>
      <c r="S373" s="65">
        <f t="shared" si="14"/>
        <v>0</v>
      </c>
      <c r="T373" s="369" t="b">
        <v>1</v>
      </c>
      <c r="U373" s="388"/>
      <c r="V373" s="391" t="b">
        <v>0</v>
      </c>
      <c r="W373" s="391" t="b">
        <v>0</v>
      </c>
      <c r="X373" s="391" t="b">
        <v>0</v>
      </c>
    </row>
    <row r="374" ht="24.0" customHeight="1">
      <c r="A374" s="76" t="s">
        <v>502</v>
      </c>
      <c r="B374" s="383">
        <v>46182.0</v>
      </c>
      <c r="C374" s="384" t="s">
        <v>1307</v>
      </c>
      <c r="D374" s="116" t="s">
        <v>93</v>
      </c>
      <c r="E374" s="116" t="s">
        <v>503</v>
      </c>
      <c r="F374" s="388"/>
      <c r="G374" s="76" t="s">
        <v>185</v>
      </c>
      <c r="H374" s="385">
        <v>1.0</v>
      </c>
      <c r="I374" s="386">
        <f>IF(G374="", "", IFERROR(VLOOKUP(G374, Products!A:F, 4, FALSE), ""))
</f>
        <v>80</v>
      </c>
      <c r="J374" s="405">
        <v>0.0</v>
      </c>
      <c r="K374" s="54">
        <f t="shared" si="15"/>
        <v>80</v>
      </c>
      <c r="L374" s="387"/>
      <c r="M374" s="388"/>
      <c r="N374" s="46">
        <f t="shared" si="2"/>
        <v>80</v>
      </c>
      <c r="O374" s="369" t="b">
        <v>1</v>
      </c>
      <c r="P374" s="369" t="b">
        <v>1</v>
      </c>
      <c r="Q374" s="387">
        <v>80.0</v>
      </c>
      <c r="R374" s="138" t="s">
        <v>687</v>
      </c>
      <c r="S374" s="65">
        <f t="shared" si="14"/>
        <v>0</v>
      </c>
      <c r="T374" s="369" t="b">
        <v>1</v>
      </c>
      <c r="U374" s="388"/>
      <c r="V374" s="391" t="b">
        <v>0</v>
      </c>
      <c r="W374" s="391" t="b">
        <v>0</v>
      </c>
      <c r="X374" s="391" t="b">
        <v>0</v>
      </c>
    </row>
    <row r="375" ht="24.0" customHeight="1">
      <c r="A375" s="76" t="s">
        <v>502</v>
      </c>
      <c r="B375" s="383">
        <v>46182.0</v>
      </c>
      <c r="C375" s="384" t="s">
        <v>1307</v>
      </c>
      <c r="D375" s="116" t="s">
        <v>93</v>
      </c>
      <c r="E375" s="116" t="s">
        <v>503</v>
      </c>
      <c r="F375" s="388"/>
      <c r="G375" s="44" t="s">
        <v>168</v>
      </c>
      <c r="H375" s="385">
        <v>1.0</v>
      </c>
      <c r="I375" s="386">
        <f>IF(G375="", "", IFERROR(VLOOKUP(G375, Products!A:F, 4, FALSE), ""))
</f>
        <v>80</v>
      </c>
      <c r="J375" s="405">
        <v>0.0</v>
      </c>
      <c r="K375" s="54">
        <f t="shared" si="15"/>
        <v>80</v>
      </c>
      <c r="L375" s="387"/>
      <c r="M375" s="388"/>
      <c r="N375" s="46">
        <f t="shared" si="2"/>
        <v>80</v>
      </c>
      <c r="O375" s="369" t="b">
        <v>1</v>
      </c>
      <c r="P375" s="369" t="b">
        <v>1</v>
      </c>
      <c r="Q375" s="387">
        <v>80.0</v>
      </c>
      <c r="R375" s="138" t="s">
        <v>687</v>
      </c>
      <c r="S375" s="65">
        <f t="shared" si="14"/>
        <v>0</v>
      </c>
      <c r="T375" s="369" t="b">
        <v>1</v>
      </c>
      <c r="U375" s="388"/>
      <c r="V375" s="391" t="b">
        <v>0</v>
      </c>
      <c r="W375" s="391" t="b">
        <v>0</v>
      </c>
      <c r="X375" s="391" t="b">
        <v>0</v>
      </c>
    </row>
    <row r="376" ht="24.0" customHeight="1">
      <c r="A376" s="76" t="s">
        <v>502</v>
      </c>
      <c r="B376" s="383">
        <v>46182.0</v>
      </c>
      <c r="C376" s="384" t="s">
        <v>1307</v>
      </c>
      <c r="D376" s="116" t="s">
        <v>93</v>
      </c>
      <c r="E376" s="116" t="s">
        <v>503</v>
      </c>
      <c r="F376" s="388"/>
      <c r="G376" s="44" t="s">
        <v>104</v>
      </c>
      <c r="H376" s="385">
        <v>1.0</v>
      </c>
      <c r="I376" s="386">
        <f>IF(G376="", "", IFERROR(VLOOKUP(G376, Products!A:F, 4, FALSE), ""))
</f>
        <v>80</v>
      </c>
      <c r="J376" s="405">
        <v>0.0</v>
      </c>
      <c r="K376" s="54">
        <f t="shared" si="15"/>
        <v>80</v>
      </c>
      <c r="L376" s="387"/>
      <c r="M376" s="388"/>
      <c r="N376" s="46">
        <f t="shared" si="2"/>
        <v>80</v>
      </c>
      <c r="O376" s="369" t="b">
        <v>1</v>
      </c>
      <c r="P376" s="369" t="b">
        <v>1</v>
      </c>
      <c r="Q376" s="387">
        <v>80.0</v>
      </c>
      <c r="R376" s="138" t="s">
        <v>687</v>
      </c>
      <c r="S376" s="65">
        <f t="shared" si="14"/>
        <v>0</v>
      </c>
      <c r="T376" s="369" t="b">
        <v>1</v>
      </c>
      <c r="U376" s="388"/>
      <c r="V376" s="391" t="b">
        <v>0</v>
      </c>
      <c r="W376" s="391" t="b">
        <v>0</v>
      </c>
      <c r="X376" s="391" t="b">
        <v>0</v>
      </c>
    </row>
    <row r="377" ht="24.0" customHeight="1">
      <c r="A377" s="76" t="s">
        <v>502</v>
      </c>
      <c r="B377" s="383">
        <v>46182.0</v>
      </c>
      <c r="C377" s="384" t="s">
        <v>1307</v>
      </c>
      <c r="D377" s="116" t="s">
        <v>93</v>
      </c>
      <c r="E377" s="116" t="s">
        <v>503</v>
      </c>
      <c r="F377" s="388"/>
      <c r="G377" s="76" t="s">
        <v>153</v>
      </c>
      <c r="H377" s="385">
        <v>1.0</v>
      </c>
      <c r="I377" s="386">
        <f>IF(G377="", "", IFERROR(VLOOKUP(G377, Products!A:F, 4, FALSE), ""))
</f>
        <v>80</v>
      </c>
      <c r="J377" s="405">
        <v>0.0</v>
      </c>
      <c r="K377" s="54">
        <f t="shared" si="15"/>
        <v>80</v>
      </c>
      <c r="L377" s="387"/>
      <c r="M377" s="388"/>
      <c r="N377" s="46">
        <f t="shared" si="2"/>
        <v>80</v>
      </c>
      <c r="O377" s="369" t="b">
        <v>1</v>
      </c>
      <c r="P377" s="369" t="b">
        <v>1</v>
      </c>
      <c r="Q377" s="387">
        <v>80.0</v>
      </c>
      <c r="R377" s="138" t="s">
        <v>687</v>
      </c>
      <c r="S377" s="65">
        <f t="shared" si="14"/>
        <v>0</v>
      </c>
      <c r="T377" s="369" t="b">
        <v>1</v>
      </c>
      <c r="U377" s="388"/>
      <c r="V377" s="391" t="b">
        <v>0</v>
      </c>
      <c r="W377" s="391" t="b">
        <v>0</v>
      </c>
      <c r="X377" s="391" t="b">
        <v>0</v>
      </c>
    </row>
    <row r="378" ht="24.0" customHeight="1">
      <c r="A378" s="76" t="s">
        <v>502</v>
      </c>
      <c r="B378" s="383">
        <v>46182.0</v>
      </c>
      <c r="C378" s="384" t="s">
        <v>1307</v>
      </c>
      <c r="D378" s="116" t="s">
        <v>93</v>
      </c>
      <c r="E378" s="116" t="s">
        <v>503</v>
      </c>
      <c r="F378" s="388"/>
      <c r="G378" s="76" t="s">
        <v>212</v>
      </c>
      <c r="H378" s="385">
        <v>1.0</v>
      </c>
      <c r="I378" s="386">
        <f>IF(G378="", "", IFERROR(VLOOKUP(G378, Products!A:F, 4, FALSE), ""))
</f>
        <v>80</v>
      </c>
      <c r="J378" s="405">
        <v>0.0</v>
      </c>
      <c r="K378" s="54">
        <f t="shared" si="15"/>
        <v>80</v>
      </c>
      <c r="L378" s="387"/>
      <c r="M378" s="388"/>
      <c r="N378" s="46">
        <f t="shared" si="2"/>
        <v>80</v>
      </c>
      <c r="O378" s="369" t="b">
        <v>1</v>
      </c>
      <c r="P378" s="369" t="b">
        <v>1</v>
      </c>
      <c r="Q378" s="387">
        <v>80.0</v>
      </c>
      <c r="R378" s="138" t="s">
        <v>687</v>
      </c>
      <c r="S378" s="65">
        <f t="shared" si="14"/>
        <v>0</v>
      </c>
      <c r="T378" s="369" t="b">
        <v>1</v>
      </c>
      <c r="U378" s="388"/>
      <c r="V378" s="391" t="b">
        <v>0</v>
      </c>
      <c r="W378" s="391" t="b">
        <v>0</v>
      </c>
      <c r="X378" s="391" t="b">
        <v>0</v>
      </c>
    </row>
    <row r="379" ht="24.0" customHeight="1">
      <c r="A379" s="76" t="s">
        <v>527</v>
      </c>
      <c r="B379" s="383">
        <v>46183.0</v>
      </c>
      <c r="C379" s="384" t="s">
        <v>1308</v>
      </c>
      <c r="D379" s="91" t="s">
        <v>188</v>
      </c>
      <c r="E379" s="92"/>
      <c r="F379" s="388"/>
      <c r="G379" s="76" t="s">
        <v>187</v>
      </c>
      <c r="H379" s="385">
        <v>1.0</v>
      </c>
      <c r="I379" s="386">
        <f>IF(G379="", "", IFERROR(VLOOKUP(G379, Products!A:F, 4, FALSE), ""))
</f>
        <v>400</v>
      </c>
      <c r="J379" s="405">
        <v>0.0</v>
      </c>
      <c r="K379" s="54">
        <f t="shared" si="15"/>
        <v>400</v>
      </c>
      <c r="L379" s="387">
        <v>340.0</v>
      </c>
      <c r="M379" s="138" t="s">
        <v>73</v>
      </c>
      <c r="N379" s="46">
        <f t="shared" si="2"/>
        <v>60</v>
      </c>
      <c r="O379" s="369" t="b">
        <v>1</v>
      </c>
      <c r="P379" s="369" t="b">
        <v>1</v>
      </c>
      <c r="Q379" s="387">
        <v>60.0</v>
      </c>
      <c r="R379" s="138" t="s">
        <v>687</v>
      </c>
      <c r="S379" s="65">
        <f t="shared" si="14"/>
        <v>0</v>
      </c>
      <c r="T379" s="369" t="b">
        <v>0</v>
      </c>
      <c r="U379" s="388"/>
      <c r="V379" s="391" t="b">
        <v>0</v>
      </c>
      <c r="W379" s="391" t="b">
        <v>0</v>
      </c>
      <c r="X379" s="391" t="b">
        <v>0</v>
      </c>
    </row>
    <row r="380" ht="24.0" customHeight="1">
      <c r="A380" s="76" t="s">
        <v>527</v>
      </c>
      <c r="B380" s="383">
        <v>46183.0</v>
      </c>
      <c r="C380" s="384" t="s">
        <v>1308</v>
      </c>
      <c r="D380" s="91" t="s">
        <v>188</v>
      </c>
      <c r="E380" s="92"/>
      <c r="F380" s="388"/>
      <c r="G380" s="76" t="s">
        <v>190</v>
      </c>
      <c r="H380" s="385">
        <v>1.0</v>
      </c>
      <c r="I380" s="386">
        <f>IF(G380="", "", IFERROR(VLOOKUP(G380, Products!A:F, 4, FALSE), ""))
</f>
        <v>200</v>
      </c>
      <c r="J380" s="405">
        <v>0.0</v>
      </c>
      <c r="K380" s="54">
        <f t="shared" si="15"/>
        <v>200</v>
      </c>
      <c r="L380" s="387"/>
      <c r="M380" s="388"/>
      <c r="N380" s="46">
        <f t="shared" si="2"/>
        <v>200</v>
      </c>
      <c r="O380" s="369" t="b">
        <v>1</v>
      </c>
      <c r="P380" s="369" t="b">
        <v>1</v>
      </c>
      <c r="Q380" s="387">
        <v>200.0</v>
      </c>
      <c r="R380" s="138" t="s">
        <v>687</v>
      </c>
      <c r="S380" s="65">
        <f t="shared" si="14"/>
        <v>0</v>
      </c>
      <c r="T380" s="369" t="b">
        <v>0</v>
      </c>
      <c r="U380" s="388"/>
      <c r="V380" s="391" t="b">
        <v>0</v>
      </c>
      <c r="W380" s="391" t="b">
        <v>0</v>
      </c>
      <c r="X380" s="391" t="b">
        <v>0</v>
      </c>
    </row>
    <row r="381" ht="24.0" customHeight="1">
      <c r="A381" s="76" t="s">
        <v>527</v>
      </c>
      <c r="B381" s="383">
        <v>46183.0</v>
      </c>
      <c r="C381" s="384" t="s">
        <v>1308</v>
      </c>
      <c r="D381" s="91" t="s">
        <v>188</v>
      </c>
      <c r="E381" s="92"/>
      <c r="F381" s="388"/>
      <c r="G381" s="76" t="s">
        <v>122</v>
      </c>
      <c r="H381" s="385">
        <v>1.0</v>
      </c>
      <c r="I381" s="386">
        <f>IF(G381="", "", IFERROR(VLOOKUP(G381, Products!A:F, 4, FALSE), ""))
</f>
        <v>80</v>
      </c>
      <c r="J381" s="405">
        <v>0.0</v>
      </c>
      <c r="K381" s="54">
        <f t="shared" si="15"/>
        <v>80</v>
      </c>
      <c r="L381" s="387"/>
      <c r="M381" s="388"/>
      <c r="N381" s="46">
        <f t="shared" si="2"/>
        <v>80</v>
      </c>
      <c r="O381" s="369" t="b">
        <v>1</v>
      </c>
      <c r="P381" s="369" t="b">
        <v>1</v>
      </c>
      <c r="Q381" s="387">
        <v>80.0</v>
      </c>
      <c r="R381" s="138" t="s">
        <v>687</v>
      </c>
      <c r="S381" s="65">
        <f t="shared" si="14"/>
        <v>0</v>
      </c>
      <c r="T381" s="369" t="b">
        <v>0</v>
      </c>
      <c r="U381" s="388"/>
      <c r="V381" s="391" t="b">
        <v>0</v>
      </c>
      <c r="W381" s="391" t="b">
        <v>0</v>
      </c>
      <c r="X381" s="391" t="b">
        <v>0</v>
      </c>
    </row>
    <row r="382" ht="24.0" customHeight="1">
      <c r="A382" s="76" t="s">
        <v>518</v>
      </c>
      <c r="B382" s="383">
        <v>46183.0</v>
      </c>
      <c r="C382" s="384" t="s">
        <v>1309</v>
      </c>
      <c r="D382" s="116" t="s">
        <v>195</v>
      </c>
      <c r="E382" s="399"/>
      <c r="F382" s="388"/>
      <c r="G382" s="76" t="s">
        <v>122</v>
      </c>
      <c r="H382" s="385">
        <v>2.0</v>
      </c>
      <c r="I382" s="386">
        <f>IF(G382="", "", IFERROR(VLOOKUP(G382, Products!A:F, 4, FALSE), ""))
</f>
        <v>80</v>
      </c>
      <c r="J382" s="405">
        <v>0.0</v>
      </c>
      <c r="K382" s="54">
        <f t="shared" si="15"/>
        <v>160</v>
      </c>
      <c r="L382" s="387">
        <v>150.0</v>
      </c>
      <c r="M382" s="138" t="s">
        <v>73</v>
      </c>
      <c r="N382" s="46">
        <f t="shared" si="2"/>
        <v>10</v>
      </c>
      <c r="O382" s="369" t="b">
        <v>1</v>
      </c>
      <c r="P382" s="369" t="b">
        <v>1</v>
      </c>
      <c r="Q382" s="387">
        <v>10.0</v>
      </c>
      <c r="R382" s="138" t="s">
        <v>687</v>
      </c>
      <c r="S382" s="65">
        <f t="shared" si="14"/>
        <v>0</v>
      </c>
      <c r="T382" s="369" t="b">
        <v>1</v>
      </c>
      <c r="U382" s="388"/>
      <c r="V382" s="391" t="b">
        <v>0</v>
      </c>
      <c r="W382" s="391" t="b">
        <v>0</v>
      </c>
      <c r="X382" s="391" t="b">
        <v>0</v>
      </c>
    </row>
    <row r="383" ht="24.0" customHeight="1">
      <c r="A383" s="76" t="s">
        <v>511</v>
      </c>
      <c r="B383" s="383">
        <v>46183.0</v>
      </c>
      <c r="C383" s="384" t="s">
        <v>1310</v>
      </c>
      <c r="D383" s="116" t="s">
        <v>53</v>
      </c>
      <c r="E383" s="116" t="s">
        <v>620</v>
      </c>
      <c r="F383" s="388"/>
      <c r="G383" s="76" t="s">
        <v>187</v>
      </c>
      <c r="H383" s="385">
        <v>2.0</v>
      </c>
      <c r="I383" s="386">
        <f>IF(G383="", "", IFERROR(VLOOKUP(G383, Products!A:F, 4, FALSE), ""))
</f>
        <v>400</v>
      </c>
      <c r="J383" s="386">
        <v>0.0</v>
      </c>
      <c r="K383" s="54">
        <f t="shared" si="15"/>
        <v>800</v>
      </c>
      <c r="L383" s="387">
        <v>700.0</v>
      </c>
      <c r="M383" s="138" t="s">
        <v>73</v>
      </c>
      <c r="N383" s="46">
        <f t="shared" si="2"/>
        <v>100</v>
      </c>
      <c r="O383" s="369" t="b">
        <v>1</v>
      </c>
      <c r="P383" s="369" t="b">
        <v>1</v>
      </c>
      <c r="Q383" s="387">
        <v>100.0</v>
      </c>
      <c r="R383" s="138" t="s">
        <v>687</v>
      </c>
      <c r="S383" s="65">
        <f t="shared" si="14"/>
        <v>0</v>
      </c>
      <c r="T383" s="369" t="b">
        <v>1</v>
      </c>
      <c r="U383" s="388"/>
      <c r="V383" s="391" t="b">
        <v>0</v>
      </c>
      <c r="W383" s="391" t="b">
        <v>0</v>
      </c>
      <c r="X383" s="391" t="b">
        <v>0</v>
      </c>
    </row>
    <row r="384" ht="24.0" customHeight="1">
      <c r="A384" s="76" t="s">
        <v>227</v>
      </c>
      <c r="B384" s="383">
        <v>46183.0</v>
      </c>
      <c r="C384" s="384" t="s">
        <v>1311</v>
      </c>
      <c r="D384" s="116" t="s">
        <v>228</v>
      </c>
      <c r="E384" s="399"/>
      <c r="F384" s="388"/>
      <c r="G384" s="76" t="s">
        <v>187</v>
      </c>
      <c r="H384" s="385">
        <v>2.0</v>
      </c>
      <c r="I384" s="386">
        <f>IF(G384="", "", IFERROR(VLOOKUP(G384, Products!A:F, 4, FALSE), ""))
</f>
        <v>400</v>
      </c>
      <c r="J384" s="405">
        <v>0.0</v>
      </c>
      <c r="K384" s="54">
        <f t="shared" si="15"/>
        <v>800</v>
      </c>
      <c r="L384" s="387">
        <v>300.0</v>
      </c>
      <c r="M384" s="138" t="s">
        <v>73</v>
      </c>
      <c r="N384" s="46">
        <f t="shared" si="2"/>
        <v>500</v>
      </c>
      <c r="O384" s="369" t="b">
        <v>1</v>
      </c>
      <c r="P384" s="369" t="b">
        <v>1</v>
      </c>
      <c r="Q384" s="387">
        <v>500.0</v>
      </c>
      <c r="R384" s="138" t="s">
        <v>687</v>
      </c>
      <c r="S384" s="65">
        <f t="shared" si="14"/>
        <v>0</v>
      </c>
      <c r="T384" s="369" t="b">
        <v>1</v>
      </c>
      <c r="U384" s="388"/>
      <c r="V384" s="391" t="b">
        <v>0</v>
      </c>
      <c r="W384" s="391" t="b">
        <v>0</v>
      </c>
      <c r="X384" s="391" t="b">
        <v>0</v>
      </c>
    </row>
    <row r="385" ht="24.0" customHeight="1">
      <c r="A385" s="76" t="s">
        <v>227</v>
      </c>
      <c r="B385" s="383">
        <v>46183.0</v>
      </c>
      <c r="C385" s="384" t="s">
        <v>1311</v>
      </c>
      <c r="D385" s="116" t="s">
        <v>228</v>
      </c>
      <c r="E385" s="399"/>
      <c r="F385" s="388"/>
      <c r="G385" s="76" t="s">
        <v>190</v>
      </c>
      <c r="H385" s="385">
        <v>2.0</v>
      </c>
      <c r="I385" s="386">
        <f>IF(G385="", "", IFERROR(VLOOKUP(G385, Products!A:F, 4, FALSE), ""))
</f>
        <v>200</v>
      </c>
      <c r="J385" s="405">
        <v>0.0</v>
      </c>
      <c r="K385" s="54">
        <f t="shared" si="15"/>
        <v>400</v>
      </c>
      <c r="L385" s="387">
        <v>200.0</v>
      </c>
      <c r="M385" s="138" t="s">
        <v>73</v>
      </c>
      <c r="N385" s="46">
        <f t="shared" si="2"/>
        <v>200</v>
      </c>
      <c r="O385" s="369" t="b">
        <v>1</v>
      </c>
      <c r="P385" s="369" t="b">
        <v>1</v>
      </c>
      <c r="Q385" s="387">
        <v>200.0</v>
      </c>
      <c r="R385" s="138" t="s">
        <v>687</v>
      </c>
      <c r="S385" s="65">
        <f t="shared" si="14"/>
        <v>0</v>
      </c>
      <c r="T385" s="369" t="b">
        <v>1</v>
      </c>
      <c r="U385" s="388"/>
      <c r="V385" s="391" t="b">
        <v>0</v>
      </c>
      <c r="W385" s="391" t="b">
        <v>0</v>
      </c>
      <c r="X385" s="391" t="b">
        <v>0</v>
      </c>
    </row>
    <row r="386" ht="24.0" customHeight="1">
      <c r="A386" s="76" t="s">
        <v>513</v>
      </c>
      <c r="B386" s="383">
        <v>46183.0</v>
      </c>
      <c r="C386" s="384" t="s">
        <v>1312</v>
      </c>
      <c r="D386" s="116" t="s">
        <v>93</v>
      </c>
      <c r="E386" s="116" t="s">
        <v>580</v>
      </c>
      <c r="F386" s="388"/>
      <c r="G386" s="76" t="s">
        <v>63</v>
      </c>
      <c r="H386" s="385">
        <v>1.0</v>
      </c>
      <c r="I386" s="386">
        <f>IF(G386="", "", IFERROR(VLOOKUP(G386, Products!A:F, 4, FALSE), ""))
</f>
        <v>850</v>
      </c>
      <c r="J386" s="405">
        <v>0.0</v>
      </c>
      <c r="K386" s="54">
        <f t="shared" si="15"/>
        <v>850</v>
      </c>
      <c r="L386" s="387">
        <v>850.0</v>
      </c>
      <c r="M386" s="138" t="s">
        <v>73</v>
      </c>
      <c r="N386" s="46">
        <f t="shared" si="2"/>
        <v>0</v>
      </c>
      <c r="O386" s="369" t="b">
        <v>1</v>
      </c>
      <c r="P386" s="369" t="b">
        <v>1</v>
      </c>
      <c r="Q386" s="387"/>
      <c r="R386" s="138" t="s">
        <v>687</v>
      </c>
      <c r="S386" s="65">
        <f t="shared" si="14"/>
        <v>0</v>
      </c>
      <c r="T386" s="369" t="b">
        <v>1</v>
      </c>
      <c r="U386" s="388"/>
      <c r="V386" s="391" t="b">
        <v>0</v>
      </c>
      <c r="W386" s="391" t="b">
        <v>0</v>
      </c>
      <c r="X386" s="391" t="b">
        <v>0</v>
      </c>
    </row>
    <row r="387" ht="24.0" customHeight="1">
      <c r="A387" s="76" t="s">
        <v>513</v>
      </c>
      <c r="B387" s="383">
        <v>46183.0</v>
      </c>
      <c r="C387" s="384" t="s">
        <v>1312</v>
      </c>
      <c r="D387" s="116" t="s">
        <v>93</v>
      </c>
      <c r="E387" s="116" t="s">
        <v>580</v>
      </c>
      <c r="F387" s="388"/>
      <c r="G387" s="76" t="s">
        <v>201</v>
      </c>
      <c r="H387" s="385">
        <v>1.0</v>
      </c>
      <c r="I387" s="386">
        <f>IF(G387="", "", IFERROR(VLOOKUP(G387, Products!A:F, 4, FALSE), ""))
</f>
        <v>80</v>
      </c>
      <c r="J387" s="405">
        <v>0.0</v>
      </c>
      <c r="K387" s="54">
        <f t="shared" si="15"/>
        <v>80</v>
      </c>
      <c r="L387" s="387">
        <v>100.0</v>
      </c>
      <c r="M387" s="138" t="s">
        <v>73</v>
      </c>
      <c r="N387" s="46">
        <f t="shared" si="2"/>
        <v>-20</v>
      </c>
      <c r="O387" s="369" t="b">
        <v>1</v>
      </c>
      <c r="P387" s="369" t="b">
        <v>1</v>
      </c>
      <c r="Q387" s="387"/>
      <c r="R387" s="138" t="s">
        <v>687</v>
      </c>
      <c r="S387" s="65">
        <f t="shared" si="14"/>
        <v>-20</v>
      </c>
      <c r="T387" s="369" t="b">
        <v>1</v>
      </c>
      <c r="U387" s="388"/>
      <c r="V387" s="391" t="b">
        <v>0</v>
      </c>
      <c r="W387" s="391" t="b">
        <v>0</v>
      </c>
      <c r="X387" s="391" t="b">
        <v>0</v>
      </c>
    </row>
    <row r="388" ht="24.0" customHeight="1">
      <c r="A388" s="76" t="s">
        <v>513</v>
      </c>
      <c r="B388" s="383">
        <v>46183.0</v>
      </c>
      <c r="C388" s="384" t="s">
        <v>1312</v>
      </c>
      <c r="D388" s="116" t="s">
        <v>93</v>
      </c>
      <c r="E388" s="116" t="s">
        <v>580</v>
      </c>
      <c r="F388" s="388"/>
      <c r="G388" s="76" t="s">
        <v>210</v>
      </c>
      <c r="H388" s="385">
        <v>1.0</v>
      </c>
      <c r="I388" s="386">
        <f>IF(G388="", "", IFERROR(VLOOKUP(G388, Products!A:F, 4, FALSE), ""))
</f>
        <v>80</v>
      </c>
      <c r="J388" s="405">
        <v>0.0</v>
      </c>
      <c r="K388" s="54">
        <f t="shared" si="15"/>
        <v>80</v>
      </c>
      <c r="L388" s="387">
        <v>80.0</v>
      </c>
      <c r="M388" s="138" t="s">
        <v>73</v>
      </c>
      <c r="N388" s="46">
        <f t="shared" si="2"/>
        <v>0</v>
      </c>
      <c r="O388" s="369" t="b">
        <v>1</v>
      </c>
      <c r="P388" s="369" t="b">
        <v>1</v>
      </c>
      <c r="Q388" s="387"/>
      <c r="R388" s="138" t="s">
        <v>687</v>
      </c>
      <c r="S388" s="65">
        <f t="shared" si="14"/>
        <v>0</v>
      </c>
      <c r="T388" s="369" t="b">
        <v>1</v>
      </c>
      <c r="U388" s="388"/>
      <c r="V388" s="391" t="b">
        <v>0</v>
      </c>
      <c r="W388" s="391" t="b">
        <v>0</v>
      </c>
      <c r="X388" s="391" t="b">
        <v>0</v>
      </c>
    </row>
    <row r="389" ht="24.0" customHeight="1">
      <c r="A389" s="76" t="s">
        <v>513</v>
      </c>
      <c r="B389" s="383">
        <v>46183.0</v>
      </c>
      <c r="C389" s="384" t="s">
        <v>1312</v>
      </c>
      <c r="D389" s="116" t="s">
        <v>93</v>
      </c>
      <c r="E389" s="116" t="s">
        <v>580</v>
      </c>
      <c r="F389" s="388"/>
      <c r="G389" s="76" t="s">
        <v>122</v>
      </c>
      <c r="H389" s="385">
        <v>1.0</v>
      </c>
      <c r="I389" s="386">
        <f>IF(G389="", "", IFERROR(VLOOKUP(G389, Products!A:F, 4, FALSE), ""))
</f>
        <v>80</v>
      </c>
      <c r="J389" s="405">
        <v>0.0</v>
      </c>
      <c r="K389" s="54">
        <f t="shared" si="15"/>
        <v>80</v>
      </c>
      <c r="L389" s="387">
        <v>5.0</v>
      </c>
      <c r="M389" s="138" t="s">
        <v>73</v>
      </c>
      <c r="N389" s="46">
        <f t="shared" si="2"/>
        <v>75</v>
      </c>
      <c r="O389" s="369" t="b">
        <v>1</v>
      </c>
      <c r="P389" s="369" t="b">
        <v>1</v>
      </c>
      <c r="Q389" s="387">
        <v>75.0</v>
      </c>
      <c r="R389" s="138" t="s">
        <v>687</v>
      </c>
      <c r="S389" s="65">
        <f t="shared" si="14"/>
        <v>0</v>
      </c>
      <c r="T389" s="369" t="b">
        <v>1</v>
      </c>
      <c r="U389" s="388"/>
      <c r="V389" s="391" t="b">
        <v>0</v>
      </c>
      <c r="W389" s="391" t="b">
        <v>0</v>
      </c>
      <c r="X389" s="391" t="b">
        <v>0</v>
      </c>
    </row>
    <row r="390" ht="24.0" customHeight="1">
      <c r="A390" s="76" t="s">
        <v>513</v>
      </c>
      <c r="B390" s="383">
        <v>46183.0</v>
      </c>
      <c r="C390" s="384" t="s">
        <v>1312</v>
      </c>
      <c r="D390" s="116" t="s">
        <v>93</v>
      </c>
      <c r="E390" s="116" t="s">
        <v>580</v>
      </c>
      <c r="F390" s="388"/>
      <c r="G390" s="76" t="s">
        <v>187</v>
      </c>
      <c r="H390" s="385">
        <v>1.0</v>
      </c>
      <c r="I390" s="386">
        <f>IF(G390="", "", IFERROR(VLOOKUP(G390, Products!A:F, 4, FALSE), ""))
</f>
        <v>400</v>
      </c>
      <c r="J390" s="405">
        <v>0.0</v>
      </c>
      <c r="K390" s="54">
        <f t="shared" si="15"/>
        <v>400</v>
      </c>
      <c r="L390" s="387"/>
      <c r="M390" s="388"/>
      <c r="N390" s="46">
        <f t="shared" si="2"/>
        <v>400</v>
      </c>
      <c r="O390" s="369" t="b">
        <v>1</v>
      </c>
      <c r="P390" s="369" t="b">
        <v>1</v>
      </c>
      <c r="Q390" s="387">
        <v>400.0</v>
      </c>
      <c r="R390" s="138" t="s">
        <v>687</v>
      </c>
      <c r="S390" s="65">
        <f t="shared" si="14"/>
        <v>0</v>
      </c>
      <c r="T390" s="369" t="b">
        <v>1</v>
      </c>
      <c r="U390" s="388"/>
      <c r="V390" s="391" t="b">
        <v>0</v>
      </c>
      <c r="W390" s="391" t="b">
        <v>0</v>
      </c>
      <c r="X390" s="391" t="b">
        <v>0</v>
      </c>
    </row>
    <row r="391" ht="24.0" customHeight="1">
      <c r="A391" s="76" t="s">
        <v>513</v>
      </c>
      <c r="B391" s="383">
        <v>46183.0</v>
      </c>
      <c r="C391" s="384" t="s">
        <v>1312</v>
      </c>
      <c r="D391" s="116" t="s">
        <v>93</v>
      </c>
      <c r="E391" s="116" t="s">
        <v>580</v>
      </c>
      <c r="F391" s="388"/>
      <c r="G391" s="76" t="s">
        <v>190</v>
      </c>
      <c r="H391" s="385">
        <v>1.0</v>
      </c>
      <c r="I391" s="386">
        <f>IF(G391="", "", IFERROR(VLOOKUP(G391, Products!A:F, 4, FALSE), ""))
</f>
        <v>200</v>
      </c>
      <c r="J391" s="405">
        <v>0.0</v>
      </c>
      <c r="K391" s="54">
        <f t="shared" si="15"/>
        <v>200</v>
      </c>
      <c r="L391" s="387"/>
      <c r="M391" s="388"/>
      <c r="N391" s="46">
        <f t="shared" si="2"/>
        <v>200</v>
      </c>
      <c r="O391" s="369" t="b">
        <v>1</v>
      </c>
      <c r="P391" s="369" t="b">
        <v>1</v>
      </c>
      <c r="Q391" s="387">
        <v>200.0</v>
      </c>
      <c r="R391" s="138" t="s">
        <v>687</v>
      </c>
      <c r="S391" s="65">
        <f t="shared" si="14"/>
        <v>0</v>
      </c>
      <c r="T391" s="369" t="b">
        <v>1</v>
      </c>
      <c r="U391" s="388"/>
      <c r="V391" s="391" t="b">
        <v>0</v>
      </c>
      <c r="W391" s="391" t="b">
        <v>0</v>
      </c>
      <c r="X391" s="391" t="b">
        <v>0</v>
      </c>
    </row>
    <row r="392" ht="24.0" customHeight="1">
      <c r="A392" s="76" t="s">
        <v>513</v>
      </c>
      <c r="B392" s="383">
        <v>46183.0</v>
      </c>
      <c r="C392" s="384" t="s">
        <v>1312</v>
      </c>
      <c r="D392" s="116" t="s">
        <v>93</v>
      </c>
      <c r="E392" s="116" t="s">
        <v>580</v>
      </c>
      <c r="F392" s="388"/>
      <c r="G392" s="76" t="s">
        <v>205</v>
      </c>
      <c r="H392" s="385">
        <v>1.0</v>
      </c>
      <c r="I392" s="386">
        <f>IF(G392="", "", IFERROR(VLOOKUP(G392, Products!A:F, 4, FALSE), ""))
</f>
        <v>100</v>
      </c>
      <c r="J392" s="405">
        <v>0.0</v>
      </c>
      <c r="K392" s="54">
        <f t="shared" si="15"/>
        <v>100</v>
      </c>
      <c r="L392" s="387"/>
      <c r="M392" s="388"/>
      <c r="N392" s="46">
        <f t="shared" si="2"/>
        <v>100</v>
      </c>
      <c r="O392" s="369" t="b">
        <v>1</v>
      </c>
      <c r="P392" s="369" t="b">
        <v>1</v>
      </c>
      <c r="Q392" s="387">
        <v>100.0</v>
      </c>
      <c r="R392" s="138" t="s">
        <v>687</v>
      </c>
      <c r="S392" s="65">
        <f t="shared" si="14"/>
        <v>0</v>
      </c>
      <c r="T392" s="369" t="b">
        <v>1</v>
      </c>
      <c r="U392" s="388"/>
      <c r="V392" s="391" t="b">
        <v>0</v>
      </c>
      <c r="W392" s="391" t="b">
        <v>0</v>
      </c>
      <c r="X392" s="391" t="b">
        <v>0</v>
      </c>
    </row>
    <row r="393" ht="24.0" customHeight="1">
      <c r="A393" s="76" t="s">
        <v>513</v>
      </c>
      <c r="B393" s="383">
        <v>46183.0</v>
      </c>
      <c r="C393" s="384" t="s">
        <v>1312</v>
      </c>
      <c r="D393" s="116" t="s">
        <v>93</v>
      </c>
      <c r="E393" s="116" t="s">
        <v>580</v>
      </c>
      <c r="F393" s="388"/>
      <c r="G393" s="76" t="s">
        <v>207</v>
      </c>
      <c r="H393" s="385">
        <v>1.0</v>
      </c>
      <c r="I393" s="386">
        <f>IF(G393="", "", IFERROR(VLOOKUP(G393, Products!A:F, 4, FALSE), ""))
</f>
        <v>80</v>
      </c>
      <c r="J393" s="405">
        <v>0.0</v>
      </c>
      <c r="K393" s="54">
        <f t="shared" si="15"/>
        <v>80</v>
      </c>
      <c r="L393" s="387"/>
      <c r="M393" s="388"/>
      <c r="N393" s="46">
        <f t="shared" si="2"/>
        <v>80</v>
      </c>
      <c r="O393" s="369" t="b">
        <v>1</v>
      </c>
      <c r="P393" s="369" t="b">
        <v>1</v>
      </c>
      <c r="Q393" s="387">
        <v>80.0</v>
      </c>
      <c r="R393" s="138" t="s">
        <v>687</v>
      </c>
      <c r="S393" s="65">
        <f t="shared" si="14"/>
        <v>0</v>
      </c>
      <c r="T393" s="369" t="b">
        <v>1</v>
      </c>
      <c r="U393" s="388"/>
      <c r="V393" s="391" t="b">
        <v>0</v>
      </c>
      <c r="W393" s="391" t="b">
        <v>0</v>
      </c>
      <c r="X393" s="391" t="b">
        <v>0</v>
      </c>
    </row>
    <row r="394" ht="24.0" customHeight="1">
      <c r="A394" s="76" t="s">
        <v>513</v>
      </c>
      <c r="B394" s="383">
        <v>46183.0</v>
      </c>
      <c r="C394" s="384" t="s">
        <v>1312</v>
      </c>
      <c r="D394" s="116" t="s">
        <v>93</v>
      </c>
      <c r="E394" s="116" t="s">
        <v>580</v>
      </c>
      <c r="F394" s="388"/>
      <c r="G394" s="76" t="s">
        <v>222</v>
      </c>
      <c r="H394" s="385">
        <v>1.0</v>
      </c>
      <c r="I394" s="386">
        <f>IF(G394="", "", IFERROR(VLOOKUP(G394, Products!A:F, 4, FALSE), ""))
</f>
        <v>80</v>
      </c>
      <c r="J394" s="405">
        <v>0.0</v>
      </c>
      <c r="K394" s="54">
        <f t="shared" si="15"/>
        <v>80</v>
      </c>
      <c r="L394" s="387"/>
      <c r="M394" s="388"/>
      <c r="N394" s="46">
        <f t="shared" si="2"/>
        <v>80</v>
      </c>
      <c r="O394" s="369" t="b">
        <v>1</v>
      </c>
      <c r="P394" s="369" t="b">
        <v>1</v>
      </c>
      <c r="Q394" s="387">
        <v>80.0</v>
      </c>
      <c r="R394" s="138" t="s">
        <v>687</v>
      </c>
      <c r="S394" s="65">
        <f t="shared" si="14"/>
        <v>0</v>
      </c>
      <c r="T394" s="369" t="b">
        <v>1</v>
      </c>
      <c r="U394" s="388"/>
      <c r="V394" s="391" t="b">
        <v>0</v>
      </c>
      <c r="W394" s="391" t="b">
        <v>0</v>
      </c>
      <c r="X394" s="391" t="b">
        <v>0</v>
      </c>
    </row>
    <row r="395" ht="24.0" customHeight="1">
      <c r="A395" s="76" t="s">
        <v>519</v>
      </c>
      <c r="B395" s="383">
        <v>46183.0</v>
      </c>
      <c r="C395" s="384" t="s">
        <v>1313</v>
      </c>
      <c r="D395" s="116" t="s">
        <v>243</v>
      </c>
      <c r="E395" s="399"/>
      <c r="F395" s="388"/>
      <c r="G395" s="76" t="s">
        <v>122</v>
      </c>
      <c r="H395" s="385">
        <v>5.0</v>
      </c>
      <c r="I395" s="386">
        <f>IF(G395="", "", IFERROR(VLOOKUP(G395, Products!A:F, 4, FALSE), ""))
</f>
        <v>80</v>
      </c>
      <c r="J395" s="405">
        <v>0.0</v>
      </c>
      <c r="K395" s="54">
        <f t="shared" si="15"/>
        <v>400</v>
      </c>
      <c r="L395" s="387"/>
      <c r="M395" s="388"/>
      <c r="N395" s="46">
        <f t="shared" si="2"/>
        <v>400</v>
      </c>
      <c r="O395" s="369" t="b">
        <v>1</v>
      </c>
      <c r="P395" s="369" t="b">
        <v>1</v>
      </c>
      <c r="Q395" s="387">
        <v>400.0</v>
      </c>
      <c r="R395" s="138" t="s">
        <v>687</v>
      </c>
      <c r="S395" s="65">
        <f t="shared" si="14"/>
        <v>0</v>
      </c>
      <c r="T395" s="369" t="b">
        <v>0</v>
      </c>
      <c r="U395" s="388"/>
      <c r="V395" s="391" t="b">
        <v>0</v>
      </c>
      <c r="W395" s="391" t="b">
        <v>0</v>
      </c>
      <c r="X395" s="391" t="b">
        <v>0</v>
      </c>
    </row>
    <row r="396" ht="24.0" customHeight="1">
      <c r="A396" s="76" t="s">
        <v>519</v>
      </c>
      <c r="B396" s="383">
        <v>46183.0</v>
      </c>
      <c r="C396" s="384" t="s">
        <v>1313</v>
      </c>
      <c r="D396" s="116" t="s">
        <v>243</v>
      </c>
      <c r="E396" s="399"/>
      <c r="F396" s="388"/>
      <c r="G396" s="76" t="s">
        <v>205</v>
      </c>
      <c r="H396" s="385">
        <v>5.0</v>
      </c>
      <c r="I396" s="386">
        <f>IF(G396="", "", IFERROR(VLOOKUP(G396, Products!A:F, 4, FALSE), ""))
</f>
        <v>100</v>
      </c>
      <c r="J396" s="405">
        <v>0.0</v>
      </c>
      <c r="K396" s="54">
        <f t="shared" si="15"/>
        <v>500</v>
      </c>
      <c r="L396" s="387"/>
      <c r="M396" s="388"/>
      <c r="N396" s="46">
        <f t="shared" si="2"/>
        <v>500</v>
      </c>
      <c r="O396" s="369" t="b">
        <v>1</v>
      </c>
      <c r="P396" s="369" t="b">
        <v>1</v>
      </c>
      <c r="Q396" s="387">
        <v>500.0</v>
      </c>
      <c r="R396" s="138" t="s">
        <v>687</v>
      </c>
      <c r="S396" s="65">
        <f t="shared" si="14"/>
        <v>0</v>
      </c>
      <c r="T396" s="369" t="b">
        <v>0</v>
      </c>
      <c r="U396" s="388"/>
      <c r="V396" s="391" t="b">
        <v>0</v>
      </c>
      <c r="W396" s="391" t="b">
        <v>0</v>
      </c>
      <c r="X396" s="391" t="b">
        <v>0</v>
      </c>
    </row>
    <row r="397" ht="24.0" customHeight="1">
      <c r="A397" s="76" t="s">
        <v>519</v>
      </c>
      <c r="B397" s="383">
        <v>46183.0</v>
      </c>
      <c r="C397" s="384" t="s">
        <v>1313</v>
      </c>
      <c r="D397" s="116" t="s">
        <v>243</v>
      </c>
      <c r="E397" s="399"/>
      <c r="F397" s="388"/>
      <c r="G397" s="76" t="s">
        <v>187</v>
      </c>
      <c r="H397" s="385">
        <v>2.0</v>
      </c>
      <c r="I397" s="386">
        <f>IF(G397="", "", IFERROR(VLOOKUP(G397, Products!A:F, 4, FALSE), ""))
</f>
        <v>400</v>
      </c>
      <c r="J397" s="405">
        <v>0.0</v>
      </c>
      <c r="K397" s="54">
        <f t="shared" si="15"/>
        <v>800</v>
      </c>
      <c r="L397" s="387"/>
      <c r="M397" s="388"/>
      <c r="N397" s="46">
        <f t="shared" si="2"/>
        <v>800</v>
      </c>
      <c r="O397" s="369" t="b">
        <v>1</v>
      </c>
      <c r="P397" s="369" t="b">
        <v>1</v>
      </c>
      <c r="Q397" s="387">
        <v>800.0</v>
      </c>
      <c r="R397" s="138" t="s">
        <v>687</v>
      </c>
      <c r="S397" s="65">
        <f t="shared" si="14"/>
        <v>0</v>
      </c>
      <c r="T397" s="369" t="b">
        <v>0</v>
      </c>
      <c r="U397" s="388"/>
      <c r="V397" s="391" t="b">
        <v>0</v>
      </c>
      <c r="W397" s="391" t="b">
        <v>0</v>
      </c>
      <c r="X397" s="391" t="b">
        <v>0</v>
      </c>
    </row>
    <row r="398" ht="24.0" customHeight="1">
      <c r="A398" s="76" t="s">
        <v>517</v>
      </c>
      <c r="B398" s="383">
        <v>46183.0</v>
      </c>
      <c r="C398" s="384" t="s">
        <v>1314</v>
      </c>
      <c r="D398" s="116" t="s">
        <v>93</v>
      </c>
      <c r="E398" s="116" t="s">
        <v>156</v>
      </c>
      <c r="F398" s="388"/>
      <c r="G398" s="76" t="s">
        <v>122</v>
      </c>
      <c r="H398" s="385">
        <v>3.0</v>
      </c>
      <c r="I398" s="386">
        <f>IF(G398="", "", IFERROR(VLOOKUP(G398, Products!A:F, 4, FALSE), ""))
</f>
        <v>80</v>
      </c>
      <c r="J398" s="405">
        <v>0.0</v>
      </c>
      <c r="K398" s="54">
        <f t="shared" si="15"/>
        <v>240</v>
      </c>
      <c r="L398" s="387">
        <v>240.0</v>
      </c>
      <c r="M398" s="138" t="s">
        <v>73</v>
      </c>
      <c r="N398" s="46">
        <f t="shared" si="2"/>
        <v>0</v>
      </c>
      <c r="O398" s="369" t="b">
        <v>1</v>
      </c>
      <c r="P398" s="369" t="b">
        <v>1</v>
      </c>
      <c r="Q398" s="387"/>
      <c r="R398" s="138" t="s">
        <v>687</v>
      </c>
      <c r="S398" s="65">
        <f t="shared" si="14"/>
        <v>0</v>
      </c>
      <c r="T398" s="369" t="b">
        <v>1</v>
      </c>
      <c r="U398" s="388"/>
      <c r="V398" s="391" t="b">
        <v>0</v>
      </c>
      <c r="W398" s="391" t="b">
        <v>0</v>
      </c>
      <c r="X398" s="391" t="b">
        <v>0</v>
      </c>
    </row>
    <row r="399" ht="24.0" customHeight="1">
      <c r="A399" s="76" t="s">
        <v>505</v>
      </c>
      <c r="B399" s="383">
        <v>46183.0</v>
      </c>
      <c r="C399" s="384" t="s">
        <v>1315</v>
      </c>
      <c r="D399" s="116" t="s">
        <v>93</v>
      </c>
      <c r="E399" s="116" t="s">
        <v>250</v>
      </c>
      <c r="F399" s="388"/>
      <c r="G399" s="76" t="s">
        <v>187</v>
      </c>
      <c r="H399" s="385">
        <v>1.0</v>
      </c>
      <c r="I399" s="386">
        <f>IF(G399="", "", IFERROR(VLOOKUP(G399, Products!A:F, 4, FALSE), ""))
</f>
        <v>400</v>
      </c>
      <c r="J399" s="405">
        <v>0.0</v>
      </c>
      <c r="K399" s="54">
        <f t="shared" si="15"/>
        <v>400</v>
      </c>
      <c r="L399" s="387"/>
      <c r="M399" s="388"/>
      <c r="N399" s="46">
        <f t="shared" si="2"/>
        <v>400</v>
      </c>
      <c r="O399" s="369" t="b">
        <v>1</v>
      </c>
      <c r="P399" s="369" t="b">
        <v>1</v>
      </c>
      <c r="Q399" s="387">
        <v>400.0</v>
      </c>
      <c r="R399" s="138" t="s">
        <v>687</v>
      </c>
      <c r="S399" s="65">
        <f t="shared" si="14"/>
        <v>0</v>
      </c>
      <c r="T399" s="369" t="b">
        <v>1</v>
      </c>
      <c r="U399" s="388"/>
      <c r="V399" s="391" t="b">
        <v>0</v>
      </c>
      <c r="W399" s="391" t="b">
        <v>0</v>
      </c>
      <c r="X399" s="391" t="b">
        <v>0</v>
      </c>
    </row>
    <row r="400" ht="24.0" customHeight="1">
      <c r="A400" s="76" t="s">
        <v>520</v>
      </c>
      <c r="B400" s="383">
        <v>46183.0</v>
      </c>
      <c r="C400" s="384" t="s">
        <v>1316</v>
      </c>
      <c r="D400" s="116" t="s">
        <v>93</v>
      </c>
      <c r="E400" s="116" t="s">
        <v>156</v>
      </c>
      <c r="F400" s="388"/>
      <c r="G400" s="76" t="s">
        <v>201</v>
      </c>
      <c r="H400" s="385">
        <v>1.0</v>
      </c>
      <c r="I400" s="386">
        <f>IF(G400="", "", IFERROR(VLOOKUP(G400, Products!A:F, 4, FALSE), ""))
</f>
        <v>80</v>
      </c>
      <c r="J400" s="405">
        <v>0.0</v>
      </c>
      <c r="K400" s="54">
        <f t="shared" si="15"/>
        <v>80</v>
      </c>
      <c r="L400" s="387">
        <v>100.0</v>
      </c>
      <c r="M400" s="138" t="s">
        <v>73</v>
      </c>
      <c r="N400" s="46">
        <f t="shared" si="2"/>
        <v>-20</v>
      </c>
      <c r="O400" s="369" t="b">
        <v>1</v>
      </c>
      <c r="P400" s="369" t="b">
        <v>1</v>
      </c>
      <c r="Q400" s="387"/>
      <c r="R400" s="138" t="s">
        <v>687</v>
      </c>
      <c r="S400" s="65">
        <f t="shared" si="14"/>
        <v>-20</v>
      </c>
      <c r="T400" s="369" t="b">
        <v>1</v>
      </c>
      <c r="U400" s="388"/>
      <c r="V400" s="391" t="b">
        <v>0</v>
      </c>
      <c r="W400" s="391" t="b">
        <v>0</v>
      </c>
      <c r="X400" s="391" t="b">
        <v>0</v>
      </c>
    </row>
    <row r="401" ht="24.0" customHeight="1">
      <c r="A401" s="76" t="s">
        <v>520</v>
      </c>
      <c r="B401" s="383">
        <v>46183.0</v>
      </c>
      <c r="C401" s="384" t="s">
        <v>1316</v>
      </c>
      <c r="D401" s="116" t="s">
        <v>93</v>
      </c>
      <c r="E401" s="116" t="s">
        <v>156</v>
      </c>
      <c r="F401" s="388"/>
      <c r="G401" s="76" t="s">
        <v>210</v>
      </c>
      <c r="H401" s="385">
        <v>1.0</v>
      </c>
      <c r="I401" s="386">
        <f>IF(G401="", "", IFERROR(VLOOKUP(G401, Products!A:F, 4, FALSE), ""))
</f>
        <v>80</v>
      </c>
      <c r="J401" s="405">
        <v>0.0</v>
      </c>
      <c r="K401" s="54">
        <f t="shared" si="15"/>
        <v>80</v>
      </c>
      <c r="L401" s="387">
        <v>80.0</v>
      </c>
      <c r="M401" s="138" t="s">
        <v>73</v>
      </c>
      <c r="N401" s="46">
        <f t="shared" si="2"/>
        <v>0</v>
      </c>
      <c r="O401" s="369" t="b">
        <v>1</v>
      </c>
      <c r="P401" s="369" t="b">
        <v>1</v>
      </c>
      <c r="Q401" s="387"/>
      <c r="R401" s="138" t="s">
        <v>687</v>
      </c>
      <c r="S401" s="65">
        <f t="shared" si="14"/>
        <v>0</v>
      </c>
      <c r="T401" s="369" t="b">
        <v>1</v>
      </c>
      <c r="U401" s="388"/>
      <c r="V401" s="391" t="b">
        <v>0</v>
      </c>
      <c r="W401" s="391" t="b">
        <v>0</v>
      </c>
      <c r="X401" s="391" t="b">
        <v>0</v>
      </c>
    </row>
    <row r="402" ht="24.0" customHeight="1">
      <c r="A402" s="76" t="s">
        <v>520</v>
      </c>
      <c r="B402" s="383">
        <v>46183.0</v>
      </c>
      <c r="C402" s="384" t="s">
        <v>1316</v>
      </c>
      <c r="D402" s="116" t="s">
        <v>93</v>
      </c>
      <c r="E402" s="116" t="s">
        <v>156</v>
      </c>
      <c r="F402" s="388"/>
      <c r="G402" s="76" t="s">
        <v>212</v>
      </c>
      <c r="H402" s="385">
        <v>1.0</v>
      </c>
      <c r="I402" s="386">
        <f>IF(G402="", "", IFERROR(VLOOKUP(G402, Products!A:F, 4, FALSE), ""))
</f>
        <v>80</v>
      </c>
      <c r="J402" s="405">
        <v>0.0</v>
      </c>
      <c r="K402" s="54">
        <f t="shared" si="15"/>
        <v>80</v>
      </c>
      <c r="L402" s="387"/>
      <c r="M402" s="388"/>
      <c r="N402" s="46">
        <f t="shared" si="2"/>
        <v>80</v>
      </c>
      <c r="O402" s="369" t="b">
        <v>1</v>
      </c>
      <c r="P402" s="369" t="b">
        <v>1</v>
      </c>
      <c r="Q402" s="387">
        <v>80.0</v>
      </c>
      <c r="R402" s="138" t="s">
        <v>687</v>
      </c>
      <c r="S402" s="65">
        <f t="shared" si="14"/>
        <v>0</v>
      </c>
      <c r="T402" s="369" t="b">
        <v>1</v>
      </c>
      <c r="U402" s="388"/>
      <c r="V402" s="391" t="b">
        <v>0</v>
      </c>
      <c r="W402" s="391" t="b">
        <v>0</v>
      </c>
      <c r="X402" s="391" t="b">
        <v>0</v>
      </c>
    </row>
    <row r="403" ht="24.0" customHeight="1">
      <c r="A403" s="76" t="s">
        <v>520</v>
      </c>
      <c r="B403" s="383">
        <v>46183.0</v>
      </c>
      <c r="C403" s="384" t="s">
        <v>1316</v>
      </c>
      <c r="D403" s="116" t="s">
        <v>93</v>
      </c>
      <c r="E403" s="116" t="s">
        <v>156</v>
      </c>
      <c r="F403" s="388"/>
      <c r="G403" s="76" t="s">
        <v>122</v>
      </c>
      <c r="H403" s="385">
        <v>1.0</v>
      </c>
      <c r="I403" s="386">
        <f>IF(G403="", "", IFERROR(VLOOKUP(G403, Products!A:F, 4, FALSE), ""))
</f>
        <v>80</v>
      </c>
      <c r="J403" s="405">
        <v>0.0</v>
      </c>
      <c r="K403" s="54">
        <f t="shared" si="15"/>
        <v>80</v>
      </c>
      <c r="L403" s="387"/>
      <c r="M403" s="388"/>
      <c r="N403" s="46">
        <f t="shared" si="2"/>
        <v>80</v>
      </c>
      <c r="O403" s="369" t="b">
        <v>1</v>
      </c>
      <c r="P403" s="369" t="b">
        <v>1</v>
      </c>
      <c r="Q403" s="387">
        <v>80.0</v>
      </c>
      <c r="R403" s="138" t="s">
        <v>687</v>
      </c>
      <c r="S403" s="65">
        <f t="shared" si="14"/>
        <v>0</v>
      </c>
      <c r="T403" s="369" t="b">
        <v>1</v>
      </c>
      <c r="U403" s="388"/>
      <c r="V403" s="391" t="b">
        <v>0</v>
      </c>
      <c r="W403" s="391" t="b">
        <v>0</v>
      </c>
      <c r="X403" s="391" t="b">
        <v>0</v>
      </c>
    </row>
    <row r="404" ht="24.0" customHeight="1">
      <c r="A404" s="76" t="s">
        <v>523</v>
      </c>
      <c r="B404" s="383">
        <v>46183.0</v>
      </c>
      <c r="C404" s="384" t="s">
        <v>1317</v>
      </c>
      <c r="D404" s="116" t="s">
        <v>93</v>
      </c>
      <c r="E404" s="116" t="s">
        <v>655</v>
      </c>
      <c r="F404" s="388"/>
      <c r="G404" s="76" t="s">
        <v>122</v>
      </c>
      <c r="H404" s="385">
        <v>1.0</v>
      </c>
      <c r="I404" s="386">
        <f>IF(G404="", "", IFERROR(VLOOKUP(G404, Products!A:F, 4, FALSE), ""))
</f>
        <v>80</v>
      </c>
      <c r="J404" s="405">
        <v>0.0</v>
      </c>
      <c r="K404" s="54">
        <f t="shared" si="15"/>
        <v>80</v>
      </c>
      <c r="L404" s="387">
        <v>80.0</v>
      </c>
      <c r="M404" s="138" t="s">
        <v>73</v>
      </c>
      <c r="N404" s="46">
        <f t="shared" si="2"/>
        <v>0</v>
      </c>
      <c r="O404" s="369" t="b">
        <v>1</v>
      </c>
      <c r="P404" s="369" t="b">
        <v>1</v>
      </c>
      <c r="Q404" s="387"/>
      <c r="R404" s="138" t="s">
        <v>687</v>
      </c>
      <c r="S404" s="65">
        <f t="shared" si="14"/>
        <v>0</v>
      </c>
      <c r="T404" s="369" t="b">
        <v>1</v>
      </c>
      <c r="U404" s="388"/>
      <c r="V404" s="391" t="b">
        <v>0</v>
      </c>
      <c r="W404" s="391" t="b">
        <v>0</v>
      </c>
      <c r="X404" s="391" t="b">
        <v>0</v>
      </c>
    </row>
    <row r="405" ht="24.0" customHeight="1">
      <c r="A405" s="76" t="s">
        <v>523</v>
      </c>
      <c r="B405" s="383">
        <v>46183.0</v>
      </c>
      <c r="C405" s="384" t="s">
        <v>1317</v>
      </c>
      <c r="D405" s="116" t="s">
        <v>93</v>
      </c>
      <c r="E405" s="116" t="s">
        <v>655</v>
      </c>
      <c r="F405" s="388"/>
      <c r="G405" s="76" t="s">
        <v>161</v>
      </c>
      <c r="H405" s="385">
        <v>1.0</v>
      </c>
      <c r="I405" s="386">
        <f>IF(G405="", "", IFERROR(VLOOKUP(G405, Products!A:F, 4, FALSE), ""))
</f>
        <v>80</v>
      </c>
      <c r="J405" s="405">
        <v>0.0</v>
      </c>
      <c r="K405" s="54">
        <f t="shared" si="15"/>
        <v>80</v>
      </c>
      <c r="L405" s="387">
        <v>20.0</v>
      </c>
      <c r="M405" s="138" t="s">
        <v>73</v>
      </c>
      <c r="N405" s="46">
        <f t="shared" si="2"/>
        <v>60</v>
      </c>
      <c r="O405" s="369" t="b">
        <v>1</v>
      </c>
      <c r="P405" s="369" t="b">
        <v>1</v>
      </c>
      <c r="Q405" s="387">
        <v>60.0</v>
      </c>
      <c r="R405" s="138" t="s">
        <v>687</v>
      </c>
      <c r="S405" s="65">
        <f t="shared" si="14"/>
        <v>0</v>
      </c>
      <c r="T405" s="369" t="b">
        <v>1</v>
      </c>
      <c r="U405" s="388"/>
      <c r="V405" s="391" t="b">
        <v>0</v>
      </c>
      <c r="W405" s="391" t="b">
        <v>0</v>
      </c>
      <c r="X405" s="391" t="b">
        <v>0</v>
      </c>
    </row>
    <row r="406" ht="24.0" customHeight="1">
      <c r="A406" s="76" t="s">
        <v>530</v>
      </c>
      <c r="B406" s="383">
        <v>46183.0</v>
      </c>
      <c r="C406" s="384" t="s">
        <v>1318</v>
      </c>
      <c r="D406" s="116" t="s">
        <v>531</v>
      </c>
      <c r="E406" s="399"/>
      <c r="F406" s="388"/>
      <c r="G406" s="76" t="s">
        <v>122</v>
      </c>
      <c r="H406" s="385">
        <v>4.0</v>
      </c>
      <c r="I406" s="386">
        <f>IF(G406="", "", IFERROR(VLOOKUP(G406, Products!A:F, 4, FALSE), ""))
</f>
        <v>80</v>
      </c>
      <c r="J406" s="405">
        <v>0.0</v>
      </c>
      <c r="K406" s="54">
        <f t="shared" si="15"/>
        <v>320</v>
      </c>
      <c r="L406" s="387">
        <v>160.0</v>
      </c>
      <c r="M406" s="138" t="s">
        <v>73</v>
      </c>
      <c r="N406" s="46">
        <f t="shared" si="2"/>
        <v>160</v>
      </c>
      <c r="O406" s="369" t="b">
        <v>1</v>
      </c>
      <c r="P406" s="369" t="b">
        <v>1</v>
      </c>
      <c r="Q406" s="387">
        <v>160.0</v>
      </c>
      <c r="R406" s="138" t="s">
        <v>687</v>
      </c>
      <c r="S406" s="65">
        <f t="shared" si="14"/>
        <v>0</v>
      </c>
      <c r="T406" s="369" t="b">
        <v>1</v>
      </c>
      <c r="U406" s="388"/>
      <c r="V406" s="391" t="b">
        <v>0</v>
      </c>
      <c r="W406" s="391" t="b">
        <v>0</v>
      </c>
      <c r="X406" s="391" t="b">
        <v>0</v>
      </c>
    </row>
    <row r="407" ht="24.0" customHeight="1">
      <c r="A407" s="76" t="s">
        <v>516</v>
      </c>
      <c r="B407" s="383">
        <v>46183.0</v>
      </c>
      <c r="C407" s="384" t="s">
        <v>1319</v>
      </c>
      <c r="D407" s="116" t="s">
        <v>93</v>
      </c>
      <c r="E407" s="116" t="s">
        <v>176</v>
      </c>
      <c r="F407" s="388"/>
      <c r="G407" s="76" t="s">
        <v>187</v>
      </c>
      <c r="H407" s="385">
        <v>1.0</v>
      </c>
      <c r="I407" s="386">
        <f>IF(G407="", "", IFERROR(VLOOKUP(G407, Products!A:F, 4, FALSE), ""))
</f>
        <v>400</v>
      </c>
      <c r="J407" s="405">
        <v>0.0</v>
      </c>
      <c r="K407" s="54">
        <f t="shared" si="15"/>
        <v>400</v>
      </c>
      <c r="L407" s="387">
        <v>200.0</v>
      </c>
      <c r="M407" s="138" t="s">
        <v>73</v>
      </c>
      <c r="N407" s="46">
        <f t="shared" si="2"/>
        <v>200</v>
      </c>
      <c r="O407" s="369" t="b">
        <v>1</v>
      </c>
      <c r="P407" s="369" t="b">
        <v>1</v>
      </c>
      <c r="Q407" s="387">
        <v>200.0</v>
      </c>
      <c r="R407" s="138" t="s">
        <v>687</v>
      </c>
      <c r="S407" s="65">
        <f t="shared" si="14"/>
        <v>0</v>
      </c>
      <c r="T407" s="369" t="b">
        <v>1</v>
      </c>
      <c r="U407" s="388"/>
      <c r="V407" s="391" t="b">
        <v>0</v>
      </c>
      <c r="W407" s="391" t="b">
        <v>0</v>
      </c>
      <c r="X407" s="391" t="b">
        <v>0</v>
      </c>
    </row>
    <row r="408" ht="24.0" customHeight="1">
      <c r="A408" s="76" t="s">
        <v>506</v>
      </c>
      <c r="B408" s="383">
        <v>46183.0</v>
      </c>
      <c r="C408" s="384" t="s">
        <v>1320</v>
      </c>
      <c r="D408" s="116" t="s">
        <v>164</v>
      </c>
      <c r="E408" s="399"/>
      <c r="F408" s="388"/>
      <c r="G408" s="76" t="s">
        <v>207</v>
      </c>
      <c r="H408" s="385">
        <v>1.0</v>
      </c>
      <c r="I408" s="386">
        <f>IF(G408="", "", IFERROR(VLOOKUP(G408, Products!A:F, 4, FALSE), ""))
</f>
        <v>80</v>
      </c>
      <c r="J408" s="405">
        <v>0.0</v>
      </c>
      <c r="K408" s="54">
        <f t="shared" si="15"/>
        <v>80</v>
      </c>
      <c r="L408" s="387"/>
      <c r="M408" s="388"/>
      <c r="N408" s="46">
        <f t="shared" si="2"/>
        <v>80</v>
      </c>
      <c r="O408" s="369" t="b">
        <v>1</v>
      </c>
      <c r="P408" s="369" t="b">
        <v>1</v>
      </c>
      <c r="Q408" s="387">
        <v>80.0</v>
      </c>
      <c r="R408" s="138" t="s">
        <v>687</v>
      </c>
      <c r="S408" s="65">
        <f t="shared" si="14"/>
        <v>0</v>
      </c>
      <c r="T408" s="369" t="b">
        <v>1</v>
      </c>
      <c r="U408" s="388"/>
      <c r="V408" s="391" t="b">
        <v>0</v>
      </c>
      <c r="W408" s="391" t="b">
        <v>0</v>
      </c>
      <c r="X408" s="391" t="b">
        <v>0</v>
      </c>
    </row>
    <row r="409" ht="24.0" customHeight="1">
      <c r="A409" s="76" t="s">
        <v>506</v>
      </c>
      <c r="B409" s="383">
        <v>46183.0</v>
      </c>
      <c r="C409" s="384" t="s">
        <v>1320</v>
      </c>
      <c r="D409" s="116" t="s">
        <v>164</v>
      </c>
      <c r="E409" s="399"/>
      <c r="F409" s="388"/>
      <c r="G409" s="76" t="s">
        <v>205</v>
      </c>
      <c r="H409" s="385">
        <v>1.0</v>
      </c>
      <c r="I409" s="386">
        <f>IF(G409="", "", IFERROR(VLOOKUP(G409, Products!A:F, 4, FALSE), ""))
</f>
        <v>100</v>
      </c>
      <c r="J409" s="405">
        <v>0.0</v>
      </c>
      <c r="K409" s="54">
        <f t="shared" si="15"/>
        <v>100</v>
      </c>
      <c r="L409" s="387"/>
      <c r="M409" s="388"/>
      <c r="N409" s="46">
        <f t="shared" si="2"/>
        <v>100</v>
      </c>
      <c r="O409" s="369" t="b">
        <v>1</v>
      </c>
      <c r="P409" s="369" t="b">
        <v>1</v>
      </c>
      <c r="Q409" s="387">
        <v>100.0</v>
      </c>
      <c r="R409" s="138" t="s">
        <v>687</v>
      </c>
      <c r="S409" s="65">
        <f t="shared" si="14"/>
        <v>0</v>
      </c>
      <c r="T409" s="369" t="b">
        <v>1</v>
      </c>
      <c r="U409" s="388"/>
      <c r="V409" s="391" t="b">
        <v>0</v>
      </c>
      <c r="W409" s="391" t="b">
        <v>0</v>
      </c>
      <c r="X409" s="391" t="b">
        <v>0</v>
      </c>
    </row>
    <row r="410" ht="24.0" customHeight="1">
      <c r="A410" s="76" t="s">
        <v>506</v>
      </c>
      <c r="B410" s="383">
        <v>46183.0</v>
      </c>
      <c r="C410" s="384" t="s">
        <v>1320</v>
      </c>
      <c r="D410" s="116" t="s">
        <v>164</v>
      </c>
      <c r="E410" s="399"/>
      <c r="F410" s="388"/>
      <c r="G410" s="76" t="s">
        <v>187</v>
      </c>
      <c r="H410" s="385">
        <v>1.0</v>
      </c>
      <c r="I410" s="386">
        <f>IF(G410="", "", IFERROR(VLOOKUP(G410, Products!A:F, 4, FALSE), ""))
</f>
        <v>400</v>
      </c>
      <c r="J410" s="405">
        <v>0.0</v>
      </c>
      <c r="K410" s="54">
        <f t="shared" si="15"/>
        <v>400</v>
      </c>
      <c r="L410" s="387">
        <v>330.0</v>
      </c>
      <c r="M410" s="138" t="s">
        <v>73</v>
      </c>
      <c r="N410" s="46">
        <f t="shared" si="2"/>
        <v>70</v>
      </c>
      <c r="O410" s="369" t="b">
        <v>1</v>
      </c>
      <c r="P410" s="369" t="b">
        <v>1</v>
      </c>
      <c r="Q410" s="387">
        <v>70.0</v>
      </c>
      <c r="R410" s="138" t="s">
        <v>687</v>
      </c>
      <c r="S410" s="65">
        <f t="shared" si="14"/>
        <v>0</v>
      </c>
      <c r="T410" s="369" t="b">
        <v>1</v>
      </c>
      <c r="U410" s="388"/>
      <c r="V410" s="391" t="b">
        <v>0</v>
      </c>
      <c r="W410" s="391" t="b">
        <v>0</v>
      </c>
      <c r="X410" s="391" t="b">
        <v>0</v>
      </c>
    </row>
    <row r="411" ht="24.0" customHeight="1">
      <c r="A411" s="76" t="s">
        <v>506</v>
      </c>
      <c r="B411" s="383">
        <v>46183.0</v>
      </c>
      <c r="C411" s="384" t="s">
        <v>1320</v>
      </c>
      <c r="D411" s="116" t="s">
        <v>164</v>
      </c>
      <c r="E411" s="399"/>
      <c r="F411" s="388"/>
      <c r="G411" s="76" t="s">
        <v>222</v>
      </c>
      <c r="H411" s="385">
        <v>1.0</v>
      </c>
      <c r="I411" s="386">
        <f>IF(G411="", "", IFERROR(VLOOKUP(G411, Products!A:F, 4, FALSE), ""))
</f>
        <v>80</v>
      </c>
      <c r="J411" s="405">
        <v>0.0</v>
      </c>
      <c r="K411" s="54">
        <f t="shared" si="15"/>
        <v>80</v>
      </c>
      <c r="L411" s="387"/>
      <c r="M411" s="388"/>
      <c r="N411" s="46">
        <f t="shared" si="2"/>
        <v>80</v>
      </c>
      <c r="O411" s="369" t="b">
        <v>1</v>
      </c>
      <c r="P411" s="369" t="b">
        <v>1</v>
      </c>
      <c r="Q411" s="387">
        <v>80.0</v>
      </c>
      <c r="R411" s="138" t="s">
        <v>687</v>
      </c>
      <c r="S411" s="65">
        <f t="shared" si="14"/>
        <v>0</v>
      </c>
      <c r="T411" s="369" t="b">
        <v>1</v>
      </c>
      <c r="U411" s="388"/>
      <c r="V411" s="391" t="b">
        <v>0</v>
      </c>
      <c r="W411" s="391" t="b">
        <v>0</v>
      </c>
      <c r="X411" s="391" t="b">
        <v>0</v>
      </c>
    </row>
    <row r="412" ht="24.0" customHeight="1">
      <c r="A412" s="76" t="s">
        <v>507</v>
      </c>
      <c r="B412" s="383">
        <v>46183.0</v>
      </c>
      <c r="C412" s="384" t="s">
        <v>1321</v>
      </c>
      <c r="D412" s="116" t="s">
        <v>78</v>
      </c>
      <c r="E412" s="116" t="s">
        <v>159</v>
      </c>
      <c r="F412" s="388"/>
      <c r="G412" s="76" t="s">
        <v>187</v>
      </c>
      <c r="H412" s="385">
        <v>2.0</v>
      </c>
      <c r="I412" s="386">
        <f>IF(G412="", "", IFERROR(VLOOKUP(G412, Products!A:F, 4, FALSE), ""))
</f>
        <v>400</v>
      </c>
      <c r="J412" s="405">
        <v>0.0</v>
      </c>
      <c r="K412" s="54">
        <f t="shared" si="15"/>
        <v>800</v>
      </c>
      <c r="L412" s="387">
        <v>350.0</v>
      </c>
      <c r="M412" s="138" t="s">
        <v>73</v>
      </c>
      <c r="N412" s="46">
        <f t="shared" si="2"/>
        <v>450</v>
      </c>
      <c r="O412" s="369" t="b">
        <v>1</v>
      </c>
      <c r="P412" s="369" t="b">
        <v>1</v>
      </c>
      <c r="Q412" s="387">
        <v>450.0</v>
      </c>
      <c r="R412" s="138" t="s">
        <v>687</v>
      </c>
      <c r="S412" s="65">
        <f t="shared" si="14"/>
        <v>0</v>
      </c>
      <c r="T412" s="369" t="b">
        <v>1</v>
      </c>
      <c r="U412" s="388"/>
      <c r="V412" s="391" t="b">
        <v>0</v>
      </c>
      <c r="W412" s="391" t="b">
        <v>0</v>
      </c>
      <c r="X412" s="391" t="b">
        <v>0</v>
      </c>
    </row>
    <row r="413" ht="24.0" customHeight="1">
      <c r="A413" s="76" t="s">
        <v>515</v>
      </c>
      <c r="B413" s="383">
        <v>46183.0</v>
      </c>
      <c r="C413" s="384" t="s">
        <v>1322</v>
      </c>
      <c r="D413" s="91" t="s">
        <v>188</v>
      </c>
      <c r="E413" s="92"/>
      <c r="F413" s="388"/>
      <c r="G413" s="76" t="s">
        <v>201</v>
      </c>
      <c r="H413" s="385">
        <v>1.0</v>
      </c>
      <c r="I413" s="386">
        <f>IF(G413="", "", IFERROR(VLOOKUP(G413, Products!A:F, 4, FALSE), ""))
</f>
        <v>80</v>
      </c>
      <c r="J413" s="405">
        <v>0.0</v>
      </c>
      <c r="K413" s="54">
        <f t="shared" si="15"/>
        <v>80</v>
      </c>
      <c r="L413" s="387">
        <v>100.0</v>
      </c>
      <c r="M413" s="138" t="s">
        <v>73</v>
      </c>
      <c r="N413" s="46">
        <f t="shared" si="2"/>
        <v>-20</v>
      </c>
      <c r="O413" s="369" t="b">
        <v>1</v>
      </c>
      <c r="P413" s="369" t="b">
        <v>1</v>
      </c>
      <c r="Q413" s="387"/>
      <c r="R413" s="138" t="s">
        <v>687</v>
      </c>
      <c r="S413" s="65">
        <f t="shared" si="14"/>
        <v>-20</v>
      </c>
      <c r="T413" s="369" t="b">
        <v>1</v>
      </c>
      <c r="U413" s="388"/>
      <c r="V413" s="391" t="b">
        <v>0</v>
      </c>
      <c r="W413" s="391" t="b">
        <v>0</v>
      </c>
      <c r="X413" s="391" t="b">
        <v>0</v>
      </c>
    </row>
    <row r="414" ht="24.0" customHeight="1">
      <c r="A414" s="76" t="s">
        <v>515</v>
      </c>
      <c r="B414" s="383">
        <v>46183.0</v>
      </c>
      <c r="C414" s="384" t="s">
        <v>1322</v>
      </c>
      <c r="D414" s="91" t="s">
        <v>188</v>
      </c>
      <c r="E414" s="92"/>
      <c r="F414" s="388"/>
      <c r="G414" s="76" t="s">
        <v>210</v>
      </c>
      <c r="H414" s="385">
        <v>1.0</v>
      </c>
      <c r="I414" s="386">
        <f>IF(G414="", "", IFERROR(VLOOKUP(G414, Products!A:F, 4, FALSE), ""))
</f>
        <v>80</v>
      </c>
      <c r="J414" s="405">
        <v>0.0</v>
      </c>
      <c r="K414" s="54">
        <f t="shared" si="15"/>
        <v>80</v>
      </c>
      <c r="L414" s="387"/>
      <c r="M414" s="388"/>
      <c r="N414" s="46">
        <f t="shared" si="2"/>
        <v>80</v>
      </c>
      <c r="O414" s="369" t="b">
        <v>1</v>
      </c>
      <c r="P414" s="369" t="b">
        <v>1</v>
      </c>
      <c r="Q414" s="387">
        <v>80.0</v>
      </c>
      <c r="R414" s="138" t="s">
        <v>687</v>
      </c>
      <c r="S414" s="65">
        <f t="shared" si="14"/>
        <v>0</v>
      </c>
      <c r="T414" s="369" t="b">
        <v>1</v>
      </c>
      <c r="U414" s="388"/>
      <c r="V414" s="391" t="b">
        <v>0</v>
      </c>
      <c r="W414" s="391" t="b">
        <v>0</v>
      </c>
      <c r="X414" s="391" t="b">
        <v>0</v>
      </c>
    </row>
    <row r="415" ht="24.0" customHeight="1">
      <c r="A415" s="76" t="s">
        <v>515</v>
      </c>
      <c r="B415" s="383">
        <v>46183.0</v>
      </c>
      <c r="C415" s="384" t="s">
        <v>1322</v>
      </c>
      <c r="D415" s="91" t="s">
        <v>188</v>
      </c>
      <c r="E415" s="92"/>
      <c r="F415" s="388"/>
      <c r="G415" s="76" t="s">
        <v>212</v>
      </c>
      <c r="H415" s="385">
        <v>1.0</v>
      </c>
      <c r="I415" s="386">
        <f>IF(G415="", "", IFERROR(VLOOKUP(G415, Products!A:F, 4, FALSE), ""))
</f>
        <v>80</v>
      </c>
      <c r="J415" s="405">
        <v>0.0</v>
      </c>
      <c r="K415" s="54">
        <f t="shared" si="15"/>
        <v>80</v>
      </c>
      <c r="L415" s="387"/>
      <c r="M415" s="388"/>
      <c r="N415" s="46">
        <f t="shared" si="2"/>
        <v>80</v>
      </c>
      <c r="O415" s="369" t="b">
        <v>1</v>
      </c>
      <c r="P415" s="369" t="b">
        <v>1</v>
      </c>
      <c r="Q415" s="387">
        <v>80.0</v>
      </c>
      <c r="R415" s="138" t="s">
        <v>687</v>
      </c>
      <c r="S415" s="65">
        <f t="shared" si="14"/>
        <v>0</v>
      </c>
      <c r="T415" s="369" t="b">
        <v>1</v>
      </c>
      <c r="U415" s="388"/>
      <c r="V415" s="391" t="b">
        <v>0</v>
      </c>
      <c r="W415" s="391" t="b">
        <v>0</v>
      </c>
      <c r="X415" s="391" t="b">
        <v>0</v>
      </c>
    </row>
    <row r="416" ht="24.0" customHeight="1">
      <c r="A416" s="76" t="s">
        <v>515</v>
      </c>
      <c r="B416" s="383">
        <v>46183.0</v>
      </c>
      <c r="C416" s="384" t="s">
        <v>1322</v>
      </c>
      <c r="D416" s="91" t="s">
        <v>188</v>
      </c>
      <c r="E416" s="92"/>
      <c r="F416" s="388"/>
      <c r="G416" s="76" t="s">
        <v>122</v>
      </c>
      <c r="H416" s="385">
        <v>2.0</v>
      </c>
      <c r="I416" s="386">
        <f>IF(G416="", "", IFERROR(VLOOKUP(G416, Products!A:F, 4, FALSE), ""))
</f>
        <v>80</v>
      </c>
      <c r="J416" s="405">
        <v>0.0</v>
      </c>
      <c r="K416" s="54">
        <f t="shared" si="15"/>
        <v>160</v>
      </c>
      <c r="L416" s="387">
        <v>100.0</v>
      </c>
      <c r="M416" s="138" t="s">
        <v>73</v>
      </c>
      <c r="N416" s="46">
        <f t="shared" si="2"/>
        <v>60</v>
      </c>
      <c r="O416" s="369" t="b">
        <v>1</v>
      </c>
      <c r="P416" s="369" t="b">
        <v>1</v>
      </c>
      <c r="Q416" s="387">
        <v>60.0</v>
      </c>
      <c r="R416" s="138" t="s">
        <v>687</v>
      </c>
      <c r="S416" s="65">
        <f t="shared" si="14"/>
        <v>0</v>
      </c>
      <c r="T416" s="369" t="b">
        <v>1</v>
      </c>
      <c r="U416" s="388"/>
      <c r="V416" s="391" t="b">
        <v>0</v>
      </c>
      <c r="W416" s="391" t="b">
        <v>0</v>
      </c>
      <c r="X416" s="391" t="b">
        <v>0</v>
      </c>
    </row>
    <row r="417" ht="24.0" customHeight="1">
      <c r="A417" s="76" t="s">
        <v>515</v>
      </c>
      <c r="B417" s="383">
        <v>46183.0</v>
      </c>
      <c r="C417" s="384" t="s">
        <v>1322</v>
      </c>
      <c r="D417" s="91" t="s">
        <v>188</v>
      </c>
      <c r="E417" s="92"/>
      <c r="F417" s="388"/>
      <c r="G417" s="76" t="s">
        <v>187</v>
      </c>
      <c r="H417" s="385">
        <v>1.0</v>
      </c>
      <c r="I417" s="386">
        <f>IF(G417="", "", IFERROR(VLOOKUP(G417, Products!A:F, 4, FALSE), ""))
</f>
        <v>400</v>
      </c>
      <c r="J417" s="405">
        <v>0.0</v>
      </c>
      <c r="K417" s="54">
        <f t="shared" si="15"/>
        <v>400</v>
      </c>
      <c r="L417" s="387">
        <v>400.0</v>
      </c>
      <c r="M417" s="138" t="s">
        <v>73</v>
      </c>
      <c r="N417" s="46">
        <f t="shared" si="2"/>
        <v>0</v>
      </c>
      <c r="O417" s="369" t="b">
        <v>1</v>
      </c>
      <c r="P417" s="369" t="b">
        <v>1</v>
      </c>
      <c r="Q417" s="387"/>
      <c r="R417" s="138" t="s">
        <v>687</v>
      </c>
      <c r="S417" s="65">
        <f t="shared" si="14"/>
        <v>0</v>
      </c>
      <c r="T417" s="369" t="b">
        <v>1</v>
      </c>
      <c r="U417" s="388"/>
      <c r="V417" s="391" t="b">
        <v>0</v>
      </c>
      <c r="W417" s="391" t="b">
        <v>0</v>
      </c>
      <c r="X417" s="391" t="b">
        <v>0</v>
      </c>
    </row>
    <row r="418" ht="24.0" customHeight="1">
      <c r="A418" s="76" t="s">
        <v>515</v>
      </c>
      <c r="B418" s="383">
        <v>46183.0</v>
      </c>
      <c r="C418" s="384" t="s">
        <v>1322</v>
      </c>
      <c r="D418" s="91" t="s">
        <v>188</v>
      </c>
      <c r="E418" s="92"/>
      <c r="F418" s="388"/>
      <c r="G418" s="76" t="s">
        <v>207</v>
      </c>
      <c r="H418" s="385">
        <v>1.0</v>
      </c>
      <c r="I418" s="386">
        <f>IF(G418="", "", IFERROR(VLOOKUP(G418, Products!A:F, 4, FALSE), ""))
</f>
        <v>80</v>
      </c>
      <c r="J418" s="405">
        <v>0.0</v>
      </c>
      <c r="K418" s="54">
        <f t="shared" si="15"/>
        <v>80</v>
      </c>
      <c r="L418" s="387"/>
      <c r="M418" s="388"/>
      <c r="N418" s="46">
        <f t="shared" si="2"/>
        <v>80</v>
      </c>
      <c r="O418" s="369" t="b">
        <v>1</v>
      </c>
      <c r="P418" s="369" t="b">
        <v>1</v>
      </c>
      <c r="Q418" s="387">
        <v>80.0</v>
      </c>
      <c r="R418" s="138" t="s">
        <v>687</v>
      </c>
      <c r="S418" s="65">
        <f t="shared" si="14"/>
        <v>0</v>
      </c>
      <c r="T418" s="369" t="b">
        <v>1</v>
      </c>
      <c r="U418" s="388"/>
      <c r="V418" s="391" t="b">
        <v>0</v>
      </c>
      <c r="W418" s="391" t="b">
        <v>0</v>
      </c>
      <c r="X418" s="391" t="b">
        <v>0</v>
      </c>
    </row>
    <row r="419" ht="24.0" customHeight="1">
      <c r="A419" s="76" t="s">
        <v>515</v>
      </c>
      <c r="B419" s="383">
        <v>46183.0</v>
      </c>
      <c r="C419" s="384" t="s">
        <v>1322</v>
      </c>
      <c r="D419" s="91" t="s">
        <v>188</v>
      </c>
      <c r="E419" s="92"/>
      <c r="F419" s="388"/>
      <c r="G419" s="76" t="s">
        <v>205</v>
      </c>
      <c r="H419" s="385">
        <v>1.0</v>
      </c>
      <c r="I419" s="386">
        <f>IF(G419="", "", IFERROR(VLOOKUP(G419, Products!A:F, 4, FALSE), ""))
</f>
        <v>100</v>
      </c>
      <c r="J419" s="405">
        <v>0.0</v>
      </c>
      <c r="K419" s="54">
        <f t="shared" si="15"/>
        <v>100</v>
      </c>
      <c r="L419" s="387">
        <v>100.0</v>
      </c>
      <c r="M419" s="138" t="s">
        <v>73</v>
      </c>
      <c r="N419" s="46">
        <f t="shared" si="2"/>
        <v>0</v>
      </c>
      <c r="O419" s="369" t="b">
        <v>1</v>
      </c>
      <c r="P419" s="369" t="b">
        <v>1</v>
      </c>
      <c r="Q419" s="387"/>
      <c r="R419" s="138" t="s">
        <v>687</v>
      </c>
      <c r="S419" s="65">
        <f t="shared" si="14"/>
        <v>0</v>
      </c>
      <c r="T419" s="369" t="b">
        <v>1</v>
      </c>
      <c r="U419" s="388"/>
      <c r="V419" s="391" t="b">
        <v>0</v>
      </c>
      <c r="W419" s="391" t="b">
        <v>0</v>
      </c>
      <c r="X419" s="391" t="b">
        <v>0</v>
      </c>
    </row>
    <row r="420" ht="24.0" customHeight="1">
      <c r="A420" s="76" t="s">
        <v>515</v>
      </c>
      <c r="B420" s="383">
        <v>46183.0</v>
      </c>
      <c r="C420" s="384" t="s">
        <v>1322</v>
      </c>
      <c r="D420" s="91" t="s">
        <v>188</v>
      </c>
      <c r="E420" s="92"/>
      <c r="F420" s="388"/>
      <c r="G420" s="76" t="s">
        <v>222</v>
      </c>
      <c r="H420" s="385">
        <v>1.0</v>
      </c>
      <c r="I420" s="386">
        <f>IF(G420="", "", IFERROR(VLOOKUP(G420, Products!A:F, 4, FALSE), ""))
</f>
        <v>80</v>
      </c>
      <c r="J420" s="405">
        <v>0.0</v>
      </c>
      <c r="K420" s="54">
        <f t="shared" si="15"/>
        <v>80</v>
      </c>
      <c r="L420" s="387">
        <v>80.0</v>
      </c>
      <c r="M420" s="138" t="s">
        <v>73</v>
      </c>
      <c r="N420" s="46">
        <f t="shared" si="2"/>
        <v>0</v>
      </c>
      <c r="O420" s="369" t="b">
        <v>1</v>
      </c>
      <c r="P420" s="369" t="b">
        <v>1</v>
      </c>
      <c r="Q420" s="387"/>
      <c r="R420" s="138" t="s">
        <v>687</v>
      </c>
      <c r="S420" s="65">
        <f t="shared" si="14"/>
        <v>0</v>
      </c>
      <c r="T420" s="369" t="b">
        <v>1</v>
      </c>
      <c r="U420" s="388"/>
      <c r="V420" s="391" t="b">
        <v>0</v>
      </c>
      <c r="W420" s="391" t="b">
        <v>0</v>
      </c>
      <c r="X420" s="391" t="b">
        <v>0</v>
      </c>
    </row>
    <row r="421" ht="24.0" customHeight="1">
      <c r="A421" s="76" t="s">
        <v>515</v>
      </c>
      <c r="B421" s="383">
        <v>46183.0</v>
      </c>
      <c r="C421" s="384" t="s">
        <v>1322</v>
      </c>
      <c r="D421" s="91" t="s">
        <v>188</v>
      </c>
      <c r="E421" s="92"/>
      <c r="F421" s="388"/>
      <c r="G421" s="76" t="s">
        <v>217</v>
      </c>
      <c r="H421" s="385">
        <v>1.0</v>
      </c>
      <c r="I421" s="386">
        <f>IF(G421="", "", IFERROR(VLOOKUP(G421, Products!A:F, 4, FALSE), ""))
</f>
        <v>80</v>
      </c>
      <c r="J421" s="405">
        <v>0.0</v>
      </c>
      <c r="K421" s="54">
        <f t="shared" si="15"/>
        <v>80</v>
      </c>
      <c r="L421" s="387">
        <v>20.0</v>
      </c>
      <c r="M421" s="138" t="s">
        <v>73</v>
      </c>
      <c r="N421" s="46">
        <f t="shared" si="2"/>
        <v>60</v>
      </c>
      <c r="O421" s="369" t="b">
        <v>1</v>
      </c>
      <c r="P421" s="369" t="b">
        <v>1</v>
      </c>
      <c r="Q421" s="387">
        <v>60.0</v>
      </c>
      <c r="R421" s="138" t="s">
        <v>687</v>
      </c>
      <c r="S421" s="65">
        <f t="shared" si="14"/>
        <v>0</v>
      </c>
      <c r="T421" s="369" t="b">
        <v>1</v>
      </c>
      <c r="U421" s="388"/>
      <c r="V421" s="391" t="b">
        <v>0</v>
      </c>
      <c r="W421" s="391" t="b">
        <v>0</v>
      </c>
      <c r="X421" s="391" t="b">
        <v>0</v>
      </c>
    </row>
    <row r="422" ht="24.0" customHeight="1">
      <c r="A422" s="76" t="s">
        <v>515</v>
      </c>
      <c r="B422" s="383">
        <v>46183.0</v>
      </c>
      <c r="C422" s="384" t="s">
        <v>1322</v>
      </c>
      <c r="D422" s="91" t="s">
        <v>188</v>
      </c>
      <c r="E422" s="92"/>
      <c r="F422" s="388"/>
      <c r="G422" s="76" t="s">
        <v>153</v>
      </c>
      <c r="H422" s="385">
        <v>1.0</v>
      </c>
      <c r="I422" s="386">
        <f>IF(G422="", "", IFERROR(VLOOKUP(G422, Products!A:F, 4, FALSE), ""))
</f>
        <v>80</v>
      </c>
      <c r="J422" s="405">
        <v>0.0</v>
      </c>
      <c r="K422" s="54">
        <f t="shared" si="15"/>
        <v>80</v>
      </c>
      <c r="L422" s="387"/>
      <c r="M422" s="388"/>
      <c r="N422" s="46">
        <f t="shared" si="2"/>
        <v>80</v>
      </c>
      <c r="O422" s="369" t="b">
        <v>1</v>
      </c>
      <c r="P422" s="369" t="b">
        <v>1</v>
      </c>
      <c r="Q422" s="387">
        <v>80.0</v>
      </c>
      <c r="R422" s="138" t="s">
        <v>687</v>
      </c>
      <c r="S422" s="65">
        <f t="shared" si="14"/>
        <v>0</v>
      </c>
      <c r="T422" s="369" t="b">
        <v>1</v>
      </c>
      <c r="U422" s="388"/>
      <c r="V422" s="391" t="b">
        <v>0</v>
      </c>
      <c r="W422" s="391" t="b">
        <v>0</v>
      </c>
      <c r="X422" s="391" t="b">
        <v>0</v>
      </c>
    </row>
    <row r="423" ht="24.0" customHeight="1">
      <c r="A423" s="76" t="s">
        <v>515</v>
      </c>
      <c r="B423" s="383">
        <v>46183.0</v>
      </c>
      <c r="C423" s="384" t="s">
        <v>1322</v>
      </c>
      <c r="D423" s="91" t="s">
        <v>188</v>
      </c>
      <c r="E423" s="92"/>
      <c r="F423" s="388"/>
      <c r="G423" s="44" t="s">
        <v>104</v>
      </c>
      <c r="H423" s="385">
        <v>1.0</v>
      </c>
      <c r="I423" s="386">
        <f>IF(G423="", "", IFERROR(VLOOKUP(G423, Products!A:F, 4, FALSE), ""))
</f>
        <v>80</v>
      </c>
      <c r="J423" s="405">
        <v>0.0</v>
      </c>
      <c r="K423" s="54">
        <f t="shared" si="15"/>
        <v>80</v>
      </c>
      <c r="L423" s="387"/>
      <c r="M423" s="388"/>
      <c r="N423" s="46">
        <f t="shared" si="2"/>
        <v>80</v>
      </c>
      <c r="O423" s="369" t="b">
        <v>1</v>
      </c>
      <c r="P423" s="369" t="b">
        <v>1</v>
      </c>
      <c r="Q423" s="387">
        <v>80.0</v>
      </c>
      <c r="R423" s="138" t="s">
        <v>687</v>
      </c>
      <c r="S423" s="65">
        <f t="shared" si="14"/>
        <v>0</v>
      </c>
      <c r="T423" s="369" t="b">
        <v>1</v>
      </c>
      <c r="U423" s="388"/>
      <c r="V423" s="391" t="b">
        <v>0</v>
      </c>
      <c r="W423" s="391" t="b">
        <v>0</v>
      </c>
      <c r="X423" s="391" t="b">
        <v>0</v>
      </c>
    </row>
    <row r="424" ht="24.0" customHeight="1">
      <c r="A424" s="76" t="s">
        <v>515</v>
      </c>
      <c r="B424" s="383">
        <v>46183.0</v>
      </c>
      <c r="C424" s="384" t="s">
        <v>1322</v>
      </c>
      <c r="D424" s="91" t="s">
        <v>188</v>
      </c>
      <c r="E424" s="92"/>
      <c r="F424" s="388"/>
      <c r="G424" s="44" t="s">
        <v>168</v>
      </c>
      <c r="H424" s="385">
        <v>1.0</v>
      </c>
      <c r="I424" s="386">
        <f>IF(G424="", "", IFERROR(VLOOKUP(G424, Products!A:F, 4, FALSE), ""))
</f>
        <v>80</v>
      </c>
      <c r="J424" s="405">
        <v>0.0</v>
      </c>
      <c r="K424" s="54">
        <f t="shared" si="15"/>
        <v>80</v>
      </c>
      <c r="L424" s="387"/>
      <c r="M424" s="388"/>
      <c r="N424" s="46">
        <f t="shared" si="2"/>
        <v>80</v>
      </c>
      <c r="O424" s="369" t="b">
        <v>1</v>
      </c>
      <c r="P424" s="369" t="b">
        <v>1</v>
      </c>
      <c r="Q424" s="387">
        <v>80.0</v>
      </c>
      <c r="R424" s="138" t="s">
        <v>687</v>
      </c>
      <c r="S424" s="65">
        <f t="shared" si="14"/>
        <v>0</v>
      </c>
      <c r="T424" s="369" t="b">
        <v>1</v>
      </c>
      <c r="U424" s="388"/>
      <c r="V424" s="391" t="b">
        <v>0</v>
      </c>
      <c r="W424" s="391" t="b">
        <v>0</v>
      </c>
      <c r="X424" s="391" t="b">
        <v>0</v>
      </c>
    </row>
    <row r="425" ht="24.0" customHeight="1">
      <c r="A425" s="76" t="s">
        <v>515</v>
      </c>
      <c r="B425" s="383">
        <v>46183.0</v>
      </c>
      <c r="C425" s="384" t="s">
        <v>1322</v>
      </c>
      <c r="D425" s="91" t="s">
        <v>188</v>
      </c>
      <c r="E425" s="92"/>
      <c r="F425" s="388"/>
      <c r="G425" s="76" t="s">
        <v>185</v>
      </c>
      <c r="H425" s="385">
        <v>1.0</v>
      </c>
      <c r="I425" s="386">
        <f>IF(G425="", "", IFERROR(VLOOKUP(G425, Products!A:F, 4, FALSE), ""))
</f>
        <v>80</v>
      </c>
      <c r="J425" s="405">
        <v>0.0</v>
      </c>
      <c r="K425" s="54">
        <f t="shared" si="15"/>
        <v>80</v>
      </c>
      <c r="L425" s="387"/>
      <c r="M425" s="388"/>
      <c r="N425" s="46">
        <f t="shared" si="2"/>
        <v>80</v>
      </c>
      <c r="O425" s="369" t="b">
        <v>1</v>
      </c>
      <c r="P425" s="369" t="b">
        <v>1</v>
      </c>
      <c r="Q425" s="387">
        <v>80.0</v>
      </c>
      <c r="R425" s="138" t="s">
        <v>687</v>
      </c>
      <c r="S425" s="65">
        <f t="shared" si="14"/>
        <v>0</v>
      </c>
      <c r="T425" s="369" t="b">
        <v>1</v>
      </c>
      <c r="U425" s="388"/>
      <c r="V425" s="391" t="b">
        <v>0</v>
      </c>
      <c r="W425" s="391" t="b">
        <v>0</v>
      </c>
      <c r="X425" s="391" t="b">
        <v>0</v>
      </c>
    </row>
    <row r="426" ht="24.0" customHeight="1">
      <c r="A426" s="76" t="s">
        <v>522</v>
      </c>
      <c r="B426" s="383">
        <v>46183.0</v>
      </c>
      <c r="C426" s="384" t="s">
        <v>1323</v>
      </c>
      <c r="D426" s="116" t="s">
        <v>243</v>
      </c>
      <c r="E426" s="399"/>
      <c r="F426" s="388"/>
      <c r="G426" s="76" t="s">
        <v>187</v>
      </c>
      <c r="H426" s="385">
        <v>2.0</v>
      </c>
      <c r="I426" s="386">
        <f>IF(G426="", "", IFERROR(VLOOKUP(G426, Products!A:F, 4, FALSE), ""))
</f>
        <v>400</v>
      </c>
      <c r="J426" s="405">
        <v>0.0</v>
      </c>
      <c r="K426" s="54">
        <f t="shared" si="15"/>
        <v>800</v>
      </c>
      <c r="L426" s="387">
        <v>500.0</v>
      </c>
      <c r="M426" s="138" t="s">
        <v>73</v>
      </c>
      <c r="N426" s="46">
        <f t="shared" si="2"/>
        <v>300</v>
      </c>
      <c r="O426" s="369" t="b">
        <v>1</v>
      </c>
      <c r="P426" s="369" t="b">
        <v>1</v>
      </c>
      <c r="Q426" s="387">
        <v>300.0</v>
      </c>
      <c r="R426" s="138" t="s">
        <v>687</v>
      </c>
      <c r="S426" s="65">
        <f t="shared" si="14"/>
        <v>0</v>
      </c>
      <c r="T426" s="369" t="b">
        <v>1</v>
      </c>
      <c r="U426" s="388"/>
      <c r="V426" s="391" t="b">
        <v>0</v>
      </c>
      <c r="W426" s="391" t="b">
        <v>0</v>
      </c>
      <c r="X426" s="391" t="b">
        <v>0</v>
      </c>
    </row>
    <row r="427" ht="24.0" customHeight="1">
      <c r="A427" s="76" t="s">
        <v>522</v>
      </c>
      <c r="B427" s="383">
        <v>46183.0</v>
      </c>
      <c r="C427" s="384" t="s">
        <v>1323</v>
      </c>
      <c r="D427" s="116" t="s">
        <v>243</v>
      </c>
      <c r="E427" s="399"/>
      <c r="F427" s="388"/>
      <c r="G427" s="76" t="s">
        <v>205</v>
      </c>
      <c r="H427" s="385">
        <v>2.0</v>
      </c>
      <c r="I427" s="386">
        <f>IF(G427="", "", IFERROR(VLOOKUP(G427, Products!A:F, 4, FALSE), ""))
</f>
        <v>100</v>
      </c>
      <c r="J427" s="405">
        <v>0.0</v>
      </c>
      <c r="K427" s="54">
        <f t="shared" si="15"/>
        <v>200</v>
      </c>
      <c r="L427" s="387"/>
      <c r="M427" s="388"/>
      <c r="N427" s="46">
        <f t="shared" si="2"/>
        <v>200</v>
      </c>
      <c r="O427" s="369" t="b">
        <v>1</v>
      </c>
      <c r="P427" s="369" t="b">
        <v>1</v>
      </c>
      <c r="Q427" s="387">
        <v>200.0</v>
      </c>
      <c r="R427" s="138" t="s">
        <v>687</v>
      </c>
      <c r="S427" s="65">
        <f t="shared" si="14"/>
        <v>0</v>
      </c>
      <c r="T427" s="369" t="b">
        <v>1</v>
      </c>
      <c r="U427" s="388"/>
      <c r="V427" s="391" t="b">
        <v>0</v>
      </c>
      <c r="W427" s="391" t="b">
        <v>0</v>
      </c>
      <c r="X427" s="391" t="b">
        <v>0</v>
      </c>
    </row>
    <row r="428" ht="24.0" customHeight="1">
      <c r="A428" s="76" t="s">
        <v>522</v>
      </c>
      <c r="B428" s="383">
        <v>46183.0</v>
      </c>
      <c r="C428" s="384" t="s">
        <v>1323</v>
      </c>
      <c r="D428" s="116" t="s">
        <v>243</v>
      </c>
      <c r="E428" s="399"/>
      <c r="F428" s="388"/>
      <c r="G428" s="76" t="s">
        <v>201</v>
      </c>
      <c r="H428" s="385">
        <v>2.0</v>
      </c>
      <c r="I428" s="386">
        <f>IF(G428="", "", IFERROR(VLOOKUP(G428, Products!A:F, 4, FALSE), ""))
</f>
        <v>80</v>
      </c>
      <c r="J428" s="405">
        <v>0.0</v>
      </c>
      <c r="K428" s="54">
        <f t="shared" si="15"/>
        <v>160</v>
      </c>
      <c r="L428" s="387"/>
      <c r="M428" s="388"/>
      <c r="N428" s="46">
        <f t="shared" si="2"/>
        <v>160</v>
      </c>
      <c r="O428" s="369" t="b">
        <v>1</v>
      </c>
      <c r="P428" s="369" t="b">
        <v>1</v>
      </c>
      <c r="Q428" s="387">
        <v>160.0</v>
      </c>
      <c r="R428" s="138" t="s">
        <v>687</v>
      </c>
      <c r="S428" s="65">
        <f t="shared" si="14"/>
        <v>0</v>
      </c>
      <c r="T428" s="369" t="b">
        <v>1</v>
      </c>
      <c r="U428" s="388"/>
      <c r="V428" s="391" t="b">
        <v>0</v>
      </c>
      <c r="W428" s="391" t="b">
        <v>0</v>
      </c>
      <c r="X428" s="391" t="b">
        <v>0</v>
      </c>
    </row>
    <row r="429" ht="24.0" customHeight="1">
      <c r="A429" s="76" t="s">
        <v>521</v>
      </c>
      <c r="B429" s="383">
        <v>46183.0</v>
      </c>
      <c r="C429" s="384" t="s">
        <v>1324</v>
      </c>
      <c r="D429" s="116" t="s">
        <v>78</v>
      </c>
      <c r="E429" s="399"/>
      <c r="F429" s="388"/>
      <c r="G429" s="76" t="s">
        <v>122</v>
      </c>
      <c r="H429" s="385">
        <v>2.0</v>
      </c>
      <c r="I429" s="386">
        <f>IF(G429="", "", IFERROR(VLOOKUP(G429, Products!A:F, 4, FALSE), ""))
</f>
        <v>80</v>
      </c>
      <c r="J429" s="405">
        <v>0.0</v>
      </c>
      <c r="K429" s="54">
        <f t="shared" si="15"/>
        <v>160</v>
      </c>
      <c r="L429" s="387">
        <v>100.0</v>
      </c>
      <c r="M429" s="138" t="s">
        <v>73</v>
      </c>
      <c r="N429" s="46">
        <f t="shared" si="2"/>
        <v>60</v>
      </c>
      <c r="O429" s="369" t="b">
        <v>1</v>
      </c>
      <c r="P429" s="369" t="b">
        <v>1</v>
      </c>
      <c r="Q429" s="387">
        <v>60.0</v>
      </c>
      <c r="R429" s="138" t="s">
        <v>687</v>
      </c>
      <c r="S429" s="65">
        <f t="shared" si="14"/>
        <v>0</v>
      </c>
      <c r="T429" s="369" t="b">
        <v>1</v>
      </c>
      <c r="U429" s="388"/>
      <c r="V429" s="391" t="b">
        <v>0</v>
      </c>
      <c r="W429" s="391" t="b">
        <v>0</v>
      </c>
      <c r="X429" s="391" t="b">
        <v>0</v>
      </c>
    </row>
    <row r="430" ht="24.0" customHeight="1">
      <c r="A430" s="76" t="s">
        <v>532</v>
      </c>
      <c r="B430" s="383">
        <v>46184.0</v>
      </c>
      <c r="C430" s="384" t="s">
        <v>1325</v>
      </c>
      <c r="D430" s="91" t="s">
        <v>188</v>
      </c>
      <c r="E430" s="92"/>
      <c r="F430" s="388"/>
      <c r="G430" s="76" t="s">
        <v>141</v>
      </c>
      <c r="H430" s="385">
        <v>1.0</v>
      </c>
      <c r="I430" s="386">
        <f>IF(G430="", "", IFERROR(VLOOKUP(G430, Products!A:F, 4, FALSE), ""))
</f>
        <v>2000</v>
      </c>
      <c r="J430" s="405">
        <v>0.0</v>
      </c>
      <c r="K430" s="54">
        <f t="shared" si="15"/>
        <v>2000</v>
      </c>
      <c r="L430" s="387">
        <v>500.0</v>
      </c>
      <c r="M430" s="138" t="s">
        <v>73</v>
      </c>
      <c r="N430" s="46">
        <f t="shared" si="2"/>
        <v>1500</v>
      </c>
      <c r="O430" s="369" t="b">
        <v>1</v>
      </c>
      <c r="P430" s="369" t="b">
        <v>1</v>
      </c>
      <c r="Q430" s="387">
        <v>1500.0</v>
      </c>
      <c r="R430" s="138" t="s">
        <v>687</v>
      </c>
      <c r="S430" s="65">
        <f t="shared" si="14"/>
        <v>0</v>
      </c>
      <c r="T430" s="369" t="b">
        <v>0</v>
      </c>
      <c r="U430" s="388"/>
      <c r="V430" s="391" t="b">
        <v>0</v>
      </c>
      <c r="W430" s="391" t="b">
        <v>0</v>
      </c>
      <c r="X430" s="391" t="b">
        <v>0</v>
      </c>
    </row>
    <row r="431" ht="24.0" customHeight="1">
      <c r="A431" s="76" t="s">
        <v>533</v>
      </c>
      <c r="B431" s="383">
        <v>46184.0</v>
      </c>
      <c r="C431" s="476" t="s">
        <v>1326</v>
      </c>
      <c r="D431" s="116" t="s">
        <v>93</v>
      </c>
      <c r="E431" s="116" t="s">
        <v>154</v>
      </c>
      <c r="F431" s="388"/>
      <c r="G431" s="76" t="s">
        <v>207</v>
      </c>
      <c r="H431" s="385">
        <v>2.0</v>
      </c>
      <c r="I431" s="386">
        <f>IF(G431="", "", IFERROR(VLOOKUP(G431, Products!A:F, 4, FALSE), ""))
</f>
        <v>80</v>
      </c>
      <c r="J431" s="405">
        <v>0.0</v>
      </c>
      <c r="K431" s="54">
        <f t="shared" si="15"/>
        <v>160</v>
      </c>
      <c r="L431" s="387">
        <v>100.0</v>
      </c>
      <c r="M431" s="138" t="s">
        <v>73</v>
      </c>
      <c r="N431" s="46">
        <f t="shared" si="2"/>
        <v>60</v>
      </c>
      <c r="O431" s="369" t="b">
        <v>1</v>
      </c>
      <c r="P431" s="369" t="b">
        <v>1</v>
      </c>
      <c r="Q431" s="387">
        <v>60.0</v>
      </c>
      <c r="R431" s="138" t="s">
        <v>687</v>
      </c>
      <c r="S431" s="65">
        <f t="shared" si="14"/>
        <v>0</v>
      </c>
      <c r="T431" s="369" t="b">
        <v>1</v>
      </c>
      <c r="U431" s="388"/>
      <c r="V431" s="391" t="b">
        <v>0</v>
      </c>
      <c r="W431" s="391" t="b">
        <v>0</v>
      </c>
      <c r="X431" s="391" t="b">
        <v>0</v>
      </c>
    </row>
    <row r="432" ht="24.0" customHeight="1">
      <c r="A432" s="76" t="s">
        <v>550</v>
      </c>
      <c r="B432" s="383">
        <v>46188.0</v>
      </c>
      <c r="C432" s="384" t="s">
        <v>1327</v>
      </c>
      <c r="D432" s="116" t="s">
        <v>93</v>
      </c>
      <c r="E432" s="116" t="s">
        <v>94</v>
      </c>
      <c r="F432" s="388"/>
      <c r="G432" s="76" t="s">
        <v>122</v>
      </c>
      <c r="H432" s="385">
        <v>5.0</v>
      </c>
      <c r="I432" s="386">
        <f>IF(G432="", "", IFERROR(VLOOKUP(G432, Products!A:F, 4, FALSE), ""))
</f>
        <v>80</v>
      </c>
      <c r="J432" s="405">
        <v>0.0</v>
      </c>
      <c r="K432" s="54">
        <f t="shared" si="15"/>
        <v>400</v>
      </c>
      <c r="L432" s="387"/>
      <c r="M432" s="388"/>
      <c r="N432" s="46">
        <f t="shared" si="2"/>
        <v>400</v>
      </c>
      <c r="O432" s="369" t="b">
        <v>1</v>
      </c>
      <c r="P432" s="369" t="b">
        <v>1</v>
      </c>
      <c r="Q432" s="387">
        <v>400.0</v>
      </c>
      <c r="R432" s="138" t="s">
        <v>687</v>
      </c>
      <c r="S432" s="65">
        <f t="shared" si="14"/>
        <v>0</v>
      </c>
      <c r="T432" s="369" t="b">
        <v>1</v>
      </c>
      <c r="U432" s="388"/>
      <c r="V432" s="391" t="b">
        <v>0</v>
      </c>
      <c r="W432" s="391" t="b">
        <v>0</v>
      </c>
      <c r="X432" s="391" t="b">
        <v>0</v>
      </c>
    </row>
    <row r="433" ht="24.0" customHeight="1">
      <c r="A433" s="76" t="s">
        <v>534</v>
      </c>
      <c r="B433" s="383">
        <v>46188.0</v>
      </c>
      <c r="C433" s="477" t="s">
        <v>1328</v>
      </c>
      <c r="D433" s="116" t="s">
        <v>195</v>
      </c>
      <c r="E433" s="399"/>
      <c r="F433" s="388"/>
      <c r="G433" s="76" t="s">
        <v>122</v>
      </c>
      <c r="H433" s="385">
        <v>10.0</v>
      </c>
      <c r="I433" s="386">
        <f>IF(G433="", "", IFERROR(VLOOKUP(G433, Products!A:F, 4, FALSE), ""))
</f>
        <v>80</v>
      </c>
      <c r="J433" s="405">
        <v>0.0</v>
      </c>
      <c r="K433" s="54">
        <f t="shared" si="15"/>
        <v>800</v>
      </c>
      <c r="L433" s="387">
        <v>400.0</v>
      </c>
      <c r="M433" s="138" t="s">
        <v>73</v>
      </c>
      <c r="N433" s="46">
        <f t="shared" si="2"/>
        <v>400</v>
      </c>
      <c r="O433" s="369" t="b">
        <v>1</v>
      </c>
      <c r="P433" s="369" t="b">
        <v>1</v>
      </c>
      <c r="Q433" s="387">
        <v>400.0</v>
      </c>
      <c r="R433" s="138" t="s">
        <v>687</v>
      </c>
      <c r="S433" s="65">
        <f t="shared" si="14"/>
        <v>0</v>
      </c>
      <c r="T433" s="369" t="b">
        <v>1</v>
      </c>
      <c r="U433" s="388"/>
      <c r="V433" s="391" t="b">
        <v>0</v>
      </c>
      <c r="W433" s="391" t="b">
        <v>0</v>
      </c>
      <c r="X433" s="391" t="b">
        <v>0</v>
      </c>
    </row>
    <row r="434" ht="24.0" customHeight="1">
      <c r="A434" s="76" t="s">
        <v>552</v>
      </c>
      <c r="B434" s="383">
        <v>46188.0</v>
      </c>
      <c r="C434" s="384" t="s">
        <v>1329</v>
      </c>
      <c r="D434" s="116" t="s">
        <v>93</v>
      </c>
      <c r="E434" s="116" t="s">
        <v>568</v>
      </c>
      <c r="F434" s="388"/>
      <c r="G434" s="76" t="s">
        <v>187</v>
      </c>
      <c r="H434" s="385">
        <v>3.0</v>
      </c>
      <c r="I434" s="386">
        <f>IF(G434="", "", IFERROR(VLOOKUP(G434, Products!A:F, 4, FALSE), ""))
</f>
        <v>400</v>
      </c>
      <c r="J434" s="405">
        <v>0.0</v>
      </c>
      <c r="K434" s="54">
        <f t="shared" si="15"/>
        <v>1200</v>
      </c>
      <c r="L434" s="387">
        <v>225.0</v>
      </c>
      <c r="M434" s="138" t="s">
        <v>73</v>
      </c>
      <c r="N434" s="46">
        <f t="shared" si="2"/>
        <v>975</v>
      </c>
      <c r="O434" s="369" t="b">
        <v>1</v>
      </c>
      <c r="P434" s="369" t="b">
        <v>1</v>
      </c>
      <c r="Q434" s="387">
        <v>975.0</v>
      </c>
      <c r="R434" s="138" t="s">
        <v>687</v>
      </c>
      <c r="S434" s="65">
        <f t="shared" si="14"/>
        <v>0</v>
      </c>
      <c r="T434" s="369" t="b">
        <v>1</v>
      </c>
      <c r="U434" s="388"/>
      <c r="V434" s="391" t="b">
        <v>0</v>
      </c>
      <c r="W434" s="391" t="b">
        <v>0</v>
      </c>
      <c r="X434" s="391" t="b">
        <v>0</v>
      </c>
    </row>
    <row r="435" ht="24.0" customHeight="1">
      <c r="A435" s="76" t="s">
        <v>453</v>
      </c>
      <c r="B435" s="383">
        <v>46188.0</v>
      </c>
      <c r="C435" s="384" t="s">
        <v>1282</v>
      </c>
      <c r="D435" s="116" t="s">
        <v>454</v>
      </c>
      <c r="E435" s="399"/>
      <c r="F435" s="388"/>
      <c r="G435" s="76" t="s">
        <v>63</v>
      </c>
      <c r="H435" s="385">
        <v>1.0</v>
      </c>
      <c r="I435" s="386">
        <f>IF(G435="", "", IFERROR(VLOOKUP(G435, Products!A:F, 4, FALSE), ""))
</f>
        <v>850</v>
      </c>
      <c r="J435" s="405">
        <v>0.0</v>
      </c>
      <c r="K435" s="54">
        <f t="shared" si="15"/>
        <v>850</v>
      </c>
      <c r="L435" s="387">
        <v>400.0</v>
      </c>
      <c r="M435" s="138" t="s">
        <v>73</v>
      </c>
      <c r="N435" s="46">
        <f t="shared" si="2"/>
        <v>450</v>
      </c>
      <c r="O435" s="369" t="b">
        <v>1</v>
      </c>
      <c r="P435" s="369" t="b">
        <v>1</v>
      </c>
      <c r="Q435" s="387">
        <v>450.0</v>
      </c>
      <c r="R435" s="138" t="s">
        <v>687</v>
      </c>
      <c r="S435" s="65">
        <f t="shared" si="14"/>
        <v>0</v>
      </c>
      <c r="T435" s="369" t="b">
        <v>1</v>
      </c>
      <c r="U435" s="388"/>
      <c r="V435" s="391" t="b">
        <v>0</v>
      </c>
      <c r="W435" s="391" t="b">
        <v>0</v>
      </c>
      <c r="X435" s="391" t="b">
        <v>0</v>
      </c>
    </row>
    <row r="436" ht="24.0" customHeight="1">
      <c r="A436" s="76" t="s">
        <v>453</v>
      </c>
      <c r="B436" s="383">
        <v>46188.0</v>
      </c>
      <c r="C436" s="384" t="s">
        <v>1282</v>
      </c>
      <c r="D436" s="116" t="s">
        <v>454</v>
      </c>
      <c r="E436" s="399"/>
      <c r="F436" s="388"/>
      <c r="G436" s="76" t="s">
        <v>201</v>
      </c>
      <c r="H436" s="385">
        <v>1.0</v>
      </c>
      <c r="I436" s="386">
        <f>IF(G436="", "", IFERROR(VLOOKUP(G436, Products!A:F, 4, FALSE), ""))
</f>
        <v>80</v>
      </c>
      <c r="J436" s="405">
        <v>0.0</v>
      </c>
      <c r="K436" s="54">
        <f t="shared" si="15"/>
        <v>80</v>
      </c>
      <c r="L436" s="387"/>
      <c r="M436" s="138" t="s">
        <v>73</v>
      </c>
      <c r="N436" s="46">
        <f t="shared" si="2"/>
        <v>80</v>
      </c>
      <c r="O436" s="369" t="b">
        <v>1</v>
      </c>
      <c r="P436" s="369" t="b">
        <v>1</v>
      </c>
      <c r="Q436" s="387">
        <v>80.0</v>
      </c>
      <c r="R436" s="138" t="s">
        <v>687</v>
      </c>
      <c r="S436" s="65">
        <f t="shared" si="14"/>
        <v>0</v>
      </c>
      <c r="T436" s="369" t="b">
        <v>1</v>
      </c>
      <c r="U436" s="388"/>
      <c r="V436" s="391" t="b">
        <v>0</v>
      </c>
      <c r="W436" s="391" t="b">
        <v>0</v>
      </c>
      <c r="X436" s="391" t="b">
        <v>0</v>
      </c>
    </row>
    <row r="437" ht="24.0" customHeight="1">
      <c r="A437" s="76" t="s">
        <v>453</v>
      </c>
      <c r="B437" s="383">
        <v>46188.0</v>
      </c>
      <c r="C437" s="384" t="s">
        <v>1282</v>
      </c>
      <c r="D437" s="116" t="s">
        <v>454</v>
      </c>
      <c r="E437" s="399"/>
      <c r="F437" s="388"/>
      <c r="G437" s="76" t="s">
        <v>210</v>
      </c>
      <c r="H437" s="385">
        <v>1.0</v>
      </c>
      <c r="I437" s="386">
        <f>IF(G437="", "", IFERROR(VLOOKUP(G437, Products!A:F, 4, FALSE), ""))
</f>
        <v>80</v>
      </c>
      <c r="J437" s="405">
        <v>0.0</v>
      </c>
      <c r="K437" s="54">
        <f t="shared" si="15"/>
        <v>80</v>
      </c>
      <c r="L437" s="387">
        <v>80.0</v>
      </c>
      <c r="M437" s="138" t="s">
        <v>73</v>
      </c>
      <c r="N437" s="46">
        <f t="shared" si="2"/>
        <v>0</v>
      </c>
      <c r="O437" s="369" t="b">
        <v>1</v>
      </c>
      <c r="P437" s="369" t="b">
        <v>1</v>
      </c>
      <c r="Q437" s="387"/>
      <c r="R437" s="138" t="s">
        <v>687</v>
      </c>
      <c r="S437" s="65">
        <f t="shared" si="14"/>
        <v>0</v>
      </c>
      <c r="T437" s="369" t="b">
        <v>1</v>
      </c>
      <c r="U437" s="388"/>
      <c r="V437" s="391" t="b">
        <v>0</v>
      </c>
      <c r="W437" s="391" t="b">
        <v>0</v>
      </c>
      <c r="X437" s="391" t="b">
        <v>0</v>
      </c>
    </row>
    <row r="438" ht="24.0" customHeight="1">
      <c r="A438" s="76" t="s">
        <v>453</v>
      </c>
      <c r="B438" s="383">
        <v>46188.0</v>
      </c>
      <c r="C438" s="384" t="s">
        <v>1282</v>
      </c>
      <c r="D438" s="116" t="s">
        <v>454</v>
      </c>
      <c r="E438" s="399"/>
      <c r="F438" s="388"/>
      <c r="G438" s="76" t="s">
        <v>122</v>
      </c>
      <c r="H438" s="385">
        <v>1.0</v>
      </c>
      <c r="I438" s="386">
        <f>IF(G438="", "", IFERROR(VLOOKUP(G438, Products!A:F, 4, FALSE), ""))
</f>
        <v>80</v>
      </c>
      <c r="J438" s="405">
        <v>0.0</v>
      </c>
      <c r="K438" s="54">
        <f t="shared" si="15"/>
        <v>80</v>
      </c>
      <c r="L438" s="387">
        <v>80.0</v>
      </c>
      <c r="M438" s="138" t="s">
        <v>73</v>
      </c>
      <c r="N438" s="46">
        <f t="shared" si="2"/>
        <v>0</v>
      </c>
      <c r="O438" s="369" t="b">
        <v>1</v>
      </c>
      <c r="P438" s="369" t="b">
        <v>1</v>
      </c>
      <c r="Q438" s="387"/>
      <c r="R438" s="138" t="s">
        <v>687</v>
      </c>
      <c r="S438" s="65">
        <f t="shared" si="14"/>
        <v>0</v>
      </c>
      <c r="T438" s="369" t="b">
        <v>1</v>
      </c>
      <c r="U438" s="388"/>
      <c r="V438" s="391" t="b">
        <v>0</v>
      </c>
      <c r="W438" s="391" t="b">
        <v>0</v>
      </c>
      <c r="X438" s="391" t="b">
        <v>0</v>
      </c>
    </row>
    <row r="439" ht="24.0" customHeight="1">
      <c r="A439" s="76" t="s">
        <v>453</v>
      </c>
      <c r="B439" s="383">
        <v>46188.0</v>
      </c>
      <c r="C439" s="384" t="s">
        <v>1282</v>
      </c>
      <c r="D439" s="116" t="s">
        <v>454</v>
      </c>
      <c r="E439" s="399"/>
      <c r="F439" s="388"/>
      <c r="G439" s="76" t="s">
        <v>207</v>
      </c>
      <c r="H439" s="385">
        <v>1.0</v>
      </c>
      <c r="I439" s="386">
        <f>IF(G439="", "", IFERROR(VLOOKUP(G439, Products!A:F, 4, FALSE), ""))
</f>
        <v>80</v>
      </c>
      <c r="J439" s="405">
        <v>0.0</v>
      </c>
      <c r="K439" s="54">
        <f t="shared" si="15"/>
        <v>80</v>
      </c>
      <c r="L439" s="387">
        <v>80.0</v>
      </c>
      <c r="M439" s="138" t="s">
        <v>73</v>
      </c>
      <c r="N439" s="46">
        <f t="shared" si="2"/>
        <v>0</v>
      </c>
      <c r="O439" s="369" t="b">
        <v>1</v>
      </c>
      <c r="P439" s="369" t="b">
        <v>1</v>
      </c>
      <c r="Q439" s="387"/>
      <c r="R439" s="138" t="s">
        <v>687</v>
      </c>
      <c r="S439" s="65">
        <f t="shared" si="14"/>
        <v>0</v>
      </c>
      <c r="T439" s="369" t="b">
        <v>1</v>
      </c>
      <c r="U439" s="388"/>
      <c r="V439" s="391" t="b">
        <v>0</v>
      </c>
      <c r="W439" s="391" t="b">
        <v>0</v>
      </c>
      <c r="X439" s="391" t="b">
        <v>0</v>
      </c>
    </row>
    <row r="440" ht="24.0" customHeight="1">
      <c r="A440" s="76" t="s">
        <v>453</v>
      </c>
      <c r="B440" s="383">
        <v>46188.0</v>
      </c>
      <c r="C440" s="384" t="s">
        <v>1282</v>
      </c>
      <c r="D440" s="116" t="s">
        <v>454</v>
      </c>
      <c r="E440" s="399"/>
      <c r="F440" s="388"/>
      <c r="G440" s="76" t="s">
        <v>205</v>
      </c>
      <c r="H440" s="385">
        <v>1.0</v>
      </c>
      <c r="I440" s="386">
        <f>IF(G440="", "", IFERROR(VLOOKUP(G440, Products!A:F, 4, FALSE), ""))
</f>
        <v>100</v>
      </c>
      <c r="J440" s="405">
        <v>0.0</v>
      </c>
      <c r="K440" s="54">
        <f t="shared" si="15"/>
        <v>100</v>
      </c>
      <c r="L440" s="387">
        <v>40.0</v>
      </c>
      <c r="M440" s="138" t="s">
        <v>73</v>
      </c>
      <c r="N440" s="46">
        <f t="shared" si="2"/>
        <v>60</v>
      </c>
      <c r="O440" s="369" t="b">
        <v>1</v>
      </c>
      <c r="P440" s="369" t="b">
        <v>1</v>
      </c>
      <c r="Q440" s="387">
        <v>60.0</v>
      </c>
      <c r="R440" s="138" t="s">
        <v>687</v>
      </c>
      <c r="S440" s="65">
        <f t="shared" si="14"/>
        <v>0</v>
      </c>
      <c r="T440" s="369" t="b">
        <v>1</v>
      </c>
      <c r="U440" s="388"/>
      <c r="V440" s="391" t="b">
        <v>0</v>
      </c>
      <c r="W440" s="391" t="b">
        <v>0</v>
      </c>
      <c r="X440" s="391" t="b">
        <v>0</v>
      </c>
    </row>
    <row r="441" ht="24.0" customHeight="1">
      <c r="A441" s="76" t="s">
        <v>453</v>
      </c>
      <c r="B441" s="383">
        <v>46188.0</v>
      </c>
      <c r="C441" s="384" t="s">
        <v>1282</v>
      </c>
      <c r="D441" s="116" t="s">
        <v>454</v>
      </c>
      <c r="E441" s="399"/>
      <c r="F441" s="388"/>
      <c r="G441" s="76" t="s">
        <v>222</v>
      </c>
      <c r="H441" s="385">
        <v>1.0</v>
      </c>
      <c r="I441" s="386">
        <f>IF(G441="", "", IFERROR(VLOOKUP(G441, Products!A:F, 4, FALSE), ""))
</f>
        <v>80</v>
      </c>
      <c r="J441" s="405">
        <v>0.0</v>
      </c>
      <c r="K441" s="54">
        <f t="shared" si="15"/>
        <v>80</v>
      </c>
      <c r="L441" s="387"/>
      <c r="M441" s="388"/>
      <c r="N441" s="46">
        <f t="shared" si="2"/>
        <v>80</v>
      </c>
      <c r="O441" s="369" t="b">
        <v>1</v>
      </c>
      <c r="P441" s="369" t="b">
        <v>1</v>
      </c>
      <c r="Q441" s="387">
        <v>80.0</v>
      </c>
      <c r="R441" s="138" t="s">
        <v>687</v>
      </c>
      <c r="S441" s="65">
        <f t="shared" si="14"/>
        <v>0</v>
      </c>
      <c r="T441" s="369" t="b">
        <v>1</v>
      </c>
      <c r="U441" s="388"/>
      <c r="V441" s="391" t="b">
        <v>0</v>
      </c>
      <c r="W441" s="391" t="b">
        <v>0</v>
      </c>
      <c r="X441" s="391" t="b">
        <v>0</v>
      </c>
    </row>
    <row r="442" ht="24.0" customHeight="1">
      <c r="A442" s="76" t="s">
        <v>453</v>
      </c>
      <c r="B442" s="383">
        <v>46188.0</v>
      </c>
      <c r="C442" s="384" t="s">
        <v>1282</v>
      </c>
      <c r="D442" s="116" t="s">
        <v>454</v>
      </c>
      <c r="E442" s="399"/>
      <c r="F442" s="388"/>
      <c r="G442" s="76" t="s">
        <v>217</v>
      </c>
      <c r="H442" s="385">
        <v>1.0</v>
      </c>
      <c r="I442" s="386">
        <f>IF(G442="", "", IFERROR(VLOOKUP(G442, Products!A:F, 4, FALSE), ""))
</f>
        <v>80</v>
      </c>
      <c r="J442" s="405">
        <v>0.0</v>
      </c>
      <c r="K442" s="54">
        <f t="shared" si="15"/>
        <v>80</v>
      </c>
      <c r="L442" s="387"/>
      <c r="M442" s="388"/>
      <c r="N442" s="46">
        <f t="shared" si="2"/>
        <v>80</v>
      </c>
      <c r="O442" s="369" t="b">
        <v>1</v>
      </c>
      <c r="P442" s="369" t="b">
        <v>1</v>
      </c>
      <c r="Q442" s="387">
        <v>80.0</v>
      </c>
      <c r="R442" s="138" t="s">
        <v>687</v>
      </c>
      <c r="S442" s="65">
        <f t="shared" si="14"/>
        <v>0</v>
      </c>
      <c r="T442" s="369" t="b">
        <v>1</v>
      </c>
      <c r="U442" s="388"/>
      <c r="V442" s="391" t="b">
        <v>0</v>
      </c>
      <c r="W442" s="391" t="b">
        <v>0</v>
      </c>
      <c r="X442" s="391" t="b">
        <v>0</v>
      </c>
    </row>
    <row r="443" ht="24.0" customHeight="1">
      <c r="A443" s="76" t="s">
        <v>453</v>
      </c>
      <c r="B443" s="383">
        <v>46188.0</v>
      </c>
      <c r="C443" s="384" t="s">
        <v>1282</v>
      </c>
      <c r="D443" s="116" t="s">
        <v>454</v>
      </c>
      <c r="E443" s="399"/>
      <c r="F443" s="388"/>
      <c r="G443" s="76" t="s">
        <v>153</v>
      </c>
      <c r="H443" s="385">
        <v>1.0</v>
      </c>
      <c r="I443" s="386">
        <f>IF(G443="", "", IFERROR(VLOOKUP(G443, Products!A:F, 4, FALSE), ""))
</f>
        <v>80</v>
      </c>
      <c r="J443" s="405">
        <v>0.0</v>
      </c>
      <c r="K443" s="54">
        <f t="shared" si="15"/>
        <v>80</v>
      </c>
      <c r="L443" s="387"/>
      <c r="M443" s="388"/>
      <c r="N443" s="46">
        <f t="shared" si="2"/>
        <v>80</v>
      </c>
      <c r="O443" s="369" t="b">
        <v>1</v>
      </c>
      <c r="P443" s="369" t="b">
        <v>1</v>
      </c>
      <c r="Q443" s="387">
        <v>80.0</v>
      </c>
      <c r="R443" s="138" t="s">
        <v>687</v>
      </c>
      <c r="S443" s="65">
        <f t="shared" si="14"/>
        <v>0</v>
      </c>
      <c r="T443" s="369" t="b">
        <v>1</v>
      </c>
      <c r="U443" s="388"/>
      <c r="V443" s="391" t="b">
        <v>0</v>
      </c>
      <c r="W443" s="391" t="b">
        <v>0</v>
      </c>
      <c r="X443" s="391" t="b">
        <v>0</v>
      </c>
    </row>
    <row r="444" ht="24.0" customHeight="1">
      <c r="A444" s="76" t="s">
        <v>453</v>
      </c>
      <c r="B444" s="383">
        <v>46188.0</v>
      </c>
      <c r="C444" s="384" t="s">
        <v>1282</v>
      </c>
      <c r="D444" s="116" t="s">
        <v>454</v>
      </c>
      <c r="E444" s="399"/>
      <c r="F444" s="388"/>
      <c r="G444" s="44" t="s">
        <v>104</v>
      </c>
      <c r="H444" s="385">
        <v>1.0</v>
      </c>
      <c r="I444" s="386">
        <f>IF(G444="", "", IFERROR(VLOOKUP(G444, Products!A:F, 4, FALSE), ""))
</f>
        <v>80</v>
      </c>
      <c r="J444" s="405">
        <v>0.0</v>
      </c>
      <c r="K444" s="54">
        <f t="shared" si="15"/>
        <v>80</v>
      </c>
      <c r="L444" s="387"/>
      <c r="M444" s="388"/>
      <c r="N444" s="46">
        <f t="shared" si="2"/>
        <v>80</v>
      </c>
      <c r="O444" s="369" t="b">
        <v>1</v>
      </c>
      <c r="P444" s="369" t="b">
        <v>1</v>
      </c>
      <c r="Q444" s="387">
        <v>80.0</v>
      </c>
      <c r="R444" s="138" t="s">
        <v>687</v>
      </c>
      <c r="S444" s="65">
        <f t="shared" si="14"/>
        <v>0</v>
      </c>
      <c r="T444" s="369" t="b">
        <v>1</v>
      </c>
      <c r="U444" s="388"/>
      <c r="V444" s="391" t="b">
        <v>0</v>
      </c>
      <c r="W444" s="391" t="b">
        <v>0</v>
      </c>
      <c r="X444" s="391" t="b">
        <v>0</v>
      </c>
    </row>
    <row r="445" ht="24.0" customHeight="1">
      <c r="A445" s="76" t="s">
        <v>453</v>
      </c>
      <c r="B445" s="383">
        <v>46188.0</v>
      </c>
      <c r="C445" s="384" t="s">
        <v>1282</v>
      </c>
      <c r="D445" s="116" t="s">
        <v>454</v>
      </c>
      <c r="E445" s="399"/>
      <c r="F445" s="388"/>
      <c r="G445" s="44" t="s">
        <v>168</v>
      </c>
      <c r="H445" s="385">
        <v>1.0</v>
      </c>
      <c r="I445" s="386">
        <f>IF(G445="", "", IFERROR(VLOOKUP(G445, Products!A:F, 4, FALSE), ""))
</f>
        <v>80</v>
      </c>
      <c r="J445" s="405">
        <v>0.0</v>
      </c>
      <c r="K445" s="54">
        <f t="shared" si="15"/>
        <v>80</v>
      </c>
      <c r="L445" s="387"/>
      <c r="M445" s="388"/>
      <c r="N445" s="46">
        <f t="shared" si="2"/>
        <v>80</v>
      </c>
      <c r="O445" s="369" t="b">
        <v>1</v>
      </c>
      <c r="P445" s="369" t="b">
        <v>1</v>
      </c>
      <c r="Q445" s="387">
        <v>80.0</v>
      </c>
      <c r="R445" s="138" t="s">
        <v>687</v>
      </c>
      <c r="S445" s="65">
        <f t="shared" si="14"/>
        <v>0</v>
      </c>
      <c r="T445" s="369" t="b">
        <v>1</v>
      </c>
      <c r="U445" s="388"/>
      <c r="V445" s="391" t="b">
        <v>0</v>
      </c>
      <c r="W445" s="391" t="b">
        <v>0</v>
      </c>
      <c r="X445" s="391" t="b">
        <v>0</v>
      </c>
    </row>
    <row r="446" ht="24.0" customHeight="1">
      <c r="A446" s="76" t="s">
        <v>453</v>
      </c>
      <c r="B446" s="383">
        <v>46188.0</v>
      </c>
      <c r="C446" s="384" t="s">
        <v>1282</v>
      </c>
      <c r="D446" s="116" t="s">
        <v>454</v>
      </c>
      <c r="E446" s="399"/>
      <c r="F446" s="388"/>
      <c r="G446" s="76" t="s">
        <v>185</v>
      </c>
      <c r="H446" s="385">
        <v>1.0</v>
      </c>
      <c r="I446" s="386">
        <f>IF(G446="", "", IFERROR(VLOOKUP(G446, Products!A:F, 4, FALSE), ""))
</f>
        <v>80</v>
      </c>
      <c r="J446" s="405">
        <v>0.0</v>
      </c>
      <c r="K446" s="54">
        <f t="shared" si="15"/>
        <v>80</v>
      </c>
      <c r="L446" s="387"/>
      <c r="M446" s="388"/>
      <c r="N446" s="46">
        <f t="shared" si="2"/>
        <v>80</v>
      </c>
      <c r="O446" s="369" t="b">
        <v>1</v>
      </c>
      <c r="P446" s="369" t="b">
        <v>1</v>
      </c>
      <c r="Q446" s="387">
        <v>80.0</v>
      </c>
      <c r="R446" s="138" t="s">
        <v>687</v>
      </c>
      <c r="S446" s="65">
        <f t="shared" si="14"/>
        <v>0</v>
      </c>
      <c r="T446" s="369" t="b">
        <v>1</v>
      </c>
      <c r="U446" s="388"/>
      <c r="V446" s="391" t="b">
        <v>0</v>
      </c>
      <c r="W446" s="391" t="b">
        <v>0</v>
      </c>
      <c r="X446" s="391" t="b">
        <v>0</v>
      </c>
    </row>
    <row r="447" ht="24.0" customHeight="1">
      <c r="A447" s="76" t="s">
        <v>453</v>
      </c>
      <c r="B447" s="383">
        <v>46188.0</v>
      </c>
      <c r="C447" s="384" t="s">
        <v>1282</v>
      </c>
      <c r="D447" s="116" t="s">
        <v>454</v>
      </c>
      <c r="E447" s="399"/>
      <c r="F447" s="388"/>
      <c r="G447" s="76" t="s">
        <v>212</v>
      </c>
      <c r="H447" s="385">
        <v>1.0</v>
      </c>
      <c r="I447" s="386">
        <f>IF(G447="", "", IFERROR(VLOOKUP(G447, Products!A:F, 4, FALSE), ""))
</f>
        <v>80</v>
      </c>
      <c r="J447" s="405">
        <v>0.0</v>
      </c>
      <c r="K447" s="54">
        <f t="shared" si="15"/>
        <v>80</v>
      </c>
      <c r="L447" s="387"/>
      <c r="M447" s="388"/>
      <c r="N447" s="46">
        <f t="shared" si="2"/>
        <v>80</v>
      </c>
      <c r="O447" s="369" t="b">
        <v>1</v>
      </c>
      <c r="P447" s="369" t="b">
        <v>1</v>
      </c>
      <c r="Q447" s="387">
        <v>80.0</v>
      </c>
      <c r="R447" s="138" t="s">
        <v>687</v>
      </c>
      <c r="S447" s="65">
        <f t="shared" si="14"/>
        <v>0</v>
      </c>
      <c r="T447" s="369" t="b">
        <v>1</v>
      </c>
      <c r="U447" s="388"/>
      <c r="V447" s="391" t="b">
        <v>0</v>
      </c>
      <c r="W447" s="391" t="b">
        <v>0</v>
      </c>
      <c r="X447" s="391" t="b">
        <v>0</v>
      </c>
    </row>
    <row r="448" ht="24.0" customHeight="1">
      <c r="A448" s="76" t="s">
        <v>536</v>
      </c>
      <c r="B448" s="383">
        <v>46188.0</v>
      </c>
      <c r="C448" s="384" t="s">
        <v>1330</v>
      </c>
      <c r="D448" s="116" t="s">
        <v>93</v>
      </c>
      <c r="E448" s="116" t="s">
        <v>309</v>
      </c>
      <c r="F448" s="388"/>
      <c r="G448" s="76" t="s">
        <v>187</v>
      </c>
      <c r="H448" s="385">
        <v>2.0</v>
      </c>
      <c r="I448" s="386">
        <f>IF(G448="", "", IFERROR(VLOOKUP(G448, Products!A:F, 4, FALSE), ""))
</f>
        <v>400</v>
      </c>
      <c r="J448" s="405">
        <v>0.0</v>
      </c>
      <c r="K448" s="54">
        <f t="shared" si="15"/>
        <v>800</v>
      </c>
      <c r="L448" s="387">
        <v>400.0</v>
      </c>
      <c r="M448" s="138" t="s">
        <v>73</v>
      </c>
      <c r="N448" s="46">
        <f t="shared" si="2"/>
        <v>400</v>
      </c>
      <c r="O448" s="369" t="b">
        <v>1</v>
      </c>
      <c r="P448" s="369" t="b">
        <v>1</v>
      </c>
      <c r="Q448" s="387">
        <v>400.0</v>
      </c>
      <c r="R448" s="138" t="s">
        <v>687</v>
      </c>
      <c r="S448" s="65">
        <f t="shared" si="14"/>
        <v>0</v>
      </c>
      <c r="T448" s="369" t="b">
        <v>0</v>
      </c>
      <c r="U448" s="388"/>
      <c r="V448" s="391" t="b">
        <v>0</v>
      </c>
      <c r="W448" s="391" t="b">
        <v>0</v>
      </c>
      <c r="X448" s="391" t="b">
        <v>0</v>
      </c>
    </row>
    <row r="449" ht="24.0" customHeight="1">
      <c r="A449" s="76" t="s">
        <v>536</v>
      </c>
      <c r="B449" s="383">
        <v>46188.0</v>
      </c>
      <c r="C449" s="384" t="s">
        <v>1330</v>
      </c>
      <c r="D449" s="116" t="s">
        <v>93</v>
      </c>
      <c r="E449" s="116" t="s">
        <v>309</v>
      </c>
      <c r="F449" s="388"/>
      <c r="G449" s="76" t="s">
        <v>207</v>
      </c>
      <c r="H449" s="385">
        <v>1.0</v>
      </c>
      <c r="I449" s="386">
        <f>IF(G449="", "", IFERROR(VLOOKUP(G449, Products!A:F, 4, FALSE), ""))
</f>
        <v>80</v>
      </c>
      <c r="J449" s="405">
        <v>0.0</v>
      </c>
      <c r="K449" s="54">
        <f t="shared" si="15"/>
        <v>80</v>
      </c>
      <c r="L449" s="387">
        <v>40.0</v>
      </c>
      <c r="M449" s="138" t="s">
        <v>73</v>
      </c>
      <c r="N449" s="46">
        <f t="shared" si="2"/>
        <v>40</v>
      </c>
      <c r="O449" s="369" t="b">
        <v>1</v>
      </c>
      <c r="P449" s="369" t="b">
        <v>1</v>
      </c>
      <c r="Q449" s="387">
        <v>40.0</v>
      </c>
      <c r="R449" s="138" t="s">
        <v>687</v>
      </c>
      <c r="S449" s="65">
        <f t="shared" si="14"/>
        <v>0</v>
      </c>
      <c r="T449" s="369" t="b">
        <v>0</v>
      </c>
      <c r="U449" s="388"/>
      <c r="V449" s="391" t="b">
        <v>0</v>
      </c>
      <c r="W449" s="391" t="b">
        <v>0</v>
      </c>
      <c r="X449" s="391" t="b">
        <v>0</v>
      </c>
    </row>
    <row r="450" ht="24.0" customHeight="1">
      <c r="A450" s="76" t="s">
        <v>545</v>
      </c>
      <c r="B450" s="383">
        <v>46188.0</v>
      </c>
      <c r="C450" s="384" t="s">
        <v>1331</v>
      </c>
      <c r="D450" s="116" t="s">
        <v>53</v>
      </c>
      <c r="E450" s="116" t="s">
        <v>620</v>
      </c>
      <c r="F450" s="388"/>
      <c r="G450" s="76" t="s">
        <v>187</v>
      </c>
      <c r="H450" s="385">
        <v>1.0</v>
      </c>
      <c r="I450" s="386">
        <f>IF(G450="", "", IFERROR(VLOOKUP(G450, Products!A:F, 4, FALSE), ""))
</f>
        <v>400</v>
      </c>
      <c r="J450" s="405">
        <v>0.0</v>
      </c>
      <c r="K450" s="54">
        <f t="shared" si="15"/>
        <v>400</v>
      </c>
      <c r="L450" s="387">
        <v>250.0</v>
      </c>
      <c r="M450" s="138" t="s">
        <v>73</v>
      </c>
      <c r="N450" s="46">
        <f t="shared" si="2"/>
        <v>150</v>
      </c>
      <c r="O450" s="369" t="b">
        <v>1</v>
      </c>
      <c r="P450" s="369" t="b">
        <v>1</v>
      </c>
      <c r="Q450" s="387">
        <v>150.0</v>
      </c>
      <c r="R450" s="138" t="s">
        <v>73</v>
      </c>
      <c r="S450" s="65">
        <f t="shared" si="14"/>
        <v>0</v>
      </c>
      <c r="T450" s="369" t="b">
        <v>1</v>
      </c>
      <c r="U450" s="138" t="s">
        <v>272</v>
      </c>
      <c r="V450" s="369" t="b">
        <v>0</v>
      </c>
      <c r="W450" s="369" t="b">
        <v>0</v>
      </c>
      <c r="X450" s="369" t="b">
        <v>0</v>
      </c>
    </row>
    <row r="451" ht="24.0" customHeight="1">
      <c r="A451" s="76" t="s">
        <v>545</v>
      </c>
      <c r="B451" s="383">
        <v>46188.0</v>
      </c>
      <c r="C451" s="384" t="s">
        <v>1331</v>
      </c>
      <c r="D451" s="116" t="s">
        <v>53</v>
      </c>
      <c r="E451" s="116" t="s">
        <v>620</v>
      </c>
      <c r="F451" s="388"/>
      <c r="G451" s="457" t="s">
        <v>72</v>
      </c>
      <c r="H451" s="385">
        <v>1.0</v>
      </c>
      <c r="I451" s="386">
        <f>IF(G451="", "", IFERROR(VLOOKUP(G451, Products!A:F, 4, FALSE), ""))
</f>
        <v>23</v>
      </c>
      <c r="J451" s="405">
        <v>0.0</v>
      </c>
      <c r="K451" s="54">
        <f t="shared" si="15"/>
        <v>23</v>
      </c>
      <c r="L451" s="387">
        <v>23.0</v>
      </c>
      <c r="M451" s="138" t="s">
        <v>73</v>
      </c>
      <c r="N451" s="46">
        <f t="shared" si="2"/>
        <v>0</v>
      </c>
      <c r="O451" s="369" t="b">
        <v>1</v>
      </c>
      <c r="P451" s="369" t="b">
        <v>1</v>
      </c>
      <c r="Q451" s="387"/>
      <c r="R451" s="138" t="s">
        <v>73</v>
      </c>
      <c r="S451" s="65">
        <f t="shared" si="14"/>
        <v>0</v>
      </c>
      <c r="T451" s="369" t="b">
        <v>1</v>
      </c>
      <c r="U451" s="138" t="s">
        <v>272</v>
      </c>
      <c r="V451" s="369" t="b">
        <v>0</v>
      </c>
      <c r="W451" s="369" t="b">
        <v>0</v>
      </c>
      <c r="X451" s="369" t="b">
        <v>0</v>
      </c>
    </row>
    <row r="452" ht="24.0" customHeight="1">
      <c r="A452" s="76" t="s">
        <v>545</v>
      </c>
      <c r="B452" s="383">
        <v>46188.0</v>
      </c>
      <c r="C452" s="384" t="s">
        <v>1331</v>
      </c>
      <c r="D452" s="116" t="s">
        <v>53</v>
      </c>
      <c r="E452" s="116" t="s">
        <v>620</v>
      </c>
      <c r="F452" s="388"/>
      <c r="G452" s="457" t="s">
        <v>61</v>
      </c>
      <c r="H452" s="385">
        <v>1.0</v>
      </c>
      <c r="I452" s="386">
        <f>IF(G452="", "", IFERROR(VLOOKUP(G452, Products!A:F, 4, FALSE), ""))
</f>
        <v>18</v>
      </c>
      <c r="J452" s="405">
        <v>0.0</v>
      </c>
      <c r="K452" s="54">
        <f t="shared" si="15"/>
        <v>18</v>
      </c>
      <c r="L452" s="387">
        <v>18.0</v>
      </c>
      <c r="M452" s="138" t="s">
        <v>73</v>
      </c>
      <c r="N452" s="46">
        <f t="shared" si="2"/>
        <v>0</v>
      </c>
      <c r="O452" s="369" t="b">
        <v>1</v>
      </c>
      <c r="P452" s="369" t="b">
        <v>1</v>
      </c>
      <c r="Q452" s="387"/>
      <c r="R452" s="138" t="s">
        <v>73</v>
      </c>
      <c r="S452" s="65">
        <f t="shared" si="14"/>
        <v>0</v>
      </c>
      <c r="T452" s="369" t="b">
        <v>1</v>
      </c>
      <c r="U452" s="138" t="s">
        <v>272</v>
      </c>
      <c r="V452" s="369" t="b">
        <v>0</v>
      </c>
      <c r="W452" s="369" t="b">
        <v>0</v>
      </c>
      <c r="X452" s="369" t="b">
        <v>0</v>
      </c>
    </row>
    <row r="453" ht="24.0" customHeight="1">
      <c r="A453" s="76" t="s">
        <v>545</v>
      </c>
      <c r="B453" s="383">
        <v>46188.0</v>
      </c>
      <c r="C453" s="384" t="s">
        <v>1331</v>
      </c>
      <c r="D453" s="116" t="s">
        <v>53</v>
      </c>
      <c r="E453" s="116" t="s">
        <v>360</v>
      </c>
      <c r="F453" s="388"/>
      <c r="G453" s="457" t="s">
        <v>85</v>
      </c>
      <c r="H453" s="385">
        <v>1.0</v>
      </c>
      <c r="I453" s="386">
        <f>IF(G453="", "", IFERROR(VLOOKUP(G453, Products!A:F, 4, FALSE), ""))
</f>
        <v>30</v>
      </c>
      <c r="J453" s="405">
        <v>0.0</v>
      </c>
      <c r="K453" s="54">
        <f t="shared" si="15"/>
        <v>30</v>
      </c>
      <c r="L453" s="387">
        <v>30.0</v>
      </c>
      <c r="M453" s="138" t="s">
        <v>73</v>
      </c>
      <c r="N453" s="46">
        <f t="shared" si="2"/>
        <v>0</v>
      </c>
      <c r="O453" s="369" t="b">
        <v>1</v>
      </c>
      <c r="P453" s="369" t="b">
        <v>1</v>
      </c>
      <c r="Q453" s="387"/>
      <c r="R453" s="138" t="s">
        <v>73</v>
      </c>
      <c r="S453" s="65">
        <f t="shared" si="14"/>
        <v>0</v>
      </c>
      <c r="T453" s="369" t="b">
        <v>1</v>
      </c>
      <c r="U453" s="138" t="s">
        <v>272</v>
      </c>
      <c r="V453" s="369" t="b">
        <v>0</v>
      </c>
      <c r="W453" s="369" t="b">
        <v>0</v>
      </c>
      <c r="X453" s="369" t="b">
        <v>0</v>
      </c>
    </row>
    <row r="454" ht="24.0" customHeight="1">
      <c r="A454" s="76" t="s">
        <v>545</v>
      </c>
      <c r="B454" s="383">
        <v>46188.0</v>
      </c>
      <c r="C454" s="384" t="s">
        <v>1331</v>
      </c>
      <c r="D454" s="116" t="s">
        <v>53</v>
      </c>
      <c r="E454" s="116" t="s">
        <v>620</v>
      </c>
      <c r="F454" s="388"/>
      <c r="G454" s="457" t="s">
        <v>24</v>
      </c>
      <c r="H454" s="385">
        <v>1.0</v>
      </c>
      <c r="I454" s="386">
        <f>IF(G454="", "", IFERROR(VLOOKUP(G454, Products!A:F, 4, FALSE), ""))
</f>
        <v>30</v>
      </c>
      <c r="J454" s="405">
        <v>0.0</v>
      </c>
      <c r="K454" s="54">
        <f t="shared" si="15"/>
        <v>30</v>
      </c>
      <c r="L454" s="387">
        <v>30.0</v>
      </c>
      <c r="M454" s="138" t="s">
        <v>73</v>
      </c>
      <c r="N454" s="46">
        <f t="shared" si="2"/>
        <v>0</v>
      </c>
      <c r="O454" s="369" t="b">
        <v>1</v>
      </c>
      <c r="P454" s="369" t="b">
        <v>1</v>
      </c>
      <c r="Q454" s="387"/>
      <c r="R454" s="138" t="s">
        <v>73</v>
      </c>
      <c r="S454" s="65">
        <f t="shared" si="14"/>
        <v>0</v>
      </c>
      <c r="T454" s="369" t="b">
        <v>1</v>
      </c>
      <c r="U454" s="138" t="s">
        <v>272</v>
      </c>
      <c r="V454" s="369" t="b">
        <v>0</v>
      </c>
      <c r="W454" s="369" t="b">
        <v>0</v>
      </c>
      <c r="X454" s="369" t="b">
        <v>0</v>
      </c>
    </row>
    <row r="455" ht="24.0" customHeight="1">
      <c r="A455" s="76" t="s">
        <v>545</v>
      </c>
      <c r="B455" s="383">
        <v>46188.0</v>
      </c>
      <c r="C455" s="384" t="s">
        <v>1331</v>
      </c>
      <c r="D455" s="116" t="s">
        <v>53</v>
      </c>
      <c r="E455" s="116" t="s">
        <v>360</v>
      </c>
      <c r="F455" s="388"/>
      <c r="G455" s="457" t="s">
        <v>24</v>
      </c>
      <c r="H455" s="385">
        <v>20.0</v>
      </c>
      <c r="I455" s="386">
        <f>IF(G455="", "", IFERROR(VLOOKUP(G455, Products!A:F, 4, FALSE), ""))
</f>
        <v>30</v>
      </c>
      <c r="J455" s="405">
        <v>0.0</v>
      </c>
      <c r="K455" s="54">
        <f t="shared" si="15"/>
        <v>600</v>
      </c>
      <c r="L455" s="387">
        <v>600.0</v>
      </c>
      <c r="M455" s="138" t="s">
        <v>73</v>
      </c>
      <c r="N455" s="46">
        <f t="shared" si="2"/>
        <v>0</v>
      </c>
      <c r="O455" s="369" t="b">
        <v>1</v>
      </c>
      <c r="P455" s="369" t="b">
        <v>1</v>
      </c>
      <c r="Q455" s="387"/>
      <c r="R455" s="138" t="s">
        <v>73</v>
      </c>
      <c r="S455" s="65">
        <f t="shared" si="14"/>
        <v>0</v>
      </c>
      <c r="T455" s="369" t="b">
        <v>1</v>
      </c>
      <c r="U455" s="138" t="s">
        <v>272</v>
      </c>
      <c r="V455" s="369" t="b">
        <v>0</v>
      </c>
      <c r="W455" s="369" t="b">
        <v>0</v>
      </c>
      <c r="X455" s="369" t="b">
        <v>0</v>
      </c>
    </row>
    <row r="456" ht="24.0" customHeight="1">
      <c r="A456" s="478" t="s">
        <v>544</v>
      </c>
      <c r="B456" s="383">
        <v>46188.0</v>
      </c>
      <c r="C456" s="384" t="s">
        <v>1332</v>
      </c>
      <c r="D456" s="116" t="s">
        <v>243</v>
      </c>
      <c r="E456" s="399"/>
      <c r="F456" s="479"/>
      <c r="G456" s="76" t="s">
        <v>122</v>
      </c>
      <c r="H456" s="385">
        <v>4.0</v>
      </c>
      <c r="I456" s="386">
        <f>IF(G456="", "", IFERROR(VLOOKUP(G456, Products!A:F, 4, FALSE), ""))
</f>
        <v>80</v>
      </c>
      <c r="J456" s="405">
        <v>0.0</v>
      </c>
      <c r="K456" s="54">
        <f t="shared" si="15"/>
        <v>320</v>
      </c>
      <c r="L456" s="387">
        <v>320.0</v>
      </c>
      <c r="M456" s="138" t="s">
        <v>73</v>
      </c>
      <c r="N456" s="46">
        <f t="shared" si="2"/>
        <v>0</v>
      </c>
      <c r="O456" s="369" t="b">
        <v>1</v>
      </c>
      <c r="P456" s="369" t="b">
        <v>1</v>
      </c>
      <c r="Q456" s="387"/>
      <c r="R456" s="138" t="s">
        <v>687</v>
      </c>
      <c r="S456" s="65">
        <f t="shared" si="14"/>
        <v>0</v>
      </c>
      <c r="T456" s="369" t="b">
        <v>1</v>
      </c>
      <c r="U456" s="388"/>
      <c r="V456" s="391" t="b">
        <v>0</v>
      </c>
      <c r="W456" s="391" t="b">
        <v>0</v>
      </c>
      <c r="X456" s="391" t="b">
        <v>0</v>
      </c>
    </row>
    <row r="457" ht="24.0" customHeight="1">
      <c r="A457" s="76" t="s">
        <v>535</v>
      </c>
      <c r="B457" s="383">
        <v>46188.0</v>
      </c>
      <c r="C457" s="384" t="s">
        <v>1333</v>
      </c>
      <c r="D457" s="116" t="s">
        <v>195</v>
      </c>
      <c r="E457" s="399"/>
      <c r="F457" s="388"/>
      <c r="G457" s="76" t="s">
        <v>122</v>
      </c>
      <c r="H457" s="385">
        <v>4.0</v>
      </c>
      <c r="I457" s="386">
        <f>IF(G457="", "", IFERROR(VLOOKUP(G457, Products!A:F, 4, FALSE), ""))
</f>
        <v>80</v>
      </c>
      <c r="J457" s="405">
        <v>0.0</v>
      </c>
      <c r="K457" s="54">
        <f t="shared" si="15"/>
        <v>320</v>
      </c>
      <c r="L457" s="387">
        <v>160.0</v>
      </c>
      <c r="M457" s="138" t="s">
        <v>73</v>
      </c>
      <c r="N457" s="46">
        <f t="shared" si="2"/>
        <v>160</v>
      </c>
      <c r="O457" s="369" t="b">
        <v>1</v>
      </c>
      <c r="P457" s="369" t="b">
        <v>1</v>
      </c>
      <c r="Q457" s="387">
        <v>160.0</v>
      </c>
      <c r="R457" s="138" t="s">
        <v>687</v>
      </c>
      <c r="S457" s="65">
        <f t="shared" si="14"/>
        <v>0</v>
      </c>
      <c r="T457" s="369" t="b">
        <v>1</v>
      </c>
      <c r="U457" s="388"/>
      <c r="V457" s="391" t="b">
        <v>0</v>
      </c>
      <c r="W457" s="391" t="b">
        <v>0</v>
      </c>
      <c r="X457" s="391" t="b">
        <v>0</v>
      </c>
    </row>
    <row r="458" ht="24.0" customHeight="1">
      <c r="A458" s="76" t="s">
        <v>547</v>
      </c>
      <c r="B458" s="383">
        <v>46188.0</v>
      </c>
      <c r="C458" s="384" t="s">
        <v>1334</v>
      </c>
      <c r="D458" s="116" t="s">
        <v>93</v>
      </c>
      <c r="E458" s="116" t="s">
        <v>548</v>
      </c>
      <c r="F458" s="388"/>
      <c r="G458" s="76" t="s">
        <v>122</v>
      </c>
      <c r="H458" s="385">
        <v>1.0</v>
      </c>
      <c r="I458" s="386">
        <f>IF(G458="", "", IFERROR(VLOOKUP(G458, Products!A:F, 4, FALSE), ""))
</f>
        <v>80</v>
      </c>
      <c r="J458" s="405">
        <v>0.0</v>
      </c>
      <c r="K458" s="54">
        <f t="shared" si="15"/>
        <v>80</v>
      </c>
      <c r="L458" s="387">
        <v>40.0</v>
      </c>
      <c r="M458" s="138" t="s">
        <v>73</v>
      </c>
      <c r="N458" s="46">
        <f t="shared" si="2"/>
        <v>40</v>
      </c>
      <c r="O458" s="369" t="b">
        <v>1</v>
      </c>
      <c r="P458" s="369" t="b">
        <v>1</v>
      </c>
      <c r="Q458" s="387">
        <v>40.0</v>
      </c>
      <c r="R458" s="138" t="s">
        <v>73</v>
      </c>
      <c r="S458" s="65">
        <f t="shared" si="14"/>
        <v>0</v>
      </c>
      <c r="T458" s="369" t="b">
        <v>1</v>
      </c>
      <c r="U458" s="388"/>
      <c r="V458" s="391" t="b">
        <v>0</v>
      </c>
      <c r="W458" s="391" t="b">
        <v>0</v>
      </c>
      <c r="X458" s="391" t="b">
        <v>0</v>
      </c>
    </row>
    <row r="459" ht="24.0" customHeight="1">
      <c r="A459" s="76" t="s">
        <v>555</v>
      </c>
      <c r="B459" s="383">
        <v>46188.0</v>
      </c>
      <c r="C459" s="384" t="s">
        <v>1335</v>
      </c>
      <c r="D459" s="116" t="s">
        <v>243</v>
      </c>
      <c r="E459" s="399"/>
      <c r="F459" s="388"/>
      <c r="G459" s="76" t="s">
        <v>187</v>
      </c>
      <c r="H459" s="385">
        <v>1.0</v>
      </c>
      <c r="I459" s="386">
        <f>IF(G459="", "", IFERROR(VLOOKUP(G459, Products!A:F, 4, FALSE), ""))
</f>
        <v>400</v>
      </c>
      <c r="J459" s="405">
        <v>0.0</v>
      </c>
      <c r="K459" s="54">
        <f t="shared" si="15"/>
        <v>400</v>
      </c>
      <c r="L459" s="387">
        <v>200.0</v>
      </c>
      <c r="M459" s="138" t="s">
        <v>73</v>
      </c>
      <c r="N459" s="46">
        <f t="shared" si="2"/>
        <v>200</v>
      </c>
      <c r="O459" s="369" t="b">
        <v>1</v>
      </c>
      <c r="P459" s="369" t="b">
        <v>1</v>
      </c>
      <c r="Q459" s="387">
        <v>200.0</v>
      </c>
      <c r="R459" s="138" t="s">
        <v>687</v>
      </c>
      <c r="S459" s="65">
        <f t="shared" si="14"/>
        <v>0</v>
      </c>
      <c r="T459" s="369" t="b">
        <v>1</v>
      </c>
      <c r="U459" s="388"/>
      <c r="V459" s="391" t="b">
        <v>0</v>
      </c>
      <c r="W459" s="391" t="b">
        <v>0</v>
      </c>
      <c r="X459" s="391" t="b">
        <v>0</v>
      </c>
    </row>
    <row r="460" ht="24.0" customHeight="1">
      <c r="A460" s="76" t="s">
        <v>556</v>
      </c>
      <c r="B460" s="383">
        <v>46188.0</v>
      </c>
      <c r="C460" s="384" t="s">
        <v>1336</v>
      </c>
      <c r="D460" s="91" t="s">
        <v>188</v>
      </c>
      <c r="E460" s="92"/>
      <c r="F460" s="388"/>
      <c r="G460" s="76" t="s">
        <v>122</v>
      </c>
      <c r="H460" s="385">
        <v>1.0</v>
      </c>
      <c r="I460" s="386">
        <f>IF(G460="", "", IFERROR(VLOOKUP(G460, Products!A:F, 4, FALSE), ""))
</f>
        <v>80</v>
      </c>
      <c r="J460" s="405">
        <v>0.0</v>
      </c>
      <c r="K460" s="54">
        <f t="shared" si="15"/>
        <v>80</v>
      </c>
      <c r="L460" s="387">
        <v>40.0</v>
      </c>
      <c r="M460" s="138" t="s">
        <v>73</v>
      </c>
      <c r="N460" s="46">
        <f t="shared" si="2"/>
        <v>40</v>
      </c>
      <c r="O460" s="369" t="b">
        <v>1</v>
      </c>
      <c r="P460" s="369" t="b">
        <v>1</v>
      </c>
      <c r="Q460" s="387">
        <v>40.0</v>
      </c>
      <c r="R460" s="138" t="s">
        <v>687</v>
      </c>
      <c r="S460" s="65">
        <f t="shared" si="14"/>
        <v>0</v>
      </c>
      <c r="T460" s="369" t="b">
        <v>1</v>
      </c>
      <c r="U460" s="388"/>
      <c r="V460" s="391" t="b">
        <v>0</v>
      </c>
      <c r="W460" s="391" t="b">
        <v>0</v>
      </c>
      <c r="X460" s="391" t="b">
        <v>0</v>
      </c>
    </row>
    <row r="461" ht="24.0" customHeight="1">
      <c r="A461" s="76" t="s">
        <v>543</v>
      </c>
      <c r="B461" s="383">
        <v>46188.0</v>
      </c>
      <c r="C461" s="384" t="s">
        <v>1337</v>
      </c>
      <c r="D461" s="116" t="s">
        <v>204</v>
      </c>
      <c r="E461" s="399"/>
      <c r="F461" s="388"/>
      <c r="G461" s="76" t="s">
        <v>187</v>
      </c>
      <c r="H461" s="385">
        <v>1.0</v>
      </c>
      <c r="I461" s="386">
        <f>IF(G461="", "", IFERROR(VLOOKUP(G461, Products!A:F, 4, FALSE), ""))
</f>
        <v>400</v>
      </c>
      <c r="J461" s="405">
        <v>0.0</v>
      </c>
      <c r="K461" s="54">
        <f t="shared" si="15"/>
        <v>400</v>
      </c>
      <c r="L461" s="387">
        <v>300.0</v>
      </c>
      <c r="M461" s="138" t="s">
        <v>73</v>
      </c>
      <c r="N461" s="46">
        <f t="shared" si="2"/>
        <v>100</v>
      </c>
      <c r="O461" s="369" t="b">
        <v>1</v>
      </c>
      <c r="P461" s="369" t="b">
        <v>1</v>
      </c>
      <c r="Q461" s="387">
        <v>100.0</v>
      </c>
      <c r="R461" s="138" t="s">
        <v>687</v>
      </c>
      <c r="S461" s="65">
        <f t="shared" si="14"/>
        <v>0</v>
      </c>
      <c r="T461" s="369" t="b">
        <v>1</v>
      </c>
      <c r="U461" s="388"/>
      <c r="V461" s="391" t="b">
        <v>0</v>
      </c>
      <c r="W461" s="391" t="b">
        <v>0</v>
      </c>
      <c r="X461" s="391" t="b">
        <v>0</v>
      </c>
    </row>
    <row r="462" ht="24.0" customHeight="1">
      <c r="A462" s="76" t="s">
        <v>543</v>
      </c>
      <c r="B462" s="383">
        <v>46188.0</v>
      </c>
      <c r="C462" s="384" t="s">
        <v>1337</v>
      </c>
      <c r="D462" s="116" t="s">
        <v>204</v>
      </c>
      <c r="E462" s="399"/>
      <c r="F462" s="388"/>
      <c r="G462" s="76" t="s">
        <v>205</v>
      </c>
      <c r="H462" s="385">
        <v>1.0</v>
      </c>
      <c r="I462" s="386">
        <f>IF(G462="", "", IFERROR(VLOOKUP(G462, Products!A:F, 4, FALSE), ""))
</f>
        <v>100</v>
      </c>
      <c r="J462" s="405">
        <v>0.0</v>
      </c>
      <c r="K462" s="54">
        <f t="shared" si="15"/>
        <v>100</v>
      </c>
      <c r="L462" s="387">
        <v>20.0</v>
      </c>
      <c r="M462" s="138" t="s">
        <v>73</v>
      </c>
      <c r="N462" s="46">
        <f t="shared" si="2"/>
        <v>80</v>
      </c>
      <c r="O462" s="369" t="b">
        <v>1</v>
      </c>
      <c r="P462" s="369" t="b">
        <v>1</v>
      </c>
      <c r="Q462" s="387">
        <v>80.0</v>
      </c>
      <c r="R462" s="138" t="s">
        <v>687</v>
      </c>
      <c r="S462" s="65">
        <f t="shared" si="14"/>
        <v>0</v>
      </c>
      <c r="T462" s="369" t="b">
        <v>1</v>
      </c>
      <c r="U462" s="388"/>
      <c r="V462" s="391" t="b">
        <v>0</v>
      </c>
      <c r="W462" s="391" t="b">
        <v>0</v>
      </c>
      <c r="X462" s="391" t="b">
        <v>0</v>
      </c>
    </row>
    <row r="463" ht="24.0" customHeight="1">
      <c r="A463" s="76" t="s">
        <v>391</v>
      </c>
      <c r="B463" s="383">
        <v>46188.0</v>
      </c>
      <c r="C463" s="384" t="s">
        <v>1338</v>
      </c>
      <c r="D463" s="116" t="s">
        <v>53</v>
      </c>
      <c r="E463" s="116" t="s">
        <v>586</v>
      </c>
      <c r="F463" s="388"/>
      <c r="G463" s="76" t="s">
        <v>205</v>
      </c>
      <c r="H463" s="385">
        <v>2.0</v>
      </c>
      <c r="I463" s="386">
        <f>IF(G463="", "", IFERROR(VLOOKUP(G463, Products!A:F, 4, FALSE), ""))
</f>
        <v>100</v>
      </c>
      <c r="J463" s="405">
        <v>0.0</v>
      </c>
      <c r="K463" s="54">
        <f t="shared" si="15"/>
        <v>200</v>
      </c>
      <c r="L463" s="387">
        <v>100.0</v>
      </c>
      <c r="M463" s="138" t="s">
        <v>73</v>
      </c>
      <c r="N463" s="46">
        <f t="shared" si="2"/>
        <v>100</v>
      </c>
      <c r="O463" s="369" t="b">
        <v>1</v>
      </c>
      <c r="P463" s="369" t="b">
        <v>1</v>
      </c>
      <c r="Q463" s="387">
        <v>100.0</v>
      </c>
      <c r="R463" s="138" t="s">
        <v>687</v>
      </c>
      <c r="S463" s="65">
        <f t="shared" si="14"/>
        <v>0</v>
      </c>
      <c r="T463" s="369" t="b">
        <v>1</v>
      </c>
      <c r="U463" s="388"/>
      <c r="V463" s="391" t="b">
        <v>0</v>
      </c>
      <c r="W463" s="391" t="b">
        <v>0</v>
      </c>
      <c r="X463" s="391" t="b">
        <v>0</v>
      </c>
    </row>
    <row r="464" ht="24.0" customHeight="1">
      <c r="A464" s="76" t="s">
        <v>391</v>
      </c>
      <c r="B464" s="383">
        <v>46188.0</v>
      </c>
      <c r="C464" s="384" t="s">
        <v>1338</v>
      </c>
      <c r="D464" s="116" t="s">
        <v>53</v>
      </c>
      <c r="E464" s="116" t="s">
        <v>586</v>
      </c>
      <c r="F464" s="388"/>
      <c r="G464" s="76" t="s">
        <v>207</v>
      </c>
      <c r="H464" s="385">
        <v>2.0</v>
      </c>
      <c r="I464" s="386">
        <f>IF(G464="", "", IFERROR(VLOOKUP(G464, Products!A:F, 4, FALSE), ""))
</f>
        <v>80</v>
      </c>
      <c r="J464" s="405">
        <v>0.0</v>
      </c>
      <c r="K464" s="54">
        <f t="shared" si="15"/>
        <v>160</v>
      </c>
      <c r="L464" s="387">
        <v>100.0</v>
      </c>
      <c r="M464" s="138" t="s">
        <v>73</v>
      </c>
      <c r="N464" s="46">
        <f t="shared" si="2"/>
        <v>60</v>
      </c>
      <c r="O464" s="369" t="b">
        <v>1</v>
      </c>
      <c r="P464" s="369" t="b">
        <v>1</v>
      </c>
      <c r="Q464" s="387">
        <v>60.0</v>
      </c>
      <c r="R464" s="138" t="s">
        <v>687</v>
      </c>
      <c r="S464" s="65">
        <f t="shared" si="14"/>
        <v>0</v>
      </c>
      <c r="T464" s="369" t="b">
        <v>1</v>
      </c>
      <c r="U464" s="388"/>
      <c r="V464" s="391" t="b">
        <v>0</v>
      </c>
      <c r="W464" s="391" t="b">
        <v>0</v>
      </c>
      <c r="X464" s="391" t="b">
        <v>0</v>
      </c>
    </row>
    <row r="465" ht="24.0" customHeight="1">
      <c r="A465" s="76" t="s">
        <v>391</v>
      </c>
      <c r="B465" s="383">
        <v>46188.0</v>
      </c>
      <c r="C465" s="384" t="s">
        <v>1338</v>
      </c>
      <c r="D465" s="116" t="s">
        <v>53</v>
      </c>
      <c r="E465" s="116" t="s">
        <v>586</v>
      </c>
      <c r="F465" s="388"/>
      <c r="G465" s="76" t="s">
        <v>122</v>
      </c>
      <c r="H465" s="385">
        <v>2.0</v>
      </c>
      <c r="I465" s="386">
        <f>IF(G465="", "", IFERROR(VLOOKUP(G465, Products!A:F, 4, FALSE), ""))
</f>
        <v>80</v>
      </c>
      <c r="J465" s="405">
        <v>0.0</v>
      </c>
      <c r="K465" s="54">
        <f t="shared" si="15"/>
        <v>160</v>
      </c>
      <c r="L465" s="387">
        <v>60.0</v>
      </c>
      <c r="M465" s="138" t="s">
        <v>73</v>
      </c>
      <c r="N465" s="46">
        <f t="shared" si="2"/>
        <v>100</v>
      </c>
      <c r="O465" s="369" t="b">
        <v>1</v>
      </c>
      <c r="P465" s="369" t="b">
        <v>1</v>
      </c>
      <c r="Q465" s="387">
        <v>100.0</v>
      </c>
      <c r="R465" s="138" t="s">
        <v>687</v>
      </c>
      <c r="S465" s="65">
        <f t="shared" si="14"/>
        <v>0</v>
      </c>
      <c r="T465" s="369" t="b">
        <v>1</v>
      </c>
      <c r="U465" s="388"/>
      <c r="V465" s="391" t="b">
        <v>0</v>
      </c>
      <c r="W465" s="391" t="b">
        <v>0</v>
      </c>
      <c r="X465" s="391" t="b">
        <v>0</v>
      </c>
    </row>
    <row r="466" ht="24.0" customHeight="1">
      <c r="A466" s="457" t="s">
        <v>808</v>
      </c>
      <c r="B466" s="383">
        <v>46191.610503958334</v>
      </c>
      <c r="C466" s="384" t="s">
        <v>1339</v>
      </c>
      <c r="D466" s="116" t="s">
        <v>53</v>
      </c>
      <c r="E466" s="116" t="s">
        <v>586</v>
      </c>
      <c r="F466" s="138" t="s">
        <v>59</v>
      </c>
      <c r="G466" s="457" t="s">
        <v>122</v>
      </c>
      <c r="H466" s="385">
        <v>1.0</v>
      </c>
      <c r="I466" s="386">
        <f>IF(G466="", "", IFERROR(VLOOKUP(G466, Products!A:F, 4, FALSE), ""))
</f>
        <v>80</v>
      </c>
      <c r="J466" s="405"/>
      <c r="K466" s="54">
        <f t="shared" si="15"/>
        <v>80</v>
      </c>
      <c r="L466" s="387">
        <v>40.0</v>
      </c>
      <c r="M466" s="138" t="s">
        <v>73</v>
      </c>
      <c r="N466" s="46">
        <f t="shared" si="2"/>
        <v>40</v>
      </c>
      <c r="O466" s="369" t="b">
        <v>1</v>
      </c>
      <c r="P466" s="369" t="b">
        <v>1</v>
      </c>
      <c r="Q466" s="387">
        <v>40.0</v>
      </c>
      <c r="R466" s="138" t="s">
        <v>73</v>
      </c>
      <c r="S466" s="65">
        <f t="shared" si="14"/>
        <v>0</v>
      </c>
      <c r="T466" s="369" t="b">
        <v>1</v>
      </c>
      <c r="U466" s="388"/>
      <c r="V466" s="391" t="b">
        <v>0</v>
      </c>
      <c r="W466" s="391" t="b">
        <v>0</v>
      </c>
      <c r="X466" s="391" t="b">
        <v>0</v>
      </c>
    </row>
    <row r="467" ht="24.0" customHeight="1">
      <c r="A467" s="76" t="s">
        <v>829</v>
      </c>
      <c r="B467" s="383">
        <v>46193.0</v>
      </c>
      <c r="C467" s="384" t="s">
        <v>1340</v>
      </c>
      <c r="D467" s="116" t="s">
        <v>602</v>
      </c>
      <c r="E467" s="399"/>
      <c r="F467" s="388"/>
      <c r="G467" s="457" t="s">
        <v>187</v>
      </c>
      <c r="H467" s="385">
        <v>2.0</v>
      </c>
      <c r="I467" s="386">
        <f>IF(G467="", "", IFERROR(VLOOKUP(G467, Products!A:F, 4, FALSE), ""))
</f>
        <v>400</v>
      </c>
      <c r="J467" s="405">
        <v>100.0</v>
      </c>
      <c r="K467" s="54">
        <f t="shared" si="15"/>
        <v>700</v>
      </c>
      <c r="L467" s="387">
        <v>350.0</v>
      </c>
      <c r="M467" s="138" t="s">
        <v>73</v>
      </c>
      <c r="N467" s="46">
        <f t="shared" si="2"/>
        <v>350</v>
      </c>
      <c r="O467" s="369" t="b">
        <v>1</v>
      </c>
      <c r="P467" s="369" t="b">
        <v>1</v>
      </c>
      <c r="Q467" s="387">
        <v>350.0</v>
      </c>
      <c r="R467" s="138" t="s">
        <v>687</v>
      </c>
      <c r="S467" s="65">
        <f t="shared" si="14"/>
        <v>0</v>
      </c>
      <c r="T467" s="369" t="b">
        <v>1</v>
      </c>
      <c r="U467" s="388"/>
      <c r="V467" s="391" t="b">
        <v>0</v>
      </c>
      <c r="W467" s="391" t="b">
        <v>0</v>
      </c>
      <c r="X467" s="391" t="b">
        <v>0</v>
      </c>
    </row>
    <row r="468" ht="24.0" customHeight="1">
      <c r="A468" s="76" t="s">
        <v>859</v>
      </c>
      <c r="B468" s="383">
        <v>46193.0</v>
      </c>
      <c r="C468" s="384" t="s">
        <v>1341</v>
      </c>
      <c r="D468" s="91" t="s">
        <v>188</v>
      </c>
      <c r="E468" s="92"/>
      <c r="F468" s="138" t="s">
        <v>221</v>
      </c>
      <c r="G468" s="457" t="s">
        <v>63</v>
      </c>
      <c r="H468" s="385">
        <v>1.0</v>
      </c>
      <c r="I468" s="386">
        <f>IF(G468="", "", IFERROR(VLOOKUP(G468, Products!A:F, 4, FALSE), ""))
</f>
        <v>850</v>
      </c>
      <c r="J468" s="405"/>
      <c r="K468" s="54">
        <f t="shared" si="15"/>
        <v>850</v>
      </c>
      <c r="L468" s="387">
        <v>800.0</v>
      </c>
      <c r="M468" s="138" t="s">
        <v>110</v>
      </c>
      <c r="N468" s="46">
        <f t="shared" si="2"/>
        <v>50</v>
      </c>
      <c r="O468" s="369" t="b">
        <v>1</v>
      </c>
      <c r="P468" s="369" t="b">
        <v>1</v>
      </c>
      <c r="Q468" s="387"/>
      <c r="R468" s="138" t="s">
        <v>687</v>
      </c>
      <c r="S468" s="65">
        <f t="shared" si="14"/>
        <v>50</v>
      </c>
      <c r="T468" s="369" t="b">
        <v>1</v>
      </c>
      <c r="U468" s="388"/>
      <c r="V468" s="391" t="b">
        <v>0</v>
      </c>
      <c r="W468" s="391" t="b">
        <v>0</v>
      </c>
      <c r="X468" s="391" t="b">
        <v>0</v>
      </c>
    </row>
    <row r="469" ht="24.0" customHeight="1">
      <c r="A469" s="76" t="s">
        <v>859</v>
      </c>
      <c r="B469" s="383">
        <v>46193.0</v>
      </c>
      <c r="C469" s="384" t="s">
        <v>1341</v>
      </c>
      <c r="D469" s="91" t="s">
        <v>188</v>
      </c>
      <c r="E469" s="92"/>
      <c r="F469" s="388"/>
      <c r="G469" s="457" t="s">
        <v>187</v>
      </c>
      <c r="H469" s="385">
        <v>3.0</v>
      </c>
      <c r="I469" s="386">
        <f>IF(G469="", "", IFERROR(VLOOKUP(G469, Products!A:F, 4, FALSE), ""))
</f>
        <v>400</v>
      </c>
      <c r="J469" s="405">
        <v>150.0</v>
      </c>
      <c r="K469" s="54">
        <f t="shared" si="15"/>
        <v>1050</v>
      </c>
      <c r="L469" s="387">
        <v>200.0</v>
      </c>
      <c r="M469" s="138" t="s">
        <v>110</v>
      </c>
      <c r="N469" s="46">
        <f t="shared" si="2"/>
        <v>850</v>
      </c>
      <c r="O469" s="369" t="b">
        <v>1</v>
      </c>
      <c r="P469" s="369" t="b">
        <v>1</v>
      </c>
      <c r="Q469" s="387"/>
      <c r="R469" s="138" t="s">
        <v>687</v>
      </c>
      <c r="S469" s="65">
        <f t="shared" si="14"/>
        <v>850</v>
      </c>
      <c r="T469" s="369" t="b">
        <v>1</v>
      </c>
      <c r="U469" s="388"/>
      <c r="V469" s="391" t="b">
        <v>0</v>
      </c>
      <c r="W469" s="391" t="b">
        <v>0</v>
      </c>
      <c r="X469" s="391" t="b">
        <v>0</v>
      </c>
    </row>
    <row r="470" ht="24.0" customHeight="1">
      <c r="A470" s="76" t="s">
        <v>814</v>
      </c>
      <c r="B470" s="383">
        <v>46193.0</v>
      </c>
      <c r="C470" s="384" t="s">
        <v>1342</v>
      </c>
      <c r="D470" s="116" t="s">
        <v>78</v>
      </c>
      <c r="E470" s="116" t="s">
        <v>574</v>
      </c>
      <c r="F470" s="138" t="s">
        <v>703</v>
      </c>
      <c r="G470" s="457" t="s">
        <v>187</v>
      </c>
      <c r="H470" s="385">
        <v>1.0</v>
      </c>
      <c r="I470" s="386">
        <f>IF(G470="", "", IFERROR(VLOOKUP(G470, Products!A:F, 4, FALSE), ""))
</f>
        <v>400</v>
      </c>
      <c r="J470" s="405"/>
      <c r="K470" s="54">
        <f t="shared" si="15"/>
        <v>400</v>
      </c>
      <c r="L470" s="387">
        <v>200.0</v>
      </c>
      <c r="M470" s="138" t="s">
        <v>73</v>
      </c>
      <c r="N470" s="46">
        <f t="shared" si="2"/>
        <v>200</v>
      </c>
      <c r="O470" s="369" t="b">
        <v>1</v>
      </c>
      <c r="P470" s="369" t="b">
        <v>1</v>
      </c>
      <c r="Q470" s="387">
        <v>200.0</v>
      </c>
      <c r="R470" s="138" t="s">
        <v>687</v>
      </c>
      <c r="S470" s="65">
        <f t="shared" si="14"/>
        <v>0</v>
      </c>
      <c r="T470" s="369" t="b">
        <v>1</v>
      </c>
      <c r="U470" s="388"/>
      <c r="V470" s="391" t="b">
        <v>0</v>
      </c>
      <c r="W470" s="391" t="b">
        <v>0</v>
      </c>
      <c r="X470" s="391" t="b">
        <v>0</v>
      </c>
    </row>
    <row r="471" ht="24.0" customHeight="1">
      <c r="A471" s="76" t="s">
        <v>814</v>
      </c>
      <c r="B471" s="383">
        <v>46193.0</v>
      </c>
      <c r="C471" s="384" t="s">
        <v>1342</v>
      </c>
      <c r="D471" s="116" t="s">
        <v>78</v>
      </c>
      <c r="E471" s="116" t="s">
        <v>574</v>
      </c>
      <c r="F471" s="138" t="s">
        <v>703</v>
      </c>
      <c r="G471" s="457" t="s">
        <v>122</v>
      </c>
      <c r="H471" s="385">
        <v>1.0</v>
      </c>
      <c r="I471" s="386">
        <f>IF(G471="", "", IFERROR(VLOOKUP(G471, Products!A:F, 4, FALSE), ""))
</f>
        <v>80</v>
      </c>
      <c r="J471" s="405"/>
      <c r="K471" s="54">
        <f t="shared" si="15"/>
        <v>80</v>
      </c>
      <c r="L471" s="387">
        <v>40.0</v>
      </c>
      <c r="M471" s="138" t="s">
        <v>73</v>
      </c>
      <c r="N471" s="46">
        <f t="shared" si="2"/>
        <v>40</v>
      </c>
      <c r="O471" s="369" t="b">
        <v>1</v>
      </c>
      <c r="P471" s="369" t="b">
        <v>1</v>
      </c>
      <c r="Q471" s="387">
        <v>40.0</v>
      </c>
      <c r="R471" s="138" t="s">
        <v>687</v>
      </c>
      <c r="S471" s="65">
        <f t="shared" si="14"/>
        <v>0</v>
      </c>
      <c r="T471" s="369" t="b">
        <v>1</v>
      </c>
      <c r="U471" s="388"/>
      <c r="V471" s="391" t="b">
        <v>0</v>
      </c>
      <c r="W471" s="391" t="b">
        <v>0</v>
      </c>
      <c r="X471" s="391" t="b">
        <v>0</v>
      </c>
    </row>
    <row r="472" ht="24.0" customHeight="1">
      <c r="A472" s="457" t="s">
        <v>844</v>
      </c>
      <c r="B472" s="383">
        <v>46193.0</v>
      </c>
      <c r="C472" s="384" t="s">
        <v>1343</v>
      </c>
      <c r="D472" s="91" t="s">
        <v>188</v>
      </c>
      <c r="E472" s="92"/>
      <c r="F472" s="138" t="s">
        <v>59</v>
      </c>
      <c r="G472" s="457" t="s">
        <v>187</v>
      </c>
      <c r="H472" s="385">
        <v>1.0</v>
      </c>
      <c r="I472" s="386">
        <f>IF(G472="", "", IFERROR(VLOOKUP(G472, Products!A:F, 4, FALSE), ""))
</f>
        <v>400</v>
      </c>
      <c r="J472" s="405"/>
      <c r="K472" s="54">
        <f>(H472*I472)-L472</f>
        <v>200</v>
      </c>
      <c r="L472" s="387">
        <v>200.0</v>
      </c>
      <c r="M472" s="138" t="s">
        <v>73</v>
      </c>
      <c r="N472" s="46">
        <f t="shared" si="2"/>
        <v>0</v>
      </c>
      <c r="O472" s="369" t="b">
        <v>1</v>
      </c>
      <c r="P472" s="369" t="b">
        <v>1</v>
      </c>
      <c r="Q472" s="387"/>
      <c r="R472" s="138" t="s">
        <v>687</v>
      </c>
      <c r="S472" s="65">
        <f t="shared" si="14"/>
        <v>0</v>
      </c>
      <c r="T472" s="369" t="b">
        <v>1</v>
      </c>
      <c r="U472" s="388"/>
      <c r="V472" s="391" t="b">
        <v>0</v>
      </c>
      <c r="W472" s="391" t="b">
        <v>0</v>
      </c>
      <c r="X472" s="391" t="b">
        <v>0</v>
      </c>
    </row>
    <row r="473" ht="24.0" customHeight="1">
      <c r="A473" s="457" t="s">
        <v>839</v>
      </c>
      <c r="B473" s="383">
        <v>46193.0</v>
      </c>
      <c r="C473" s="384" t="s">
        <v>1344</v>
      </c>
      <c r="D473" s="116" t="s">
        <v>78</v>
      </c>
      <c r="E473" s="116" t="s">
        <v>616</v>
      </c>
      <c r="F473" s="388"/>
      <c r="G473" s="457" t="s">
        <v>122</v>
      </c>
      <c r="H473" s="385">
        <v>3.0</v>
      </c>
      <c r="I473" s="386">
        <f>IF(G473="", "", IFERROR(VLOOKUP(G473, Products!A:F, 4, FALSE), ""))
</f>
        <v>80</v>
      </c>
      <c r="J473" s="405"/>
      <c r="K473" s="54">
        <f t="shared" ref="K473:K555" si="16">(H473*I473)-J473</f>
        <v>240</v>
      </c>
      <c r="L473" s="387">
        <v>120.0</v>
      </c>
      <c r="M473" s="138" t="s">
        <v>73</v>
      </c>
      <c r="N473" s="46">
        <f t="shared" si="2"/>
        <v>120</v>
      </c>
      <c r="O473" s="369" t="b">
        <v>1</v>
      </c>
      <c r="P473" s="369" t="b">
        <v>1</v>
      </c>
      <c r="Q473" s="387"/>
      <c r="R473" s="138" t="s">
        <v>687</v>
      </c>
      <c r="S473" s="65">
        <f t="shared" si="14"/>
        <v>120</v>
      </c>
      <c r="T473" s="369" t="b">
        <v>0</v>
      </c>
      <c r="U473" s="388"/>
      <c r="V473" s="391" t="b">
        <v>0</v>
      </c>
      <c r="W473" s="391" t="b">
        <v>0</v>
      </c>
      <c r="X473" s="391" t="b">
        <v>0</v>
      </c>
    </row>
    <row r="474" ht="24.0" customHeight="1">
      <c r="A474" s="457" t="s">
        <v>822</v>
      </c>
      <c r="B474" s="383">
        <v>46193.0</v>
      </c>
      <c r="C474" s="384" t="s">
        <v>1345</v>
      </c>
      <c r="D474" s="116" t="s">
        <v>93</v>
      </c>
      <c r="E474" s="116" t="s">
        <v>622</v>
      </c>
      <c r="F474" s="138" t="s">
        <v>143</v>
      </c>
      <c r="G474" s="457" t="s">
        <v>122</v>
      </c>
      <c r="H474" s="385">
        <v>1.0</v>
      </c>
      <c r="I474" s="386">
        <f>IF(G474="", "", IFERROR(VLOOKUP(G474, Products!A:F, 4, FALSE), ""))
</f>
        <v>80</v>
      </c>
      <c r="J474" s="405"/>
      <c r="K474" s="54">
        <f t="shared" si="16"/>
        <v>80</v>
      </c>
      <c r="L474" s="387">
        <v>80.0</v>
      </c>
      <c r="M474" s="138" t="s">
        <v>73</v>
      </c>
      <c r="N474" s="46">
        <f t="shared" si="2"/>
        <v>0</v>
      </c>
      <c r="O474" s="369" t="b">
        <v>1</v>
      </c>
      <c r="P474" s="369" t="b">
        <v>1</v>
      </c>
      <c r="Q474" s="387"/>
      <c r="R474" s="138" t="s">
        <v>687</v>
      </c>
      <c r="S474" s="65">
        <f t="shared" si="14"/>
        <v>0</v>
      </c>
      <c r="T474" s="369" t="b">
        <v>1</v>
      </c>
      <c r="U474" s="388"/>
      <c r="V474" s="391" t="b">
        <v>0</v>
      </c>
      <c r="W474" s="391" t="b">
        <v>0</v>
      </c>
      <c r="X474" s="391" t="b">
        <v>0</v>
      </c>
    </row>
    <row r="475" ht="24.0" customHeight="1">
      <c r="A475" s="457" t="s">
        <v>822</v>
      </c>
      <c r="B475" s="383">
        <v>46193.0</v>
      </c>
      <c r="C475" s="384" t="s">
        <v>1345</v>
      </c>
      <c r="D475" s="116" t="s">
        <v>93</v>
      </c>
      <c r="E475" s="116" t="s">
        <v>622</v>
      </c>
      <c r="F475" s="138" t="s">
        <v>143</v>
      </c>
      <c r="G475" s="457" t="s">
        <v>207</v>
      </c>
      <c r="H475" s="385">
        <v>1.0</v>
      </c>
      <c r="I475" s="386">
        <f>IF(G475="", "", IFERROR(VLOOKUP(G475, Products!A:F, 4, FALSE), ""))
</f>
        <v>80</v>
      </c>
      <c r="J475" s="405"/>
      <c r="K475" s="54">
        <f t="shared" si="16"/>
        <v>80</v>
      </c>
      <c r="L475" s="387">
        <v>80.0</v>
      </c>
      <c r="M475" s="138" t="s">
        <v>73</v>
      </c>
      <c r="N475" s="46">
        <f t="shared" si="2"/>
        <v>0</v>
      </c>
      <c r="O475" s="369" t="b">
        <v>1</v>
      </c>
      <c r="P475" s="369" t="b">
        <v>1</v>
      </c>
      <c r="Q475" s="387"/>
      <c r="R475" s="138" t="s">
        <v>687</v>
      </c>
      <c r="S475" s="65">
        <f t="shared" si="14"/>
        <v>0</v>
      </c>
      <c r="T475" s="369" t="b">
        <v>1</v>
      </c>
      <c r="U475" s="388"/>
      <c r="V475" s="391" t="b">
        <v>0</v>
      </c>
      <c r="W475" s="391" t="b">
        <v>0</v>
      </c>
      <c r="X475" s="391" t="b">
        <v>0</v>
      </c>
    </row>
    <row r="476" ht="24.0" customHeight="1">
      <c r="A476" s="457" t="s">
        <v>822</v>
      </c>
      <c r="B476" s="383">
        <v>46193.0</v>
      </c>
      <c r="C476" s="384" t="s">
        <v>1345</v>
      </c>
      <c r="D476" s="116" t="s">
        <v>93</v>
      </c>
      <c r="E476" s="116" t="s">
        <v>622</v>
      </c>
      <c r="F476" s="138" t="s">
        <v>143</v>
      </c>
      <c r="G476" s="457" t="s">
        <v>205</v>
      </c>
      <c r="H476" s="385">
        <v>1.0</v>
      </c>
      <c r="I476" s="386">
        <f>IF(G476="", "", IFERROR(VLOOKUP(G476, Products!A:F, 4, FALSE), ""))
</f>
        <v>100</v>
      </c>
      <c r="J476" s="405"/>
      <c r="K476" s="54">
        <f t="shared" si="16"/>
        <v>100</v>
      </c>
      <c r="L476" s="387">
        <v>100.0</v>
      </c>
      <c r="M476" s="138" t="s">
        <v>73</v>
      </c>
      <c r="N476" s="46">
        <f t="shared" si="2"/>
        <v>0</v>
      </c>
      <c r="O476" s="369" t="b">
        <v>1</v>
      </c>
      <c r="P476" s="369" t="b">
        <v>1</v>
      </c>
      <c r="Q476" s="387"/>
      <c r="R476" s="138" t="s">
        <v>687</v>
      </c>
      <c r="S476" s="65">
        <f t="shared" si="14"/>
        <v>0</v>
      </c>
      <c r="T476" s="369" t="b">
        <v>1</v>
      </c>
      <c r="U476" s="388"/>
      <c r="V476" s="391" t="b">
        <v>0</v>
      </c>
      <c r="W476" s="391" t="b">
        <v>0</v>
      </c>
      <c r="X476" s="391" t="b">
        <v>0</v>
      </c>
    </row>
    <row r="477" ht="24.0" customHeight="1">
      <c r="A477" s="457" t="s">
        <v>822</v>
      </c>
      <c r="B477" s="383">
        <v>46193.0</v>
      </c>
      <c r="C477" s="384" t="s">
        <v>1345</v>
      </c>
      <c r="D477" s="116" t="s">
        <v>93</v>
      </c>
      <c r="E477" s="116" t="s">
        <v>622</v>
      </c>
      <c r="F477" s="138" t="s">
        <v>143</v>
      </c>
      <c r="G477" s="457" t="s">
        <v>168</v>
      </c>
      <c r="H477" s="385">
        <v>1.0</v>
      </c>
      <c r="I477" s="386">
        <f>IF(G477="", "", IFERROR(VLOOKUP(G477, Products!A:F, 4, FALSE), ""))
</f>
        <v>80</v>
      </c>
      <c r="J477" s="405"/>
      <c r="K477" s="54">
        <f t="shared" si="16"/>
        <v>80</v>
      </c>
      <c r="L477" s="387">
        <v>80.0</v>
      </c>
      <c r="M477" s="138" t="s">
        <v>73</v>
      </c>
      <c r="N477" s="46">
        <f t="shared" si="2"/>
        <v>0</v>
      </c>
      <c r="O477" s="369" t="b">
        <v>1</v>
      </c>
      <c r="P477" s="369" t="b">
        <v>1</v>
      </c>
      <c r="Q477" s="387"/>
      <c r="R477" s="138" t="s">
        <v>687</v>
      </c>
      <c r="S477" s="65">
        <f t="shared" si="14"/>
        <v>0</v>
      </c>
      <c r="T477" s="369" t="b">
        <v>1</v>
      </c>
      <c r="U477" s="388"/>
      <c r="V477" s="391" t="b">
        <v>0</v>
      </c>
      <c r="W477" s="391" t="b">
        <v>0</v>
      </c>
      <c r="X477" s="391" t="b">
        <v>0</v>
      </c>
    </row>
    <row r="478" ht="24.0" customHeight="1">
      <c r="A478" s="457" t="s">
        <v>822</v>
      </c>
      <c r="B478" s="383">
        <v>46193.0</v>
      </c>
      <c r="C478" s="384" t="s">
        <v>1345</v>
      </c>
      <c r="D478" s="116" t="s">
        <v>93</v>
      </c>
      <c r="E478" s="116" t="s">
        <v>622</v>
      </c>
      <c r="F478" s="138" t="s">
        <v>143</v>
      </c>
      <c r="G478" s="457" t="s">
        <v>185</v>
      </c>
      <c r="H478" s="385">
        <v>1.0</v>
      </c>
      <c r="I478" s="386">
        <f>IF(G478="", "", IFERROR(VLOOKUP(G478, Products!A:F, 4, FALSE), ""))
</f>
        <v>80</v>
      </c>
      <c r="J478" s="405"/>
      <c r="K478" s="54">
        <f t="shared" si="16"/>
        <v>80</v>
      </c>
      <c r="L478" s="387">
        <v>80.0</v>
      </c>
      <c r="M478" s="138" t="s">
        <v>73</v>
      </c>
      <c r="N478" s="46">
        <f t="shared" si="2"/>
        <v>0</v>
      </c>
      <c r="O478" s="369" t="b">
        <v>1</v>
      </c>
      <c r="P478" s="369" t="b">
        <v>1</v>
      </c>
      <c r="Q478" s="387"/>
      <c r="R478" s="138" t="s">
        <v>687</v>
      </c>
      <c r="S478" s="65">
        <f t="shared" si="14"/>
        <v>0</v>
      </c>
      <c r="T478" s="369" t="b">
        <v>1</v>
      </c>
      <c r="U478" s="388"/>
      <c r="V478" s="391" t="b">
        <v>0</v>
      </c>
      <c r="W478" s="391" t="b">
        <v>0</v>
      </c>
      <c r="X478" s="391" t="b">
        <v>0</v>
      </c>
    </row>
    <row r="479" ht="24.0" customHeight="1">
      <c r="A479" s="457" t="s">
        <v>849</v>
      </c>
      <c r="B479" s="383">
        <v>46193.0</v>
      </c>
      <c r="C479" s="384" t="s">
        <v>1346</v>
      </c>
      <c r="D479" s="116" t="s">
        <v>243</v>
      </c>
      <c r="E479" s="116" t="s">
        <v>594</v>
      </c>
      <c r="F479" s="138" t="s">
        <v>221</v>
      </c>
      <c r="G479" s="457" t="s">
        <v>205</v>
      </c>
      <c r="H479" s="385">
        <v>5.0</v>
      </c>
      <c r="I479" s="386">
        <f>IF(G479="", "", IFERROR(VLOOKUP(G479, Products!A:F, 4, FALSE), ""))
</f>
        <v>100</v>
      </c>
      <c r="J479" s="405">
        <v>50.0</v>
      </c>
      <c r="K479" s="54">
        <f t="shared" si="16"/>
        <v>450</v>
      </c>
      <c r="L479" s="387">
        <v>300.0</v>
      </c>
      <c r="M479" s="138" t="s">
        <v>73</v>
      </c>
      <c r="N479" s="46">
        <f t="shared" si="2"/>
        <v>150</v>
      </c>
      <c r="O479" s="369" t="b">
        <v>1</v>
      </c>
      <c r="P479" s="369" t="b">
        <v>1</v>
      </c>
      <c r="Q479" s="387"/>
      <c r="R479" s="138" t="s">
        <v>687</v>
      </c>
      <c r="S479" s="65">
        <f t="shared" si="14"/>
        <v>150</v>
      </c>
      <c r="T479" s="369" t="b">
        <v>0</v>
      </c>
      <c r="U479" s="388"/>
      <c r="V479" s="391" t="b">
        <v>0</v>
      </c>
      <c r="W479" s="391" t="b">
        <v>0</v>
      </c>
      <c r="X479" s="391" t="b">
        <v>0</v>
      </c>
    </row>
    <row r="480" ht="24.0" customHeight="1">
      <c r="A480" s="457" t="s">
        <v>849</v>
      </c>
      <c r="B480" s="383">
        <v>46193.0</v>
      </c>
      <c r="C480" s="384" t="s">
        <v>1346</v>
      </c>
      <c r="D480" s="116" t="s">
        <v>243</v>
      </c>
      <c r="E480" s="116" t="s">
        <v>594</v>
      </c>
      <c r="F480" s="138" t="s">
        <v>221</v>
      </c>
      <c r="G480" s="457" t="s">
        <v>187</v>
      </c>
      <c r="H480" s="385">
        <v>2.0</v>
      </c>
      <c r="I480" s="386">
        <f>IF(G480="", "", IFERROR(VLOOKUP(G480, Products!A:F, 4, FALSE), ""))
</f>
        <v>400</v>
      </c>
      <c r="J480" s="405">
        <v>100.0</v>
      </c>
      <c r="K480" s="54">
        <f t="shared" si="16"/>
        <v>700</v>
      </c>
      <c r="L480" s="387">
        <v>300.0</v>
      </c>
      <c r="M480" s="138" t="s">
        <v>73</v>
      </c>
      <c r="N480" s="46">
        <f t="shared" si="2"/>
        <v>400</v>
      </c>
      <c r="O480" s="369" t="b">
        <v>1</v>
      </c>
      <c r="P480" s="369" t="b">
        <v>1</v>
      </c>
      <c r="Q480" s="387"/>
      <c r="R480" s="138" t="s">
        <v>687</v>
      </c>
      <c r="S480" s="65">
        <f t="shared" si="14"/>
        <v>400</v>
      </c>
      <c r="T480" s="369" t="b">
        <v>0</v>
      </c>
      <c r="U480" s="388"/>
      <c r="V480" s="391" t="b">
        <v>0</v>
      </c>
      <c r="W480" s="391" t="b">
        <v>0</v>
      </c>
      <c r="X480" s="391" t="b">
        <v>0</v>
      </c>
    </row>
    <row r="481" ht="24.0" customHeight="1">
      <c r="A481" s="457" t="s">
        <v>855</v>
      </c>
      <c r="B481" s="383">
        <v>46193.0</v>
      </c>
      <c r="C481" s="384" t="s">
        <v>1347</v>
      </c>
      <c r="D481" s="116" t="s">
        <v>93</v>
      </c>
      <c r="E481" s="116" t="s">
        <v>309</v>
      </c>
      <c r="F481" s="138" t="s">
        <v>703</v>
      </c>
      <c r="G481" s="457" t="s">
        <v>63</v>
      </c>
      <c r="H481" s="385">
        <v>1.0</v>
      </c>
      <c r="I481" s="386">
        <f>IF(G481="", "", IFERROR(VLOOKUP(G481, Products!A:F, 4, FALSE), ""))
</f>
        <v>850</v>
      </c>
      <c r="J481" s="405"/>
      <c r="K481" s="54">
        <f t="shared" si="16"/>
        <v>850</v>
      </c>
      <c r="L481" s="387">
        <v>425.0</v>
      </c>
      <c r="M481" s="138" t="s">
        <v>73</v>
      </c>
      <c r="N481" s="46">
        <f t="shared" si="2"/>
        <v>425</v>
      </c>
      <c r="O481" s="369" t="b">
        <v>1</v>
      </c>
      <c r="P481" s="369" t="b">
        <v>0</v>
      </c>
      <c r="Q481" s="387"/>
      <c r="R481" s="138" t="s">
        <v>687</v>
      </c>
      <c r="S481" s="65">
        <f t="shared" si="14"/>
        <v>425</v>
      </c>
      <c r="T481" s="369" t="b">
        <v>1</v>
      </c>
      <c r="U481" s="388"/>
      <c r="V481" s="391" t="b">
        <v>0</v>
      </c>
      <c r="W481" s="391" t="b">
        <v>0</v>
      </c>
      <c r="X481" s="391" t="b">
        <v>0</v>
      </c>
    </row>
    <row r="482" ht="24.0" customHeight="1">
      <c r="A482" s="76" t="s">
        <v>819</v>
      </c>
      <c r="B482" s="383">
        <v>46193.0</v>
      </c>
      <c r="C482" s="384" t="s">
        <v>1348</v>
      </c>
      <c r="D482" s="116" t="s">
        <v>93</v>
      </c>
      <c r="E482" s="116" t="s">
        <v>154</v>
      </c>
      <c r="F482" s="388"/>
      <c r="G482" s="457" t="s">
        <v>187</v>
      </c>
      <c r="H482" s="385">
        <v>2.0</v>
      </c>
      <c r="I482" s="386">
        <f>IF(G482="", "", IFERROR(VLOOKUP(G482, Products!A:F, 4, FALSE), ""))
</f>
        <v>400</v>
      </c>
      <c r="J482" s="405">
        <v>100.0</v>
      </c>
      <c r="K482" s="54">
        <f t="shared" si="16"/>
        <v>700</v>
      </c>
      <c r="L482" s="387">
        <v>400.0</v>
      </c>
      <c r="M482" s="138" t="s">
        <v>73</v>
      </c>
      <c r="N482" s="46">
        <f t="shared" si="2"/>
        <v>300</v>
      </c>
      <c r="O482" s="369" t="b">
        <v>1</v>
      </c>
      <c r="P482" s="369" t="b">
        <v>1</v>
      </c>
      <c r="Q482" s="387">
        <v>300.0</v>
      </c>
      <c r="R482" s="138" t="s">
        <v>687</v>
      </c>
      <c r="S482" s="65">
        <f t="shared" si="14"/>
        <v>0</v>
      </c>
      <c r="T482" s="369" t="b">
        <v>1</v>
      </c>
      <c r="U482" s="388"/>
      <c r="V482" s="391" t="b">
        <v>0</v>
      </c>
      <c r="W482" s="391" t="b">
        <v>0</v>
      </c>
      <c r="X482" s="391" t="b">
        <v>0</v>
      </c>
    </row>
    <row r="483" ht="24.0" customHeight="1">
      <c r="A483" s="457" t="s">
        <v>833</v>
      </c>
      <c r="B483" s="383">
        <v>46193.0</v>
      </c>
      <c r="C483" s="384" t="s">
        <v>1349</v>
      </c>
      <c r="D483" s="116" t="s">
        <v>632</v>
      </c>
      <c r="E483" s="458"/>
      <c r="F483" s="388"/>
      <c r="G483" s="457" t="s">
        <v>187</v>
      </c>
      <c r="H483" s="385">
        <v>1.0</v>
      </c>
      <c r="I483" s="386">
        <f>IF(G483="", "", IFERROR(VLOOKUP(G483, Products!A:F, 4, FALSE), ""))
</f>
        <v>400</v>
      </c>
      <c r="J483" s="405"/>
      <c r="K483" s="54">
        <f t="shared" si="16"/>
        <v>400</v>
      </c>
      <c r="L483" s="387">
        <v>400.0</v>
      </c>
      <c r="M483" s="138" t="s">
        <v>73</v>
      </c>
      <c r="N483" s="46">
        <f t="shared" si="2"/>
        <v>0</v>
      </c>
      <c r="O483" s="369" t="b">
        <v>1</v>
      </c>
      <c r="P483" s="369" t="b">
        <v>1</v>
      </c>
      <c r="Q483" s="387"/>
      <c r="R483" s="138" t="s">
        <v>687</v>
      </c>
      <c r="S483" s="65">
        <f t="shared" si="14"/>
        <v>0</v>
      </c>
      <c r="T483" s="369" t="b">
        <v>1</v>
      </c>
      <c r="U483" s="388"/>
      <c r="V483" s="391" t="b">
        <v>0</v>
      </c>
      <c r="W483" s="391" t="b">
        <v>0</v>
      </c>
      <c r="X483" s="391" t="b">
        <v>0</v>
      </c>
    </row>
    <row r="484" ht="24.0" customHeight="1">
      <c r="A484" s="76" t="s">
        <v>65</v>
      </c>
      <c r="B484" s="383">
        <v>46194.0</v>
      </c>
      <c r="C484" s="384" t="s">
        <v>1350</v>
      </c>
      <c r="D484" s="37" t="s">
        <v>53</v>
      </c>
      <c r="E484" s="116" t="s">
        <v>70</v>
      </c>
      <c r="F484" s="388"/>
      <c r="G484" s="457" t="s">
        <v>61</v>
      </c>
      <c r="H484" s="385">
        <v>4.0</v>
      </c>
      <c r="I484" s="386">
        <f>IF(G484="", "", IFERROR(VLOOKUP(G484, Products!A:F, 4, FALSE), ""))
</f>
        <v>18</v>
      </c>
      <c r="J484" s="405"/>
      <c r="K484" s="54">
        <f t="shared" si="16"/>
        <v>72</v>
      </c>
      <c r="L484" s="387"/>
      <c r="M484" s="138"/>
      <c r="N484" s="46">
        <f t="shared" si="2"/>
        <v>72</v>
      </c>
      <c r="O484" s="369" t="b">
        <v>1</v>
      </c>
      <c r="P484" s="369" t="b">
        <v>1</v>
      </c>
      <c r="Q484" s="387">
        <v>72.0</v>
      </c>
      <c r="R484" s="138" t="s">
        <v>687</v>
      </c>
      <c r="S484" s="65">
        <f t="shared" si="14"/>
        <v>0</v>
      </c>
      <c r="T484" s="369" t="b">
        <v>1</v>
      </c>
      <c r="U484" s="388"/>
      <c r="V484" s="391" t="b">
        <v>0</v>
      </c>
      <c r="W484" s="391" t="b">
        <v>0</v>
      </c>
      <c r="X484" s="391" t="b">
        <v>0</v>
      </c>
    </row>
    <row r="485" ht="24.0" customHeight="1">
      <c r="A485" s="76" t="s">
        <v>861</v>
      </c>
      <c r="B485" s="383">
        <v>46196.01064184028</v>
      </c>
      <c r="C485" s="384" t="s">
        <v>1351</v>
      </c>
      <c r="D485" s="116" t="s">
        <v>93</v>
      </c>
      <c r="E485" s="116" t="s">
        <v>102</v>
      </c>
      <c r="F485" s="138" t="s">
        <v>703</v>
      </c>
      <c r="G485" s="457" t="s">
        <v>122</v>
      </c>
      <c r="H485" s="385">
        <v>1.0</v>
      </c>
      <c r="I485" s="386">
        <f>IF(G485="", "", IFERROR(VLOOKUP(G485, Products!A:F, 4, FALSE), ""))
</f>
        <v>80</v>
      </c>
      <c r="J485" s="405">
        <v>0.0</v>
      </c>
      <c r="K485" s="54">
        <f t="shared" si="16"/>
        <v>80</v>
      </c>
      <c r="L485" s="387">
        <v>40.0</v>
      </c>
      <c r="M485" s="138" t="s">
        <v>73</v>
      </c>
      <c r="N485" s="46">
        <f t="shared" si="2"/>
        <v>40</v>
      </c>
      <c r="O485" s="369" t="b">
        <v>1</v>
      </c>
      <c r="P485" s="369" t="b">
        <v>0</v>
      </c>
      <c r="Q485" s="387"/>
      <c r="R485" s="388"/>
      <c r="S485" s="65">
        <f t="shared" si="14"/>
        <v>40</v>
      </c>
      <c r="T485" s="369" t="b">
        <v>0</v>
      </c>
      <c r="U485" s="388"/>
      <c r="V485" s="391" t="b">
        <v>0</v>
      </c>
      <c r="W485" s="391" t="b">
        <v>0</v>
      </c>
      <c r="X485" s="391" t="b">
        <v>0</v>
      </c>
    </row>
    <row r="486" ht="24.0" customHeight="1">
      <c r="A486" s="480" t="s">
        <v>869</v>
      </c>
      <c r="B486" s="481">
        <v>46196.01309458334</v>
      </c>
      <c r="C486" s="482" t="s">
        <v>1352</v>
      </c>
      <c r="D486" s="483" t="s">
        <v>78</v>
      </c>
      <c r="E486" s="483" t="s">
        <v>644</v>
      </c>
      <c r="F486" s="484" t="s">
        <v>221</v>
      </c>
      <c r="G486" s="480" t="s">
        <v>205</v>
      </c>
      <c r="H486" s="485">
        <v>3.0</v>
      </c>
      <c r="I486" s="486">
        <f>IF(G486="", "", IFERROR(VLOOKUP(G486, Products!A:F, 4, FALSE), ""))
</f>
        <v>100</v>
      </c>
      <c r="J486" s="486">
        <v>0.0</v>
      </c>
      <c r="K486" s="487">
        <f t="shared" si="16"/>
        <v>300</v>
      </c>
      <c r="L486" s="488">
        <v>240.0</v>
      </c>
      <c r="M486" s="484" t="s">
        <v>73</v>
      </c>
      <c r="N486" s="489">
        <f t="shared" si="2"/>
        <v>60</v>
      </c>
      <c r="O486" s="490" t="b">
        <v>1</v>
      </c>
      <c r="P486" s="490" t="b">
        <v>0</v>
      </c>
      <c r="Q486" s="488"/>
      <c r="R486" s="484" t="s">
        <v>73</v>
      </c>
      <c r="S486" s="491">
        <f t="shared" si="14"/>
        <v>60</v>
      </c>
      <c r="T486" s="490" t="b">
        <v>0</v>
      </c>
      <c r="U486" s="492"/>
      <c r="V486" s="493" t="b">
        <v>0</v>
      </c>
      <c r="W486" s="493" t="b">
        <v>0</v>
      </c>
      <c r="X486" s="493" t="b">
        <v>0</v>
      </c>
    </row>
    <row r="487" ht="24.0" customHeight="1">
      <c r="A487" s="457" t="s">
        <v>873</v>
      </c>
      <c r="B487" s="383">
        <v>46196.014237372685</v>
      </c>
      <c r="C487" s="384" t="s">
        <v>874</v>
      </c>
      <c r="D487" s="116" t="s">
        <v>93</v>
      </c>
      <c r="E487" s="116" t="s">
        <v>617</v>
      </c>
      <c r="F487" s="138" t="s">
        <v>703</v>
      </c>
      <c r="G487" s="457" t="s">
        <v>122</v>
      </c>
      <c r="H487" s="385">
        <v>1.0</v>
      </c>
      <c r="I487" s="386">
        <f>IF(G487="", "", IFERROR(VLOOKUP(G487, Products!A:F, 4, FALSE), ""))
</f>
        <v>80</v>
      </c>
      <c r="J487" s="405">
        <v>0.0</v>
      </c>
      <c r="K487" s="54">
        <f t="shared" si="16"/>
        <v>80</v>
      </c>
      <c r="L487" s="387">
        <v>40.0</v>
      </c>
      <c r="M487" s="138" t="s">
        <v>73</v>
      </c>
      <c r="N487" s="46">
        <f t="shared" si="2"/>
        <v>40</v>
      </c>
      <c r="O487" s="369" t="b">
        <v>1</v>
      </c>
      <c r="P487" s="369" t="b">
        <v>1</v>
      </c>
      <c r="Q487" s="387"/>
      <c r="R487" s="388"/>
      <c r="S487" s="65">
        <f t="shared" si="14"/>
        <v>40</v>
      </c>
      <c r="T487" s="369" t="b">
        <v>1</v>
      </c>
      <c r="U487" s="388"/>
      <c r="V487" s="391" t="b">
        <v>0</v>
      </c>
      <c r="W487" s="391" t="b">
        <v>0</v>
      </c>
      <c r="X487" s="391" t="b">
        <v>0</v>
      </c>
    </row>
    <row r="488" ht="24.0" customHeight="1">
      <c r="A488" s="76" t="s">
        <v>877</v>
      </c>
      <c r="B488" s="383">
        <v>46196.01502767361</v>
      </c>
      <c r="C488" s="384" t="s">
        <v>1353</v>
      </c>
      <c r="D488" s="116" t="s">
        <v>551</v>
      </c>
      <c r="E488" s="399"/>
      <c r="F488" s="138" t="s">
        <v>703</v>
      </c>
      <c r="G488" s="457" t="s">
        <v>63</v>
      </c>
      <c r="H488" s="385">
        <v>2.0</v>
      </c>
      <c r="I488" s="386">
        <f>IF(G488="", "", IFERROR(VLOOKUP(G488, Products!A:F, 4, FALSE), ""))
</f>
        <v>850</v>
      </c>
      <c r="J488" s="405"/>
      <c r="K488" s="54">
        <f t="shared" si="16"/>
        <v>1700</v>
      </c>
      <c r="L488" s="387">
        <v>1700.0</v>
      </c>
      <c r="M488" s="138" t="s">
        <v>73</v>
      </c>
      <c r="N488" s="46">
        <f t="shared" si="2"/>
        <v>0</v>
      </c>
      <c r="O488" s="369" t="b">
        <v>1</v>
      </c>
      <c r="P488" s="369" t="b">
        <v>1</v>
      </c>
      <c r="Q488" s="387"/>
      <c r="R488" s="138" t="s">
        <v>73</v>
      </c>
      <c r="S488" s="65">
        <f t="shared" si="14"/>
        <v>0</v>
      </c>
      <c r="T488" s="369" t="b">
        <v>1</v>
      </c>
      <c r="U488" s="388"/>
      <c r="V488" s="391" t="b">
        <v>0</v>
      </c>
      <c r="W488" s="391" t="b">
        <v>0</v>
      </c>
      <c r="X488" s="391" t="b">
        <v>0</v>
      </c>
    </row>
    <row r="489" ht="24.0" customHeight="1">
      <c r="A489" s="76" t="s">
        <v>877</v>
      </c>
      <c r="B489" s="383">
        <v>46196.01502767361</v>
      </c>
      <c r="C489" s="384" t="s">
        <v>1353</v>
      </c>
      <c r="D489" s="116" t="s">
        <v>551</v>
      </c>
      <c r="E489" s="399"/>
      <c r="F489" s="388"/>
      <c r="G489" s="457" t="s">
        <v>201</v>
      </c>
      <c r="H489" s="385">
        <v>4.0</v>
      </c>
      <c r="I489" s="386">
        <f>IF(G489="", "", IFERROR(VLOOKUP(G489, Products!A:F, 4, FALSE), ""))
</f>
        <v>80</v>
      </c>
      <c r="J489" s="405">
        <v>0.0</v>
      </c>
      <c r="K489" s="54">
        <f t="shared" si="16"/>
        <v>320</v>
      </c>
      <c r="L489" s="387">
        <v>320.0</v>
      </c>
      <c r="M489" s="138" t="s">
        <v>73</v>
      </c>
      <c r="N489" s="46">
        <f t="shared" si="2"/>
        <v>0</v>
      </c>
      <c r="O489" s="369" t="b">
        <v>1</v>
      </c>
      <c r="P489" s="369" t="b">
        <v>1</v>
      </c>
      <c r="Q489" s="387"/>
      <c r="R489" s="388"/>
      <c r="S489" s="65">
        <f t="shared" si="14"/>
        <v>0</v>
      </c>
      <c r="T489" s="369" t="b">
        <v>1</v>
      </c>
      <c r="U489" s="388"/>
      <c r="V489" s="391" t="b">
        <v>0</v>
      </c>
      <c r="W489" s="391" t="b">
        <v>0</v>
      </c>
      <c r="X489" s="391" t="b">
        <v>0</v>
      </c>
    </row>
    <row r="490" ht="24.0" customHeight="1">
      <c r="A490" s="76" t="s">
        <v>877</v>
      </c>
      <c r="B490" s="383">
        <v>46196.01502767361</v>
      </c>
      <c r="C490" s="384" t="s">
        <v>1354</v>
      </c>
      <c r="D490" s="116" t="s">
        <v>551</v>
      </c>
      <c r="E490" s="458"/>
      <c r="F490" s="388"/>
      <c r="G490" s="457" t="s">
        <v>210</v>
      </c>
      <c r="H490" s="385">
        <v>4.0</v>
      </c>
      <c r="I490" s="386">
        <f>IF(G490="", "", IFERROR(VLOOKUP(G490, Products!A:F, 4, FALSE), ""))
</f>
        <v>80</v>
      </c>
      <c r="J490" s="405">
        <v>0.0</v>
      </c>
      <c r="K490" s="54">
        <f t="shared" si="16"/>
        <v>320</v>
      </c>
      <c r="L490" s="387">
        <v>320.0</v>
      </c>
      <c r="M490" s="138" t="s">
        <v>73</v>
      </c>
      <c r="N490" s="46">
        <f t="shared" si="2"/>
        <v>0</v>
      </c>
      <c r="O490" s="369" t="b">
        <v>1</v>
      </c>
      <c r="P490" s="369" t="b">
        <v>1</v>
      </c>
      <c r="Q490" s="387"/>
      <c r="R490" s="388"/>
      <c r="S490" s="65">
        <f t="shared" si="14"/>
        <v>0</v>
      </c>
      <c r="T490" s="369" t="b">
        <v>1</v>
      </c>
      <c r="U490" s="388"/>
      <c r="V490" s="391" t="b">
        <v>0</v>
      </c>
      <c r="W490" s="391" t="b">
        <v>0</v>
      </c>
      <c r="X490" s="391" t="b">
        <v>0</v>
      </c>
    </row>
    <row r="491" ht="24.0" customHeight="1">
      <c r="A491" s="76" t="s">
        <v>877</v>
      </c>
      <c r="B491" s="383">
        <v>46196.01502767361</v>
      </c>
      <c r="C491" s="384" t="s">
        <v>1354</v>
      </c>
      <c r="D491" s="116" t="s">
        <v>551</v>
      </c>
      <c r="E491" s="458"/>
      <c r="F491" s="388"/>
      <c r="G491" s="457" t="s">
        <v>212</v>
      </c>
      <c r="H491" s="385">
        <v>4.0</v>
      </c>
      <c r="I491" s="386">
        <f>IF(G491="", "", IFERROR(VLOOKUP(G491, Products!A:F, 4, FALSE), ""))
</f>
        <v>80</v>
      </c>
      <c r="J491" s="405"/>
      <c r="K491" s="54">
        <f t="shared" si="16"/>
        <v>320</v>
      </c>
      <c r="L491" s="387">
        <v>320.0</v>
      </c>
      <c r="M491" s="138" t="s">
        <v>73</v>
      </c>
      <c r="N491" s="46">
        <f t="shared" si="2"/>
        <v>0</v>
      </c>
      <c r="O491" s="369" t="b">
        <v>1</v>
      </c>
      <c r="P491" s="369" t="b">
        <v>1</v>
      </c>
      <c r="Q491" s="387"/>
      <c r="R491" s="388"/>
      <c r="S491" s="65">
        <f t="shared" si="14"/>
        <v>0</v>
      </c>
      <c r="T491" s="369" t="b">
        <v>1</v>
      </c>
      <c r="U491" s="388"/>
      <c r="V491" s="391" t="b">
        <v>0</v>
      </c>
      <c r="W491" s="391" t="b">
        <v>0</v>
      </c>
      <c r="X491" s="391" t="b">
        <v>0</v>
      </c>
    </row>
    <row r="492" ht="24.0" customHeight="1">
      <c r="A492" s="76" t="s">
        <v>877</v>
      </c>
      <c r="B492" s="383">
        <v>46196.01502767361</v>
      </c>
      <c r="C492" s="384" t="s">
        <v>1354</v>
      </c>
      <c r="D492" s="116" t="s">
        <v>551</v>
      </c>
      <c r="E492" s="458"/>
      <c r="F492" s="388"/>
      <c r="G492" s="457" t="s">
        <v>122</v>
      </c>
      <c r="H492" s="385">
        <v>4.0</v>
      </c>
      <c r="I492" s="386">
        <f>IF(G492="", "", IFERROR(VLOOKUP(G492, Products!A:F, 4, FALSE), ""))
</f>
        <v>80</v>
      </c>
      <c r="J492" s="405"/>
      <c r="K492" s="54">
        <f t="shared" si="16"/>
        <v>320</v>
      </c>
      <c r="L492" s="387">
        <v>320.0</v>
      </c>
      <c r="M492" s="138" t="s">
        <v>73</v>
      </c>
      <c r="N492" s="46">
        <f t="shared" si="2"/>
        <v>0</v>
      </c>
      <c r="O492" s="369" t="b">
        <v>1</v>
      </c>
      <c r="P492" s="369" t="b">
        <v>1</v>
      </c>
      <c r="Q492" s="387"/>
      <c r="R492" s="388"/>
      <c r="S492" s="65">
        <f t="shared" si="14"/>
        <v>0</v>
      </c>
      <c r="T492" s="369" t="b">
        <v>1</v>
      </c>
      <c r="U492" s="388"/>
      <c r="V492" s="391" t="b">
        <v>0</v>
      </c>
      <c r="W492" s="391" t="b">
        <v>0</v>
      </c>
      <c r="X492" s="391" t="b">
        <v>0</v>
      </c>
    </row>
    <row r="493" ht="24.0" customHeight="1">
      <c r="A493" s="76" t="s">
        <v>877</v>
      </c>
      <c r="B493" s="383">
        <v>46196.01502767361</v>
      </c>
      <c r="C493" s="384" t="s">
        <v>1354</v>
      </c>
      <c r="D493" s="116" t="s">
        <v>551</v>
      </c>
      <c r="E493" s="458"/>
      <c r="F493" s="388"/>
      <c r="G493" s="457" t="s">
        <v>187</v>
      </c>
      <c r="H493" s="385">
        <v>4.0</v>
      </c>
      <c r="I493" s="386">
        <f>IF(G493="", "", IFERROR(VLOOKUP(G493, Products!A:F, 4, FALSE), ""))
</f>
        <v>400</v>
      </c>
      <c r="J493" s="405">
        <v>200.0</v>
      </c>
      <c r="K493" s="54">
        <f t="shared" si="16"/>
        <v>1400</v>
      </c>
      <c r="L493" s="387"/>
      <c r="M493" s="138"/>
      <c r="N493" s="46">
        <f t="shared" si="2"/>
        <v>1400</v>
      </c>
      <c r="O493" s="369" t="b">
        <v>1</v>
      </c>
      <c r="P493" s="369" t="b">
        <v>1</v>
      </c>
      <c r="Q493" s="387"/>
      <c r="R493" s="388"/>
      <c r="S493" s="65">
        <f t="shared" si="14"/>
        <v>1400</v>
      </c>
      <c r="T493" s="369" t="b">
        <v>1</v>
      </c>
      <c r="U493" s="388"/>
      <c r="V493" s="391" t="b">
        <v>0</v>
      </c>
      <c r="W493" s="391" t="b">
        <v>0</v>
      </c>
      <c r="X493" s="391" t="b">
        <v>0</v>
      </c>
    </row>
    <row r="494" ht="24.0" customHeight="1">
      <c r="A494" s="76" t="s">
        <v>877</v>
      </c>
      <c r="B494" s="383">
        <v>46196.01502767361</v>
      </c>
      <c r="C494" s="384" t="s">
        <v>1354</v>
      </c>
      <c r="D494" s="116" t="s">
        <v>551</v>
      </c>
      <c r="E494" s="458"/>
      <c r="F494" s="388"/>
      <c r="G494" s="457" t="s">
        <v>207</v>
      </c>
      <c r="H494" s="385">
        <v>4.0</v>
      </c>
      <c r="I494" s="386">
        <f>IF(G494="", "", IFERROR(VLOOKUP(G494, Products!A:F, 4, FALSE), ""))
</f>
        <v>80</v>
      </c>
      <c r="J494" s="405">
        <v>0.0</v>
      </c>
      <c r="K494" s="54">
        <f t="shared" si="16"/>
        <v>320</v>
      </c>
      <c r="L494" s="387">
        <v>320.0</v>
      </c>
      <c r="M494" s="138" t="s">
        <v>73</v>
      </c>
      <c r="N494" s="46">
        <f t="shared" si="2"/>
        <v>0</v>
      </c>
      <c r="O494" s="369" t="b">
        <v>1</v>
      </c>
      <c r="P494" s="369" t="b">
        <v>1</v>
      </c>
      <c r="Q494" s="387"/>
      <c r="R494" s="388"/>
      <c r="S494" s="65">
        <f t="shared" si="14"/>
        <v>0</v>
      </c>
      <c r="T494" s="369" t="b">
        <v>1</v>
      </c>
      <c r="U494" s="388"/>
      <c r="V494" s="391" t="b">
        <v>0</v>
      </c>
      <c r="W494" s="391" t="b">
        <v>0</v>
      </c>
      <c r="X494" s="391" t="b">
        <v>0</v>
      </c>
    </row>
    <row r="495" ht="24.0" customHeight="1">
      <c r="A495" s="76" t="s">
        <v>877</v>
      </c>
      <c r="B495" s="383">
        <v>46196.01502767361</v>
      </c>
      <c r="C495" s="384" t="s">
        <v>1354</v>
      </c>
      <c r="D495" s="116" t="s">
        <v>551</v>
      </c>
      <c r="E495" s="458"/>
      <c r="F495" s="388"/>
      <c r="G495" s="457" t="s">
        <v>205</v>
      </c>
      <c r="H495" s="385">
        <v>4.0</v>
      </c>
      <c r="I495" s="386">
        <f>IF(G495="", "", IFERROR(VLOOKUP(G495, Products!A:F, 4, FALSE), ""))
</f>
        <v>100</v>
      </c>
      <c r="J495" s="405">
        <v>0.0</v>
      </c>
      <c r="K495" s="54">
        <f t="shared" si="16"/>
        <v>400</v>
      </c>
      <c r="L495" s="387">
        <v>400.0</v>
      </c>
      <c r="M495" s="138" t="s">
        <v>73</v>
      </c>
      <c r="N495" s="46">
        <f t="shared" si="2"/>
        <v>0</v>
      </c>
      <c r="O495" s="369" t="b">
        <v>1</v>
      </c>
      <c r="P495" s="369" t="b">
        <v>1</v>
      </c>
      <c r="Q495" s="387"/>
      <c r="R495" s="388"/>
      <c r="S495" s="65">
        <f t="shared" si="14"/>
        <v>0</v>
      </c>
      <c r="T495" s="369" t="b">
        <v>1</v>
      </c>
      <c r="U495" s="388"/>
      <c r="V495" s="391" t="b">
        <v>0</v>
      </c>
      <c r="W495" s="391" t="b">
        <v>0</v>
      </c>
      <c r="X495" s="391" t="b">
        <v>0</v>
      </c>
    </row>
    <row r="496" ht="24.0" customHeight="1">
      <c r="A496" s="76" t="s">
        <v>877</v>
      </c>
      <c r="B496" s="383">
        <v>46196.01502767361</v>
      </c>
      <c r="C496" s="384" t="s">
        <v>1354</v>
      </c>
      <c r="D496" s="116" t="s">
        <v>551</v>
      </c>
      <c r="E496" s="458"/>
      <c r="F496" s="388"/>
      <c r="G496" s="76" t="s">
        <v>222</v>
      </c>
      <c r="H496" s="385">
        <v>4.0</v>
      </c>
      <c r="I496" s="386">
        <f>IF(G496="", "", IFERROR(VLOOKUP(G496, Products!A:F, 4, FALSE), ""))
</f>
        <v>80</v>
      </c>
      <c r="J496" s="405">
        <v>0.0</v>
      </c>
      <c r="K496" s="54">
        <f t="shared" si="16"/>
        <v>320</v>
      </c>
      <c r="L496" s="387">
        <v>210.0</v>
      </c>
      <c r="M496" s="138" t="s">
        <v>73</v>
      </c>
      <c r="N496" s="46">
        <f t="shared" si="2"/>
        <v>110</v>
      </c>
      <c r="O496" s="369" t="b">
        <v>1</v>
      </c>
      <c r="P496" s="369" t="b">
        <v>1</v>
      </c>
      <c r="Q496" s="387"/>
      <c r="R496" s="388"/>
      <c r="S496" s="65">
        <f t="shared" si="14"/>
        <v>110</v>
      </c>
      <c r="T496" s="369" t="b">
        <v>1</v>
      </c>
      <c r="U496" s="388"/>
      <c r="V496" s="391" t="b">
        <v>0</v>
      </c>
      <c r="W496" s="391" t="b">
        <v>0</v>
      </c>
      <c r="X496" s="391" t="b">
        <v>0</v>
      </c>
    </row>
    <row r="497" ht="24.0" customHeight="1">
      <c r="A497" s="76" t="s">
        <v>877</v>
      </c>
      <c r="B497" s="383">
        <v>46196.01502767361</v>
      </c>
      <c r="C497" s="384" t="s">
        <v>1354</v>
      </c>
      <c r="D497" s="116" t="s">
        <v>551</v>
      </c>
      <c r="E497" s="458"/>
      <c r="F497" s="388"/>
      <c r="G497" s="457" t="s">
        <v>217</v>
      </c>
      <c r="H497" s="385">
        <v>4.0</v>
      </c>
      <c r="I497" s="386">
        <f>IF(G497="", "", IFERROR(VLOOKUP(G497, Products!A:F, 4, FALSE), ""))
</f>
        <v>80</v>
      </c>
      <c r="J497" s="405">
        <v>0.0</v>
      </c>
      <c r="K497" s="54">
        <f t="shared" si="16"/>
        <v>320</v>
      </c>
      <c r="L497" s="387"/>
      <c r="M497" s="138"/>
      <c r="N497" s="46">
        <f t="shared" si="2"/>
        <v>320</v>
      </c>
      <c r="O497" s="369" t="b">
        <v>1</v>
      </c>
      <c r="P497" s="369" t="b">
        <v>1</v>
      </c>
      <c r="Q497" s="387"/>
      <c r="R497" s="388"/>
      <c r="S497" s="65">
        <f t="shared" si="14"/>
        <v>320</v>
      </c>
      <c r="T497" s="369" t="b">
        <v>1</v>
      </c>
      <c r="U497" s="388"/>
      <c r="V497" s="391" t="b">
        <v>0</v>
      </c>
      <c r="W497" s="391" t="b">
        <v>0</v>
      </c>
      <c r="X497" s="391" t="b">
        <v>0</v>
      </c>
    </row>
    <row r="498" ht="24.0" customHeight="1">
      <c r="A498" s="76" t="s">
        <v>877</v>
      </c>
      <c r="B498" s="383">
        <v>46196.01502767361</v>
      </c>
      <c r="C498" s="384" t="s">
        <v>1354</v>
      </c>
      <c r="D498" s="116" t="s">
        <v>551</v>
      </c>
      <c r="E498" s="458"/>
      <c r="F498" s="388"/>
      <c r="G498" s="76" t="s">
        <v>226</v>
      </c>
      <c r="H498" s="385">
        <v>6.0</v>
      </c>
      <c r="I498" s="386">
        <f>IF(G498="", "", IFERROR(VLOOKUP(G498, Products!A:F, 4, FALSE), ""))
</f>
        <v>100</v>
      </c>
      <c r="J498" s="405">
        <v>0.0</v>
      </c>
      <c r="K498" s="54">
        <f t="shared" si="16"/>
        <v>600</v>
      </c>
      <c r="L498" s="387"/>
      <c r="M498" s="138"/>
      <c r="N498" s="46">
        <f t="shared" si="2"/>
        <v>600</v>
      </c>
      <c r="O498" s="369" t="b">
        <v>1</v>
      </c>
      <c r="P498" s="369" t="b">
        <v>1</v>
      </c>
      <c r="Q498" s="387"/>
      <c r="R498" s="388"/>
      <c r="S498" s="65">
        <f t="shared" si="14"/>
        <v>600</v>
      </c>
      <c r="T498" s="369" t="b">
        <v>1</v>
      </c>
      <c r="U498" s="388"/>
      <c r="V498" s="391" t="b">
        <v>0</v>
      </c>
      <c r="W498" s="391" t="b">
        <v>0</v>
      </c>
      <c r="X498" s="391" t="b">
        <v>0</v>
      </c>
    </row>
    <row r="499" ht="24.0" customHeight="1">
      <c r="A499" s="76" t="s">
        <v>877</v>
      </c>
      <c r="B499" s="383">
        <v>46196.01502767361</v>
      </c>
      <c r="C499" s="384" t="s">
        <v>1354</v>
      </c>
      <c r="D499" s="116" t="s">
        <v>551</v>
      </c>
      <c r="E499" s="458"/>
      <c r="F499" s="388"/>
      <c r="G499" s="457" t="s">
        <v>214</v>
      </c>
      <c r="H499" s="385">
        <v>4.0</v>
      </c>
      <c r="I499" s="386">
        <f>IF(G499="", "", IFERROR(VLOOKUP(G499, Products!A:F, 4, FALSE), ""))
</f>
        <v>120</v>
      </c>
      <c r="J499" s="405">
        <v>0.0</v>
      </c>
      <c r="K499" s="54">
        <f t="shared" si="16"/>
        <v>480</v>
      </c>
      <c r="L499" s="387"/>
      <c r="M499" s="138"/>
      <c r="N499" s="46">
        <f t="shared" si="2"/>
        <v>480</v>
      </c>
      <c r="O499" s="369" t="b">
        <v>1</v>
      </c>
      <c r="P499" s="369" t="b">
        <v>1</v>
      </c>
      <c r="Q499" s="387"/>
      <c r="R499" s="388"/>
      <c r="S499" s="65">
        <f t="shared" si="14"/>
        <v>480</v>
      </c>
      <c r="T499" s="369" t="b">
        <v>1</v>
      </c>
      <c r="U499" s="388"/>
      <c r="V499" s="391" t="b">
        <v>0</v>
      </c>
      <c r="W499" s="391" t="b">
        <v>0</v>
      </c>
      <c r="X499" s="391" t="b">
        <v>0</v>
      </c>
    </row>
    <row r="500" ht="24.0" customHeight="1">
      <c r="A500" s="76" t="s">
        <v>877</v>
      </c>
      <c r="B500" s="383">
        <v>46196.01502767361</v>
      </c>
      <c r="C500" s="384" t="s">
        <v>1354</v>
      </c>
      <c r="D500" s="116" t="s">
        <v>551</v>
      </c>
      <c r="E500" s="458"/>
      <c r="F500" s="388"/>
      <c r="G500" s="457" t="s">
        <v>153</v>
      </c>
      <c r="H500" s="385">
        <v>4.0</v>
      </c>
      <c r="I500" s="386">
        <f>IF(G500="", "", IFERROR(VLOOKUP(G500, Products!A:F, 4, FALSE), ""))
</f>
        <v>80</v>
      </c>
      <c r="J500" s="405">
        <v>0.0</v>
      </c>
      <c r="K500" s="54">
        <f t="shared" si="16"/>
        <v>320</v>
      </c>
      <c r="L500" s="387"/>
      <c r="M500" s="138"/>
      <c r="N500" s="46">
        <f t="shared" si="2"/>
        <v>320</v>
      </c>
      <c r="O500" s="369" t="b">
        <v>1</v>
      </c>
      <c r="P500" s="369" t="b">
        <v>1</v>
      </c>
      <c r="Q500" s="387"/>
      <c r="R500" s="388"/>
      <c r="S500" s="65">
        <f t="shared" si="14"/>
        <v>320</v>
      </c>
      <c r="T500" s="369" t="b">
        <v>1</v>
      </c>
      <c r="U500" s="388"/>
      <c r="V500" s="391" t="b">
        <v>0</v>
      </c>
      <c r="W500" s="391" t="b">
        <v>0</v>
      </c>
      <c r="X500" s="391" t="b">
        <v>0</v>
      </c>
    </row>
    <row r="501" ht="24.0" customHeight="1">
      <c r="A501" s="76" t="s">
        <v>877</v>
      </c>
      <c r="B501" s="383">
        <v>46196.01502767361</v>
      </c>
      <c r="C501" s="384" t="s">
        <v>1354</v>
      </c>
      <c r="D501" s="116" t="s">
        <v>551</v>
      </c>
      <c r="E501" s="458"/>
      <c r="F501" s="388"/>
      <c r="G501" s="457" t="s">
        <v>104</v>
      </c>
      <c r="H501" s="385">
        <v>4.0</v>
      </c>
      <c r="I501" s="386">
        <f>IF(G501="", "", IFERROR(VLOOKUP(G501, Products!A:F, 4, FALSE), ""))
</f>
        <v>80</v>
      </c>
      <c r="J501" s="405">
        <v>0.0</v>
      </c>
      <c r="K501" s="54">
        <f t="shared" si="16"/>
        <v>320</v>
      </c>
      <c r="L501" s="387"/>
      <c r="M501" s="138"/>
      <c r="N501" s="46">
        <f t="shared" si="2"/>
        <v>320</v>
      </c>
      <c r="O501" s="369" t="b">
        <v>1</v>
      </c>
      <c r="P501" s="369" t="b">
        <v>1</v>
      </c>
      <c r="Q501" s="387"/>
      <c r="R501" s="388"/>
      <c r="S501" s="65">
        <f t="shared" si="14"/>
        <v>320</v>
      </c>
      <c r="T501" s="369" t="b">
        <v>1</v>
      </c>
      <c r="U501" s="388"/>
      <c r="V501" s="391" t="b">
        <v>0</v>
      </c>
      <c r="W501" s="391" t="b">
        <v>0</v>
      </c>
      <c r="X501" s="391" t="b">
        <v>0</v>
      </c>
    </row>
    <row r="502" ht="24.0" customHeight="1">
      <c r="A502" s="76" t="s">
        <v>877</v>
      </c>
      <c r="B502" s="383">
        <v>46196.01502767361</v>
      </c>
      <c r="C502" s="384" t="s">
        <v>1354</v>
      </c>
      <c r="D502" s="116" t="s">
        <v>551</v>
      </c>
      <c r="E502" s="458"/>
      <c r="F502" s="388"/>
      <c r="G502" s="457" t="s">
        <v>168</v>
      </c>
      <c r="H502" s="385">
        <v>4.0</v>
      </c>
      <c r="I502" s="386">
        <f>IF(G502="", "", IFERROR(VLOOKUP(G502, Products!A:F, 4, FALSE), ""))
</f>
        <v>80</v>
      </c>
      <c r="J502" s="405">
        <v>0.0</v>
      </c>
      <c r="K502" s="54">
        <f t="shared" si="16"/>
        <v>320</v>
      </c>
      <c r="L502" s="387"/>
      <c r="M502" s="138"/>
      <c r="N502" s="46">
        <f t="shared" si="2"/>
        <v>320</v>
      </c>
      <c r="O502" s="369" t="b">
        <v>1</v>
      </c>
      <c r="P502" s="369" t="b">
        <v>1</v>
      </c>
      <c r="Q502" s="387"/>
      <c r="R502" s="388"/>
      <c r="S502" s="65">
        <f t="shared" si="14"/>
        <v>320</v>
      </c>
      <c r="T502" s="369" t="b">
        <v>1</v>
      </c>
      <c r="U502" s="388"/>
      <c r="V502" s="391" t="b">
        <v>0</v>
      </c>
      <c r="W502" s="391" t="b">
        <v>0</v>
      </c>
      <c r="X502" s="391" t="b">
        <v>0</v>
      </c>
    </row>
    <row r="503" ht="24.0" customHeight="1">
      <c r="A503" s="76" t="s">
        <v>877</v>
      </c>
      <c r="B503" s="383">
        <v>46196.01502767361</v>
      </c>
      <c r="C503" s="384" t="s">
        <v>1354</v>
      </c>
      <c r="D503" s="116" t="s">
        <v>551</v>
      </c>
      <c r="E503" s="458"/>
      <c r="F503" s="388"/>
      <c r="G503" s="457" t="s">
        <v>185</v>
      </c>
      <c r="H503" s="385">
        <v>4.0</v>
      </c>
      <c r="I503" s="386">
        <f>IF(G503="", "", IFERROR(VLOOKUP(G503, Products!A:F, 4, FALSE), ""))
</f>
        <v>80</v>
      </c>
      <c r="J503" s="405">
        <v>0.0</v>
      </c>
      <c r="K503" s="54">
        <f t="shared" si="16"/>
        <v>320</v>
      </c>
      <c r="L503" s="387"/>
      <c r="M503" s="138"/>
      <c r="N503" s="46">
        <f t="shared" si="2"/>
        <v>320</v>
      </c>
      <c r="O503" s="369" t="b">
        <v>1</v>
      </c>
      <c r="P503" s="369" t="b">
        <v>1</v>
      </c>
      <c r="Q503" s="387"/>
      <c r="R503" s="388"/>
      <c r="S503" s="65">
        <f t="shared" si="14"/>
        <v>320</v>
      </c>
      <c r="T503" s="369" t="b">
        <v>1</v>
      </c>
      <c r="U503" s="388"/>
      <c r="V503" s="391" t="b">
        <v>0</v>
      </c>
      <c r="W503" s="391" t="b">
        <v>0</v>
      </c>
      <c r="X503" s="391" t="b">
        <v>0</v>
      </c>
    </row>
    <row r="504" ht="24.0" customHeight="1">
      <c r="A504" s="76" t="s">
        <v>884</v>
      </c>
      <c r="B504" s="383">
        <v>46200.772147870375</v>
      </c>
      <c r="C504" s="384" t="s">
        <v>1355</v>
      </c>
      <c r="D504" s="116" t="s">
        <v>243</v>
      </c>
      <c r="E504" s="399"/>
      <c r="F504" s="388"/>
      <c r="G504" s="457" t="s">
        <v>63</v>
      </c>
      <c r="H504" s="494">
        <v>1.0</v>
      </c>
      <c r="I504" s="386">
        <f>IF(G504="", "", IFERROR(VLOOKUP(G504, Products!A:F, 4, FALSE), ""))
</f>
        <v>850</v>
      </c>
      <c r="J504" s="405">
        <v>0.0</v>
      </c>
      <c r="K504" s="54">
        <f t="shared" si="16"/>
        <v>850</v>
      </c>
      <c r="L504" s="387">
        <v>500.0</v>
      </c>
      <c r="M504" s="138" t="s">
        <v>73</v>
      </c>
      <c r="N504" s="46">
        <f t="shared" si="2"/>
        <v>350</v>
      </c>
      <c r="O504" s="369" t="b">
        <v>1</v>
      </c>
      <c r="P504" s="369" t="b">
        <v>0</v>
      </c>
      <c r="Q504" s="387"/>
      <c r="R504" s="388"/>
      <c r="S504" s="65">
        <f t="shared" si="14"/>
        <v>350</v>
      </c>
      <c r="T504" s="369" t="b">
        <v>1</v>
      </c>
      <c r="U504" s="388"/>
      <c r="V504" s="391" t="b">
        <v>0</v>
      </c>
      <c r="W504" s="391" t="b">
        <v>0</v>
      </c>
      <c r="X504" s="391" t="b">
        <v>0</v>
      </c>
    </row>
    <row r="505" ht="24.0" customHeight="1">
      <c r="A505" s="76" t="s">
        <v>884</v>
      </c>
      <c r="B505" s="383">
        <v>46200.772147870375</v>
      </c>
      <c r="C505" s="384" t="s">
        <v>1355</v>
      </c>
      <c r="D505" s="116" t="s">
        <v>243</v>
      </c>
      <c r="E505" s="399"/>
      <c r="F505" s="388"/>
      <c r="G505" s="457" t="s">
        <v>205</v>
      </c>
      <c r="H505" s="385">
        <v>2.0</v>
      </c>
      <c r="I505" s="386">
        <f>IF(G505="", "", IFERROR(VLOOKUP(G505, Products!A:F, 4, FALSE), ""))
</f>
        <v>100</v>
      </c>
      <c r="J505" s="405">
        <v>0.0</v>
      </c>
      <c r="K505" s="54">
        <f t="shared" si="16"/>
        <v>200</v>
      </c>
      <c r="L505" s="387"/>
      <c r="M505" s="138"/>
      <c r="N505" s="46">
        <f t="shared" si="2"/>
        <v>200</v>
      </c>
      <c r="O505" s="369" t="b">
        <v>1</v>
      </c>
      <c r="P505" s="369" t="b">
        <v>0</v>
      </c>
      <c r="Q505" s="387"/>
      <c r="R505" s="388"/>
      <c r="S505" s="65">
        <f t="shared" si="14"/>
        <v>200</v>
      </c>
      <c r="T505" s="369" t="b">
        <v>1</v>
      </c>
      <c r="U505" s="388"/>
      <c r="V505" s="391" t="b">
        <v>0</v>
      </c>
      <c r="W505" s="391" t="b">
        <v>0</v>
      </c>
      <c r="X505" s="391" t="b">
        <v>0</v>
      </c>
    </row>
    <row r="506" ht="24.0" customHeight="1">
      <c r="A506" s="76" t="s">
        <v>884</v>
      </c>
      <c r="B506" s="383">
        <v>46200.772147870375</v>
      </c>
      <c r="C506" s="384" t="s">
        <v>1355</v>
      </c>
      <c r="D506" s="116" t="s">
        <v>243</v>
      </c>
      <c r="E506" s="399"/>
      <c r="F506" s="388"/>
      <c r="G506" s="457" t="s">
        <v>85</v>
      </c>
      <c r="H506" s="385">
        <v>3.0</v>
      </c>
      <c r="I506" s="386">
        <f>IF(G506="", "", IFERROR(VLOOKUP(G506, Products!A:F, 4, FALSE), ""))
</f>
        <v>30</v>
      </c>
      <c r="J506" s="405">
        <v>0.0</v>
      </c>
      <c r="K506" s="54">
        <f t="shared" si="16"/>
        <v>90</v>
      </c>
      <c r="L506" s="387"/>
      <c r="M506" s="138"/>
      <c r="N506" s="46">
        <f t="shared" si="2"/>
        <v>90</v>
      </c>
      <c r="O506" s="369" t="b">
        <v>1</v>
      </c>
      <c r="P506" s="369" t="b">
        <v>0</v>
      </c>
      <c r="Q506" s="387"/>
      <c r="R506" s="388"/>
      <c r="S506" s="65">
        <f t="shared" si="14"/>
        <v>90</v>
      </c>
      <c r="T506" s="369" t="b">
        <v>1</v>
      </c>
      <c r="U506" s="388"/>
      <c r="V506" s="391" t="b">
        <v>0</v>
      </c>
      <c r="W506" s="391" t="b">
        <v>0</v>
      </c>
      <c r="X506" s="391" t="b">
        <v>0</v>
      </c>
    </row>
    <row r="507" ht="24.0" customHeight="1">
      <c r="A507" s="76" t="s">
        <v>891</v>
      </c>
      <c r="B507" s="383">
        <v>46200.77566126158</v>
      </c>
      <c r="C507" s="384" t="s">
        <v>1356</v>
      </c>
      <c r="D507" s="116"/>
      <c r="E507" s="399"/>
      <c r="F507" s="388"/>
      <c r="G507" s="457" t="s">
        <v>201</v>
      </c>
      <c r="H507" s="385">
        <v>1.0</v>
      </c>
      <c r="I507" s="386">
        <f>IF(G507="", "", IFERROR(VLOOKUP(G507, Products!A:F, 4, FALSE), ""))
</f>
        <v>80</v>
      </c>
      <c r="J507" s="405">
        <v>0.0</v>
      </c>
      <c r="K507" s="54">
        <f t="shared" si="16"/>
        <v>80</v>
      </c>
      <c r="L507" s="387">
        <v>50.0</v>
      </c>
      <c r="M507" s="138" t="s">
        <v>73</v>
      </c>
      <c r="N507" s="46">
        <f t="shared" si="2"/>
        <v>30</v>
      </c>
      <c r="O507" s="369" t="b">
        <v>1</v>
      </c>
      <c r="P507" s="369" t="b">
        <v>1</v>
      </c>
      <c r="Q507" s="387"/>
      <c r="R507" s="388"/>
      <c r="S507" s="65">
        <f t="shared" si="14"/>
        <v>30</v>
      </c>
      <c r="T507" s="369" t="b">
        <v>1</v>
      </c>
      <c r="U507" s="388"/>
      <c r="V507" s="391" t="b">
        <v>0</v>
      </c>
      <c r="W507" s="391" t="b">
        <v>0</v>
      </c>
      <c r="X507" s="391" t="b">
        <v>0</v>
      </c>
    </row>
    <row r="508" ht="24.0" customHeight="1">
      <c r="A508" s="76" t="s">
        <v>894</v>
      </c>
      <c r="B508" s="383">
        <v>46200.776518680555</v>
      </c>
      <c r="C508" s="384" t="s">
        <v>1357</v>
      </c>
      <c r="D508" s="116" t="s">
        <v>93</v>
      </c>
      <c r="E508" s="116" t="s">
        <v>162</v>
      </c>
      <c r="F508" s="388"/>
      <c r="G508" s="76" t="s">
        <v>232</v>
      </c>
      <c r="H508" s="385">
        <v>50.0</v>
      </c>
      <c r="I508" s="386">
        <f>IF(G508="", "", IFERROR(VLOOKUP(G508, Products!A:F, 4, FALSE), ""))
</f>
        <v>15</v>
      </c>
      <c r="J508" s="405">
        <v>0.0</v>
      </c>
      <c r="K508" s="54">
        <f t="shared" si="16"/>
        <v>750</v>
      </c>
      <c r="L508" s="387">
        <v>345.0</v>
      </c>
      <c r="M508" s="138" t="s">
        <v>73</v>
      </c>
      <c r="N508" s="46">
        <f t="shared" si="2"/>
        <v>405</v>
      </c>
      <c r="O508" s="369" t="b">
        <v>1</v>
      </c>
      <c r="P508" s="369" t="b">
        <v>0</v>
      </c>
      <c r="Q508" s="387"/>
      <c r="R508" s="388"/>
      <c r="S508" s="65">
        <f t="shared" si="14"/>
        <v>405</v>
      </c>
      <c r="T508" s="369" t="b">
        <v>1</v>
      </c>
      <c r="U508" s="388"/>
      <c r="V508" s="391" t="b">
        <v>0</v>
      </c>
      <c r="W508" s="391" t="b">
        <v>0</v>
      </c>
      <c r="X508" s="391" t="b">
        <v>0</v>
      </c>
    </row>
    <row r="509" ht="24.0" customHeight="1">
      <c r="A509" s="76" t="s">
        <v>897</v>
      </c>
      <c r="B509" s="383">
        <v>46200.78154391204</v>
      </c>
      <c r="C509" s="384" t="s">
        <v>1358</v>
      </c>
      <c r="D509" s="116"/>
      <c r="E509" s="399"/>
      <c r="F509" s="388"/>
      <c r="G509" s="457" t="s">
        <v>187</v>
      </c>
      <c r="H509" s="385">
        <v>1.0</v>
      </c>
      <c r="I509" s="386">
        <f>IF(G509="", "", IFERROR(VLOOKUP(G509, Products!A:F, 4, FALSE), ""))
</f>
        <v>400</v>
      </c>
      <c r="J509" s="405">
        <v>0.0</v>
      </c>
      <c r="K509" s="54">
        <f t="shared" si="16"/>
        <v>400</v>
      </c>
      <c r="L509" s="387">
        <v>300.0</v>
      </c>
      <c r="M509" s="138" t="s">
        <v>73</v>
      </c>
      <c r="N509" s="46">
        <f t="shared" si="2"/>
        <v>100</v>
      </c>
      <c r="O509" s="369" t="b">
        <v>1</v>
      </c>
      <c r="P509" s="369" t="b">
        <v>0</v>
      </c>
      <c r="Q509" s="387"/>
      <c r="R509" s="388"/>
      <c r="S509" s="65">
        <f t="shared" si="14"/>
        <v>100</v>
      </c>
      <c r="T509" s="369" t="b">
        <v>1</v>
      </c>
      <c r="U509" s="388"/>
      <c r="V509" s="391" t="b">
        <v>0</v>
      </c>
      <c r="W509" s="391" t="b">
        <v>0</v>
      </c>
      <c r="X509" s="391" t="b">
        <v>0</v>
      </c>
    </row>
    <row r="510" ht="24.0" customHeight="1">
      <c r="A510" s="76" t="s">
        <v>897</v>
      </c>
      <c r="B510" s="383">
        <v>46200.78154391204</v>
      </c>
      <c r="C510" s="384" t="s">
        <v>1358</v>
      </c>
      <c r="D510" s="116"/>
      <c r="E510" s="399"/>
      <c r="F510" s="388"/>
      <c r="G510" s="457" t="s">
        <v>201</v>
      </c>
      <c r="H510" s="385">
        <v>1.0</v>
      </c>
      <c r="I510" s="386">
        <f>IF(G510="", "", IFERROR(VLOOKUP(G510, Products!A:F, 4, FALSE), ""))
</f>
        <v>80</v>
      </c>
      <c r="J510" s="405">
        <v>0.0</v>
      </c>
      <c r="K510" s="54">
        <f t="shared" si="16"/>
        <v>80</v>
      </c>
      <c r="L510" s="387"/>
      <c r="M510" s="138"/>
      <c r="N510" s="46">
        <f t="shared" si="2"/>
        <v>80</v>
      </c>
      <c r="O510" s="369" t="b">
        <v>1</v>
      </c>
      <c r="P510" s="369" t="b">
        <v>0</v>
      </c>
      <c r="Q510" s="387"/>
      <c r="R510" s="388"/>
      <c r="S510" s="65">
        <f t="shared" si="14"/>
        <v>80</v>
      </c>
      <c r="T510" s="369" t="b">
        <v>1</v>
      </c>
      <c r="U510" s="388"/>
      <c r="V510" s="391" t="b">
        <v>0</v>
      </c>
      <c r="W510" s="391" t="b">
        <v>0</v>
      </c>
      <c r="X510" s="391" t="b">
        <v>0</v>
      </c>
    </row>
    <row r="511" ht="24.0" customHeight="1">
      <c r="A511" s="76" t="s">
        <v>897</v>
      </c>
      <c r="B511" s="383">
        <v>46200.78154391204</v>
      </c>
      <c r="C511" s="384" t="s">
        <v>1359</v>
      </c>
      <c r="D511" s="116"/>
      <c r="E511" s="399"/>
      <c r="F511" s="388"/>
      <c r="G511" s="457" t="s">
        <v>226</v>
      </c>
      <c r="H511" s="385">
        <v>1.0</v>
      </c>
      <c r="I511" s="386">
        <f>IF(G511="", "", IFERROR(VLOOKUP(G511, Products!A:F, 4, FALSE), ""))
</f>
        <v>100</v>
      </c>
      <c r="J511" s="405">
        <v>0.0</v>
      </c>
      <c r="K511" s="54">
        <f t="shared" si="16"/>
        <v>100</v>
      </c>
      <c r="L511" s="387"/>
      <c r="M511" s="138"/>
      <c r="N511" s="46">
        <f t="shared" si="2"/>
        <v>100</v>
      </c>
      <c r="O511" s="369" t="b">
        <v>1</v>
      </c>
      <c r="P511" s="369" t="b">
        <v>0</v>
      </c>
      <c r="Q511" s="387"/>
      <c r="R511" s="388"/>
      <c r="S511" s="65">
        <f t="shared" si="14"/>
        <v>100</v>
      </c>
      <c r="T511" s="369" t="b">
        <v>1</v>
      </c>
      <c r="U511" s="388"/>
      <c r="V511" s="391" t="b">
        <v>0</v>
      </c>
      <c r="W511" s="391" t="b">
        <v>0</v>
      </c>
      <c r="X511" s="391" t="b">
        <v>0</v>
      </c>
    </row>
    <row r="512" ht="24.0" customHeight="1">
      <c r="A512" s="76" t="s">
        <v>897</v>
      </c>
      <c r="B512" s="383">
        <v>46200.78154391204</v>
      </c>
      <c r="C512" s="384" t="s">
        <v>1359</v>
      </c>
      <c r="D512" s="116"/>
      <c r="E512" s="399"/>
      <c r="F512" s="388"/>
      <c r="G512" s="457" t="s">
        <v>240</v>
      </c>
      <c r="H512" s="385">
        <v>1.0</v>
      </c>
      <c r="I512" s="386">
        <f>IF(G512="", "", IFERROR(VLOOKUP(G512, Products!A:F, 4, FALSE), ""))
</f>
        <v>11</v>
      </c>
      <c r="J512" s="405">
        <v>0.0</v>
      </c>
      <c r="K512" s="54">
        <f t="shared" si="16"/>
        <v>11</v>
      </c>
      <c r="L512" s="387"/>
      <c r="M512" s="138"/>
      <c r="N512" s="46">
        <f t="shared" si="2"/>
        <v>11</v>
      </c>
      <c r="O512" s="369" t="b">
        <v>1</v>
      </c>
      <c r="P512" s="369" t="b">
        <v>0</v>
      </c>
      <c r="Q512" s="387"/>
      <c r="R512" s="388"/>
      <c r="S512" s="65">
        <f t="shared" si="14"/>
        <v>11</v>
      </c>
      <c r="T512" s="369" t="b">
        <v>1</v>
      </c>
      <c r="U512" s="388"/>
      <c r="V512" s="391" t="b">
        <v>0</v>
      </c>
      <c r="W512" s="391" t="b">
        <v>0</v>
      </c>
      <c r="X512" s="391" t="b">
        <v>0</v>
      </c>
    </row>
    <row r="513" ht="24.0" customHeight="1">
      <c r="A513" s="76" t="s">
        <v>900</v>
      </c>
      <c r="B513" s="383">
        <v>46200.783914479165</v>
      </c>
      <c r="C513" s="384" t="s">
        <v>1360</v>
      </c>
      <c r="D513" s="116" t="s">
        <v>93</v>
      </c>
      <c r="E513" s="116" t="s">
        <v>583</v>
      </c>
      <c r="F513" s="388"/>
      <c r="G513" s="457" t="s">
        <v>190</v>
      </c>
      <c r="H513" s="385">
        <v>3.0</v>
      </c>
      <c r="I513" s="386">
        <f>IF(G513="", "", IFERROR(VLOOKUP(G513, Products!A:F, 4, FALSE), ""))
</f>
        <v>200</v>
      </c>
      <c r="J513" s="405">
        <v>0.0</v>
      </c>
      <c r="K513" s="54">
        <f t="shared" si="16"/>
        <v>600</v>
      </c>
      <c r="L513" s="387">
        <v>300.0</v>
      </c>
      <c r="M513" s="138" t="s">
        <v>73</v>
      </c>
      <c r="N513" s="46">
        <f t="shared" si="2"/>
        <v>300</v>
      </c>
      <c r="O513" s="369" t="b">
        <v>1</v>
      </c>
      <c r="P513" s="369" t="b">
        <v>1</v>
      </c>
      <c r="Q513" s="387"/>
      <c r="R513" s="388"/>
      <c r="S513" s="65">
        <f t="shared" si="14"/>
        <v>300</v>
      </c>
      <c r="T513" s="369" t="b">
        <v>1</v>
      </c>
      <c r="U513" s="388"/>
      <c r="V513" s="391" t="b">
        <v>0</v>
      </c>
      <c r="W513" s="391" t="b">
        <v>0</v>
      </c>
      <c r="X513" s="391" t="b">
        <v>0</v>
      </c>
    </row>
    <row r="514" ht="24.0" customHeight="1">
      <c r="A514" s="76" t="s">
        <v>903</v>
      </c>
      <c r="B514" s="383">
        <v>46200.78484386574</v>
      </c>
      <c r="C514" s="384" t="s">
        <v>1361</v>
      </c>
      <c r="D514" s="116" t="s">
        <v>93</v>
      </c>
      <c r="E514" s="116" t="s">
        <v>583</v>
      </c>
      <c r="F514" s="388"/>
      <c r="G514" s="457" t="s">
        <v>210</v>
      </c>
      <c r="H514" s="385">
        <v>1.0</v>
      </c>
      <c r="I514" s="386">
        <f>IF(G514="", "", IFERROR(VLOOKUP(G514, Products!A:F, 4, FALSE), ""))
</f>
        <v>80</v>
      </c>
      <c r="J514" s="405">
        <v>0.0</v>
      </c>
      <c r="K514" s="54">
        <f t="shared" si="16"/>
        <v>80</v>
      </c>
      <c r="L514" s="387">
        <v>80.0</v>
      </c>
      <c r="M514" s="138" t="s">
        <v>73</v>
      </c>
      <c r="N514" s="46">
        <f t="shared" si="2"/>
        <v>0</v>
      </c>
      <c r="O514" s="369" t="b">
        <v>1</v>
      </c>
      <c r="P514" s="369" t="b">
        <v>1</v>
      </c>
      <c r="Q514" s="387"/>
      <c r="R514" s="138" t="s">
        <v>687</v>
      </c>
      <c r="S514" s="65">
        <f t="shared" si="14"/>
        <v>0</v>
      </c>
      <c r="T514" s="369" t="b">
        <v>1</v>
      </c>
      <c r="U514" s="388"/>
      <c r="V514" s="391" t="b">
        <v>0</v>
      </c>
      <c r="W514" s="391" t="b">
        <v>0</v>
      </c>
      <c r="X514" s="391" t="b">
        <v>0</v>
      </c>
    </row>
    <row r="515" ht="24.0" customHeight="1">
      <c r="A515" s="76" t="s">
        <v>903</v>
      </c>
      <c r="B515" s="383">
        <v>46200.78484386574</v>
      </c>
      <c r="C515" s="384" t="s">
        <v>1361</v>
      </c>
      <c r="D515" s="116" t="s">
        <v>93</v>
      </c>
      <c r="E515" s="116" t="s">
        <v>583</v>
      </c>
      <c r="F515" s="388"/>
      <c r="G515" s="457" t="s">
        <v>212</v>
      </c>
      <c r="H515" s="385">
        <v>1.0</v>
      </c>
      <c r="I515" s="386">
        <f>IF(G515="", "", IFERROR(VLOOKUP(G515, Products!A:F, 4, FALSE), ""))
</f>
        <v>80</v>
      </c>
      <c r="J515" s="405">
        <v>0.0</v>
      </c>
      <c r="K515" s="54">
        <f t="shared" si="16"/>
        <v>80</v>
      </c>
      <c r="L515" s="387">
        <v>80.0</v>
      </c>
      <c r="M515" s="138" t="s">
        <v>73</v>
      </c>
      <c r="N515" s="46">
        <f t="shared" si="2"/>
        <v>0</v>
      </c>
      <c r="O515" s="369" t="b">
        <v>1</v>
      </c>
      <c r="P515" s="369" t="b">
        <v>1</v>
      </c>
      <c r="Q515" s="387"/>
      <c r="R515" s="138" t="s">
        <v>687</v>
      </c>
      <c r="S515" s="65">
        <f t="shared" si="14"/>
        <v>0</v>
      </c>
      <c r="T515" s="369" t="b">
        <v>1</v>
      </c>
      <c r="U515" s="388"/>
      <c r="V515" s="391" t="b">
        <v>0</v>
      </c>
      <c r="W515" s="391" t="b">
        <v>0</v>
      </c>
      <c r="X515" s="391" t="b">
        <v>0</v>
      </c>
    </row>
    <row r="516" ht="24.0" customHeight="1">
      <c r="A516" s="76" t="s">
        <v>903</v>
      </c>
      <c r="B516" s="383">
        <v>46200.78484386574</v>
      </c>
      <c r="C516" s="384" t="s">
        <v>1362</v>
      </c>
      <c r="D516" s="116" t="s">
        <v>93</v>
      </c>
      <c r="E516" s="116" t="s">
        <v>583</v>
      </c>
      <c r="F516" s="388"/>
      <c r="G516" s="457" t="s">
        <v>122</v>
      </c>
      <c r="H516" s="385">
        <v>1.0</v>
      </c>
      <c r="I516" s="386">
        <f>IF(G516="", "", IFERROR(VLOOKUP(G516, Products!A:F, 4, FALSE), ""))
</f>
        <v>80</v>
      </c>
      <c r="J516" s="405">
        <v>0.0</v>
      </c>
      <c r="K516" s="54">
        <f t="shared" si="16"/>
        <v>80</v>
      </c>
      <c r="L516" s="387">
        <v>80.0</v>
      </c>
      <c r="M516" s="138" t="s">
        <v>73</v>
      </c>
      <c r="N516" s="46">
        <f t="shared" si="2"/>
        <v>0</v>
      </c>
      <c r="O516" s="369" t="b">
        <v>1</v>
      </c>
      <c r="P516" s="369" t="b">
        <v>1</v>
      </c>
      <c r="Q516" s="387"/>
      <c r="R516" s="138" t="s">
        <v>687</v>
      </c>
      <c r="S516" s="65">
        <f t="shared" si="14"/>
        <v>0</v>
      </c>
      <c r="T516" s="369" t="b">
        <v>1</v>
      </c>
      <c r="U516" s="388"/>
      <c r="V516" s="391" t="b">
        <v>0</v>
      </c>
      <c r="W516" s="391" t="b">
        <v>0</v>
      </c>
      <c r="X516" s="391" t="b">
        <v>0</v>
      </c>
    </row>
    <row r="517" ht="24.0" customHeight="1">
      <c r="A517" s="76" t="s">
        <v>903</v>
      </c>
      <c r="B517" s="383">
        <v>46200.78484386574</v>
      </c>
      <c r="C517" s="384" t="s">
        <v>1362</v>
      </c>
      <c r="D517" s="116" t="s">
        <v>93</v>
      </c>
      <c r="E517" s="116" t="s">
        <v>583</v>
      </c>
      <c r="F517" s="388"/>
      <c r="G517" s="457" t="s">
        <v>190</v>
      </c>
      <c r="H517" s="385">
        <v>1.0</v>
      </c>
      <c r="I517" s="386">
        <f>IF(G517="", "", IFERROR(VLOOKUP(G517, Products!A:F, 4, FALSE), ""))
</f>
        <v>200</v>
      </c>
      <c r="J517" s="405">
        <v>0.0</v>
      </c>
      <c r="K517" s="54">
        <f t="shared" si="16"/>
        <v>200</v>
      </c>
      <c r="L517" s="387">
        <v>200.0</v>
      </c>
      <c r="M517" s="138" t="s">
        <v>73</v>
      </c>
      <c r="N517" s="46">
        <f t="shared" si="2"/>
        <v>0</v>
      </c>
      <c r="O517" s="369" t="b">
        <v>1</v>
      </c>
      <c r="P517" s="369" t="b">
        <v>1</v>
      </c>
      <c r="Q517" s="387"/>
      <c r="R517" s="138" t="s">
        <v>687</v>
      </c>
      <c r="S517" s="65">
        <f t="shared" si="14"/>
        <v>0</v>
      </c>
      <c r="T517" s="369" t="b">
        <v>1</v>
      </c>
      <c r="U517" s="388"/>
      <c r="V517" s="391" t="b">
        <v>0</v>
      </c>
      <c r="W517" s="391" t="b">
        <v>0</v>
      </c>
      <c r="X517" s="391" t="b">
        <v>0</v>
      </c>
    </row>
    <row r="518" ht="24.0" customHeight="1">
      <c r="A518" s="76" t="s">
        <v>903</v>
      </c>
      <c r="B518" s="383">
        <v>46200.78484386574</v>
      </c>
      <c r="C518" s="384" t="s">
        <v>1362</v>
      </c>
      <c r="D518" s="116" t="s">
        <v>93</v>
      </c>
      <c r="E518" s="116" t="s">
        <v>583</v>
      </c>
      <c r="F518" s="388"/>
      <c r="G518" s="457" t="s">
        <v>207</v>
      </c>
      <c r="H518" s="385">
        <v>1.0</v>
      </c>
      <c r="I518" s="386">
        <f>IF(G518="", "", IFERROR(VLOOKUP(G518, Products!A:F, 4, FALSE), ""))
</f>
        <v>80</v>
      </c>
      <c r="J518" s="405">
        <v>0.0</v>
      </c>
      <c r="K518" s="54">
        <f t="shared" si="16"/>
        <v>80</v>
      </c>
      <c r="L518" s="387"/>
      <c r="M518" s="138"/>
      <c r="N518" s="46">
        <f t="shared" si="2"/>
        <v>80</v>
      </c>
      <c r="O518" s="369" t="b">
        <v>1</v>
      </c>
      <c r="P518" s="369" t="b">
        <v>1</v>
      </c>
      <c r="Q518" s="387">
        <v>80.0</v>
      </c>
      <c r="R518" s="138" t="s">
        <v>687</v>
      </c>
      <c r="S518" s="65">
        <f t="shared" si="14"/>
        <v>0</v>
      </c>
      <c r="T518" s="369" t="b">
        <v>1</v>
      </c>
      <c r="U518" s="388"/>
      <c r="V518" s="391" t="b">
        <v>0</v>
      </c>
      <c r="W518" s="391" t="b">
        <v>0</v>
      </c>
      <c r="X518" s="391" t="b">
        <v>0</v>
      </c>
    </row>
    <row r="519" ht="24.0" customHeight="1">
      <c r="A519" s="76" t="s">
        <v>903</v>
      </c>
      <c r="B519" s="383">
        <v>46200.78484386574</v>
      </c>
      <c r="C519" s="384" t="s">
        <v>1362</v>
      </c>
      <c r="D519" s="116" t="s">
        <v>93</v>
      </c>
      <c r="E519" s="116" t="s">
        <v>583</v>
      </c>
      <c r="F519" s="388"/>
      <c r="G519" s="457" t="s">
        <v>205</v>
      </c>
      <c r="H519" s="385">
        <v>1.0</v>
      </c>
      <c r="I519" s="386">
        <f>IF(G519="", "", IFERROR(VLOOKUP(G519, Products!A:F, 4, FALSE), ""))
</f>
        <v>100</v>
      </c>
      <c r="J519" s="405">
        <v>0.0</v>
      </c>
      <c r="K519" s="54">
        <f t="shared" si="16"/>
        <v>100</v>
      </c>
      <c r="L519" s="387">
        <v>100.0</v>
      </c>
      <c r="M519" s="138" t="s">
        <v>73</v>
      </c>
      <c r="N519" s="46">
        <f t="shared" si="2"/>
        <v>0</v>
      </c>
      <c r="O519" s="369" t="b">
        <v>1</v>
      </c>
      <c r="P519" s="369" t="b">
        <v>1</v>
      </c>
      <c r="Q519" s="387"/>
      <c r="R519" s="138" t="s">
        <v>687</v>
      </c>
      <c r="S519" s="65">
        <f t="shared" si="14"/>
        <v>0</v>
      </c>
      <c r="T519" s="369" t="b">
        <v>1</v>
      </c>
      <c r="U519" s="388"/>
      <c r="V519" s="391" t="b">
        <v>0</v>
      </c>
      <c r="W519" s="391" t="b">
        <v>0</v>
      </c>
      <c r="X519" s="391" t="b">
        <v>0</v>
      </c>
    </row>
    <row r="520" ht="24.0" customHeight="1">
      <c r="A520" s="76" t="s">
        <v>903</v>
      </c>
      <c r="B520" s="383">
        <v>46200.78484386574</v>
      </c>
      <c r="C520" s="384" t="s">
        <v>1362</v>
      </c>
      <c r="D520" s="116" t="s">
        <v>93</v>
      </c>
      <c r="E520" s="116" t="s">
        <v>583</v>
      </c>
      <c r="F520" s="388"/>
      <c r="G520" s="76" t="s">
        <v>222</v>
      </c>
      <c r="H520" s="385">
        <v>1.0</v>
      </c>
      <c r="I520" s="386">
        <f>IF(G520="", "", IFERROR(VLOOKUP(G520, Products!A:F, 4, FALSE), ""))
</f>
        <v>80</v>
      </c>
      <c r="J520" s="405">
        <v>0.0</v>
      </c>
      <c r="K520" s="54">
        <f t="shared" si="16"/>
        <v>80</v>
      </c>
      <c r="L520" s="387"/>
      <c r="M520" s="138"/>
      <c r="N520" s="46">
        <f t="shared" si="2"/>
        <v>80</v>
      </c>
      <c r="O520" s="369" t="b">
        <v>1</v>
      </c>
      <c r="P520" s="369" t="b">
        <v>1</v>
      </c>
      <c r="Q520" s="387">
        <v>80.0</v>
      </c>
      <c r="R520" s="138" t="s">
        <v>687</v>
      </c>
      <c r="S520" s="65">
        <f t="shared" si="14"/>
        <v>0</v>
      </c>
      <c r="T520" s="369" t="b">
        <v>1</v>
      </c>
      <c r="U520" s="388"/>
      <c r="V520" s="391" t="b">
        <v>0</v>
      </c>
      <c r="W520" s="391" t="b">
        <v>0</v>
      </c>
      <c r="X520" s="391" t="b">
        <v>0</v>
      </c>
    </row>
    <row r="521" ht="24.0" customHeight="1">
      <c r="A521" s="76" t="s">
        <v>903</v>
      </c>
      <c r="B521" s="383">
        <v>46200.78484386574</v>
      </c>
      <c r="C521" s="384" t="s">
        <v>1362</v>
      </c>
      <c r="D521" s="116" t="s">
        <v>93</v>
      </c>
      <c r="E521" s="116" t="s">
        <v>583</v>
      </c>
      <c r="F521" s="388"/>
      <c r="G521" s="457" t="s">
        <v>217</v>
      </c>
      <c r="H521" s="385">
        <v>1.0</v>
      </c>
      <c r="I521" s="386">
        <f>IF(G521="", "", IFERROR(VLOOKUP(G521, Products!A:F, 4, FALSE), ""))
</f>
        <v>80</v>
      </c>
      <c r="J521" s="405">
        <v>0.0</v>
      </c>
      <c r="K521" s="54">
        <f t="shared" si="16"/>
        <v>80</v>
      </c>
      <c r="L521" s="387"/>
      <c r="M521" s="138"/>
      <c r="N521" s="46">
        <f t="shared" si="2"/>
        <v>80</v>
      </c>
      <c r="O521" s="369" t="b">
        <v>1</v>
      </c>
      <c r="P521" s="369" t="b">
        <v>1</v>
      </c>
      <c r="Q521" s="387">
        <v>80.0</v>
      </c>
      <c r="R521" s="138" t="s">
        <v>687</v>
      </c>
      <c r="S521" s="65">
        <f t="shared" si="14"/>
        <v>0</v>
      </c>
      <c r="T521" s="369" t="b">
        <v>1</v>
      </c>
      <c r="U521" s="388"/>
      <c r="V521" s="391" t="b">
        <v>0</v>
      </c>
      <c r="W521" s="391" t="b">
        <v>0</v>
      </c>
      <c r="X521" s="391" t="b">
        <v>0</v>
      </c>
    </row>
    <row r="522" ht="24.0" customHeight="1">
      <c r="A522" s="76" t="s">
        <v>903</v>
      </c>
      <c r="B522" s="383">
        <v>46200.78484386574</v>
      </c>
      <c r="C522" s="384" t="s">
        <v>1362</v>
      </c>
      <c r="D522" s="116" t="s">
        <v>93</v>
      </c>
      <c r="E522" s="116" t="s">
        <v>583</v>
      </c>
      <c r="F522" s="388"/>
      <c r="G522" s="457" t="s">
        <v>226</v>
      </c>
      <c r="H522" s="385">
        <v>1.0</v>
      </c>
      <c r="I522" s="386">
        <f>IF(G522="", "", IFERROR(VLOOKUP(G522, Products!A:F, 4, FALSE), ""))
</f>
        <v>100</v>
      </c>
      <c r="J522" s="405">
        <v>0.0</v>
      </c>
      <c r="K522" s="54">
        <f t="shared" si="16"/>
        <v>100</v>
      </c>
      <c r="L522" s="387"/>
      <c r="M522" s="138"/>
      <c r="N522" s="46">
        <f t="shared" si="2"/>
        <v>100</v>
      </c>
      <c r="O522" s="369" t="b">
        <v>1</v>
      </c>
      <c r="P522" s="369" t="b">
        <v>1</v>
      </c>
      <c r="Q522" s="387">
        <v>100.0</v>
      </c>
      <c r="R522" s="138" t="s">
        <v>687</v>
      </c>
      <c r="S522" s="65">
        <f t="shared" si="14"/>
        <v>0</v>
      </c>
      <c r="T522" s="369" t="b">
        <v>1</v>
      </c>
      <c r="U522" s="388"/>
      <c r="V522" s="391" t="b">
        <v>0</v>
      </c>
      <c r="W522" s="391" t="b">
        <v>0</v>
      </c>
      <c r="X522" s="391" t="b">
        <v>0</v>
      </c>
    </row>
    <row r="523" ht="24.0" customHeight="1">
      <c r="A523" s="76" t="s">
        <v>903</v>
      </c>
      <c r="B523" s="383">
        <v>46200.78484386574</v>
      </c>
      <c r="C523" s="384" t="s">
        <v>1362</v>
      </c>
      <c r="D523" s="116" t="s">
        <v>93</v>
      </c>
      <c r="E523" s="116" t="s">
        <v>583</v>
      </c>
      <c r="F523" s="388"/>
      <c r="G523" s="457" t="s">
        <v>214</v>
      </c>
      <c r="H523" s="385">
        <v>1.0</v>
      </c>
      <c r="I523" s="386">
        <f>IF(G523="", "", IFERROR(VLOOKUP(G523, Products!A:F, 4, FALSE), ""))
</f>
        <v>120</v>
      </c>
      <c r="J523" s="405">
        <v>0.0</v>
      </c>
      <c r="K523" s="54">
        <f t="shared" si="16"/>
        <v>120</v>
      </c>
      <c r="L523" s="387">
        <v>100.0</v>
      </c>
      <c r="M523" s="138" t="s">
        <v>73</v>
      </c>
      <c r="N523" s="46">
        <f t="shared" si="2"/>
        <v>20</v>
      </c>
      <c r="O523" s="369" t="b">
        <v>1</v>
      </c>
      <c r="P523" s="369" t="b">
        <v>1</v>
      </c>
      <c r="Q523" s="387">
        <v>20.0</v>
      </c>
      <c r="R523" s="138" t="s">
        <v>687</v>
      </c>
      <c r="S523" s="65">
        <f t="shared" si="14"/>
        <v>0</v>
      </c>
      <c r="T523" s="369" t="b">
        <v>1</v>
      </c>
      <c r="U523" s="388"/>
      <c r="V523" s="391" t="b">
        <v>0</v>
      </c>
      <c r="W523" s="391" t="b">
        <v>0</v>
      </c>
      <c r="X523" s="391" t="b">
        <v>0</v>
      </c>
    </row>
    <row r="524" ht="24.0" customHeight="1">
      <c r="A524" s="76" t="s">
        <v>903</v>
      </c>
      <c r="B524" s="383">
        <v>46200.78484386574</v>
      </c>
      <c r="C524" s="384" t="s">
        <v>1362</v>
      </c>
      <c r="D524" s="116" t="s">
        <v>93</v>
      </c>
      <c r="E524" s="116" t="s">
        <v>583</v>
      </c>
      <c r="F524" s="388"/>
      <c r="G524" s="457" t="s">
        <v>153</v>
      </c>
      <c r="H524" s="385">
        <v>1.0</v>
      </c>
      <c r="I524" s="386">
        <f>IF(G524="", "", IFERROR(VLOOKUP(G524, Products!A:F, 4, FALSE), ""))
</f>
        <v>80</v>
      </c>
      <c r="J524" s="405">
        <v>0.0</v>
      </c>
      <c r="K524" s="54">
        <f t="shared" si="16"/>
        <v>80</v>
      </c>
      <c r="L524" s="387">
        <v>60.0</v>
      </c>
      <c r="M524" s="138" t="s">
        <v>73</v>
      </c>
      <c r="N524" s="46">
        <f t="shared" si="2"/>
        <v>20</v>
      </c>
      <c r="O524" s="369" t="b">
        <v>1</v>
      </c>
      <c r="P524" s="369" t="b">
        <v>1</v>
      </c>
      <c r="Q524" s="387">
        <v>20.0</v>
      </c>
      <c r="R524" s="138" t="s">
        <v>687</v>
      </c>
      <c r="S524" s="65">
        <f t="shared" si="14"/>
        <v>0</v>
      </c>
      <c r="T524" s="369" t="b">
        <v>1</v>
      </c>
      <c r="U524" s="388"/>
      <c r="V524" s="391" t="b">
        <v>0</v>
      </c>
      <c r="W524" s="391" t="b">
        <v>0</v>
      </c>
      <c r="X524" s="391" t="b">
        <v>0</v>
      </c>
    </row>
    <row r="525" ht="24.0" customHeight="1">
      <c r="A525" s="76" t="s">
        <v>903</v>
      </c>
      <c r="B525" s="383">
        <v>46200.78484386574</v>
      </c>
      <c r="C525" s="384" t="s">
        <v>1362</v>
      </c>
      <c r="D525" s="116" t="s">
        <v>93</v>
      </c>
      <c r="E525" s="116" t="s">
        <v>583</v>
      </c>
      <c r="F525" s="388"/>
      <c r="G525" s="457" t="s">
        <v>104</v>
      </c>
      <c r="H525" s="385">
        <v>1.0</v>
      </c>
      <c r="I525" s="386">
        <f>IF(G525="", "", IFERROR(VLOOKUP(G525, Products!A:F, 4, FALSE), ""))
</f>
        <v>80</v>
      </c>
      <c r="J525" s="405">
        <v>0.0</v>
      </c>
      <c r="K525" s="54">
        <f t="shared" si="16"/>
        <v>80</v>
      </c>
      <c r="L525" s="387"/>
      <c r="M525" s="138"/>
      <c r="N525" s="46">
        <f t="shared" si="2"/>
        <v>80</v>
      </c>
      <c r="O525" s="369" t="b">
        <v>1</v>
      </c>
      <c r="P525" s="369" t="b">
        <v>1</v>
      </c>
      <c r="Q525" s="387">
        <v>80.0</v>
      </c>
      <c r="R525" s="138" t="s">
        <v>687</v>
      </c>
      <c r="S525" s="65">
        <f t="shared" si="14"/>
        <v>0</v>
      </c>
      <c r="T525" s="369" t="b">
        <v>1</v>
      </c>
      <c r="U525" s="388"/>
      <c r="V525" s="391" t="b">
        <v>0</v>
      </c>
      <c r="W525" s="391" t="b">
        <v>0</v>
      </c>
      <c r="X525" s="391" t="b">
        <v>0</v>
      </c>
    </row>
    <row r="526" ht="24.0" customHeight="1">
      <c r="A526" s="76" t="s">
        <v>903</v>
      </c>
      <c r="B526" s="383">
        <v>46200.78484386574</v>
      </c>
      <c r="C526" s="384" t="s">
        <v>1362</v>
      </c>
      <c r="D526" s="116" t="s">
        <v>93</v>
      </c>
      <c r="E526" s="116" t="s">
        <v>583</v>
      </c>
      <c r="F526" s="388"/>
      <c r="G526" s="457" t="s">
        <v>168</v>
      </c>
      <c r="H526" s="385">
        <v>1.0</v>
      </c>
      <c r="I526" s="386">
        <f>IF(G526="", "", IFERROR(VLOOKUP(G526, Products!A:F, 4, FALSE), ""))
</f>
        <v>80</v>
      </c>
      <c r="J526" s="405">
        <v>0.0</v>
      </c>
      <c r="K526" s="54">
        <f t="shared" si="16"/>
        <v>80</v>
      </c>
      <c r="L526" s="387"/>
      <c r="M526" s="138"/>
      <c r="N526" s="46">
        <f t="shared" si="2"/>
        <v>80</v>
      </c>
      <c r="O526" s="369" t="b">
        <v>1</v>
      </c>
      <c r="P526" s="369" t="b">
        <v>1</v>
      </c>
      <c r="Q526" s="387">
        <v>80.0</v>
      </c>
      <c r="R526" s="138" t="s">
        <v>687</v>
      </c>
      <c r="S526" s="65">
        <f t="shared" si="14"/>
        <v>0</v>
      </c>
      <c r="T526" s="369" t="b">
        <v>1</v>
      </c>
      <c r="U526" s="388"/>
      <c r="V526" s="391" t="b">
        <v>0</v>
      </c>
      <c r="W526" s="391" t="b">
        <v>0</v>
      </c>
      <c r="X526" s="391" t="b">
        <v>0</v>
      </c>
    </row>
    <row r="527" ht="24.0" customHeight="1">
      <c r="A527" s="76" t="s">
        <v>903</v>
      </c>
      <c r="B527" s="383">
        <v>46200.78484386574</v>
      </c>
      <c r="C527" s="384" t="s">
        <v>1362</v>
      </c>
      <c r="D527" s="116" t="s">
        <v>93</v>
      </c>
      <c r="E527" s="116" t="s">
        <v>583</v>
      </c>
      <c r="F527" s="388"/>
      <c r="G527" s="457" t="s">
        <v>185</v>
      </c>
      <c r="H527" s="385">
        <v>1.0</v>
      </c>
      <c r="I527" s="386">
        <f>IF(G527="", "", IFERROR(VLOOKUP(G527, Products!A:F, 4, FALSE), ""))
</f>
        <v>80</v>
      </c>
      <c r="J527" s="405">
        <v>0.0</v>
      </c>
      <c r="K527" s="54">
        <f t="shared" si="16"/>
        <v>80</v>
      </c>
      <c r="L527" s="387"/>
      <c r="M527" s="138"/>
      <c r="N527" s="46">
        <f t="shared" si="2"/>
        <v>80</v>
      </c>
      <c r="O527" s="369" t="b">
        <v>1</v>
      </c>
      <c r="P527" s="369" t="b">
        <v>1</v>
      </c>
      <c r="Q527" s="387">
        <v>80.0</v>
      </c>
      <c r="R527" s="138" t="s">
        <v>687</v>
      </c>
      <c r="S527" s="65">
        <f t="shared" si="14"/>
        <v>0</v>
      </c>
      <c r="T527" s="369" t="b">
        <v>1</v>
      </c>
      <c r="U527" s="388"/>
      <c r="V527" s="391" t="b">
        <v>0</v>
      </c>
      <c r="W527" s="391" t="b">
        <v>0</v>
      </c>
      <c r="X527" s="391" t="b">
        <v>0</v>
      </c>
    </row>
    <row r="528" ht="24.0" customHeight="1">
      <c r="A528" s="76" t="s">
        <v>908</v>
      </c>
      <c r="B528" s="383">
        <v>46200.8561884838</v>
      </c>
      <c r="C528" s="384" t="s">
        <v>1363</v>
      </c>
      <c r="D528" s="116" t="s">
        <v>53</v>
      </c>
      <c r="E528" s="116" t="s">
        <v>604</v>
      </c>
      <c r="F528" s="388"/>
      <c r="G528" s="457" t="s">
        <v>187</v>
      </c>
      <c r="H528" s="385">
        <v>2.0</v>
      </c>
      <c r="I528" s="386">
        <f>IF(G528="", "", IFERROR(VLOOKUP(G528, Products!A:F, 4, FALSE), ""))
</f>
        <v>400</v>
      </c>
      <c r="J528" s="405">
        <v>100.0</v>
      </c>
      <c r="K528" s="54">
        <f t="shared" si="16"/>
        <v>700</v>
      </c>
      <c r="L528" s="387">
        <v>400.0</v>
      </c>
      <c r="M528" s="138" t="s">
        <v>73</v>
      </c>
      <c r="N528" s="46">
        <f t="shared" si="2"/>
        <v>300</v>
      </c>
      <c r="O528" s="369" t="b">
        <v>1</v>
      </c>
      <c r="P528" s="369" t="b">
        <v>1</v>
      </c>
      <c r="Q528" s="387"/>
      <c r="R528" s="138" t="s">
        <v>687</v>
      </c>
      <c r="S528" s="65">
        <f t="shared" si="14"/>
        <v>300</v>
      </c>
      <c r="T528" s="369" t="b">
        <v>1</v>
      </c>
      <c r="U528" s="388"/>
      <c r="V528" s="391" t="b">
        <v>0</v>
      </c>
      <c r="W528" s="391" t="b">
        <v>0</v>
      </c>
      <c r="X528" s="391" t="b">
        <v>0</v>
      </c>
    </row>
    <row r="529" ht="24.0" customHeight="1">
      <c r="A529" s="76" t="s">
        <v>915</v>
      </c>
      <c r="B529" s="383">
        <v>46200.85823028935</v>
      </c>
      <c r="C529" s="384" t="s">
        <v>1364</v>
      </c>
      <c r="D529" s="385"/>
      <c r="E529" s="458"/>
      <c r="F529" s="388"/>
      <c r="G529" s="457" t="s">
        <v>63</v>
      </c>
      <c r="H529" s="385">
        <v>1.0</v>
      </c>
      <c r="I529" s="386">
        <f>IF(G529="", "", IFERROR(VLOOKUP(G529, Products!A:F, 4, FALSE), ""))
</f>
        <v>850</v>
      </c>
      <c r="J529" s="405">
        <v>0.0</v>
      </c>
      <c r="K529" s="54">
        <f t="shared" si="16"/>
        <v>850</v>
      </c>
      <c r="L529" s="387">
        <v>400.0</v>
      </c>
      <c r="M529" s="138" t="s">
        <v>73</v>
      </c>
      <c r="N529" s="46">
        <f t="shared" si="2"/>
        <v>450</v>
      </c>
      <c r="O529" s="369" t="b">
        <v>1</v>
      </c>
      <c r="P529" s="369" t="b">
        <v>1</v>
      </c>
      <c r="Q529" s="387"/>
      <c r="R529" s="138" t="s">
        <v>687</v>
      </c>
      <c r="S529" s="65">
        <f t="shared" si="14"/>
        <v>450</v>
      </c>
      <c r="T529" s="369" t="b">
        <v>1</v>
      </c>
      <c r="U529" s="388"/>
      <c r="V529" s="391" t="b">
        <v>0</v>
      </c>
      <c r="W529" s="391" t="b">
        <v>0</v>
      </c>
      <c r="X529" s="391" t="b">
        <v>0</v>
      </c>
    </row>
    <row r="530" ht="24.0" customHeight="1">
      <c r="A530" s="76" t="s">
        <v>920</v>
      </c>
      <c r="B530" s="383">
        <v>46202.66667584491</v>
      </c>
      <c r="C530" s="384" t="s">
        <v>1365</v>
      </c>
      <c r="D530" s="116" t="s">
        <v>53</v>
      </c>
      <c r="E530" s="116" t="s">
        <v>586</v>
      </c>
      <c r="F530" s="388"/>
      <c r="G530" s="457" t="s">
        <v>187</v>
      </c>
      <c r="H530" s="385">
        <v>1.0</v>
      </c>
      <c r="I530" s="386">
        <f>IF(G530="", "", IFERROR(VLOOKUP(G530, Products!A:F, 4, FALSE), ""))
</f>
        <v>400</v>
      </c>
      <c r="J530" s="405">
        <v>0.0</v>
      </c>
      <c r="K530" s="54">
        <f t="shared" si="16"/>
        <v>400</v>
      </c>
      <c r="L530" s="387">
        <v>300.0</v>
      </c>
      <c r="M530" s="138" t="s">
        <v>110</v>
      </c>
      <c r="N530" s="46">
        <f t="shared" si="2"/>
        <v>100</v>
      </c>
      <c r="O530" s="369" t="b">
        <v>1</v>
      </c>
      <c r="P530" s="369" t="b">
        <v>1</v>
      </c>
      <c r="Q530" s="387"/>
      <c r="R530" s="138" t="s">
        <v>687</v>
      </c>
      <c r="S530" s="65">
        <f t="shared" si="14"/>
        <v>100</v>
      </c>
      <c r="T530" s="369" t="b">
        <v>1</v>
      </c>
      <c r="U530" s="388"/>
      <c r="V530" s="391" t="b">
        <v>0</v>
      </c>
      <c r="W530" s="391" t="b">
        <v>0</v>
      </c>
      <c r="X530" s="391" t="b">
        <v>0</v>
      </c>
    </row>
    <row r="531" ht="24.0" customHeight="1">
      <c r="A531" s="76" t="s">
        <v>920</v>
      </c>
      <c r="B531" s="383">
        <v>46202.66667584491</v>
      </c>
      <c r="C531" s="384" t="s">
        <v>1365</v>
      </c>
      <c r="D531" s="116" t="s">
        <v>53</v>
      </c>
      <c r="E531" s="116" t="s">
        <v>586</v>
      </c>
      <c r="F531" s="388"/>
      <c r="G531" s="457" t="s">
        <v>207</v>
      </c>
      <c r="H531" s="385">
        <v>1.0</v>
      </c>
      <c r="I531" s="386">
        <f>IF(G531="", "", IFERROR(VLOOKUP(G531, Products!A:F, 4, FALSE), ""))
</f>
        <v>80</v>
      </c>
      <c r="J531" s="405">
        <v>0.0</v>
      </c>
      <c r="K531" s="54">
        <f t="shared" si="16"/>
        <v>80</v>
      </c>
      <c r="L531" s="387"/>
      <c r="M531" s="138"/>
      <c r="N531" s="46">
        <f t="shared" si="2"/>
        <v>80</v>
      </c>
      <c r="O531" s="369" t="b">
        <v>1</v>
      </c>
      <c r="P531" s="369" t="b">
        <v>1</v>
      </c>
      <c r="Q531" s="387"/>
      <c r="R531" s="138" t="s">
        <v>687</v>
      </c>
      <c r="S531" s="65">
        <f t="shared" si="14"/>
        <v>80</v>
      </c>
      <c r="T531" s="369" t="b">
        <v>1</v>
      </c>
      <c r="U531" s="388"/>
      <c r="V531" s="391" t="b">
        <v>0</v>
      </c>
      <c r="W531" s="391" t="b">
        <v>0</v>
      </c>
      <c r="X531" s="391" t="b">
        <v>0</v>
      </c>
    </row>
    <row r="532" ht="24.0" customHeight="1">
      <c r="A532" s="457" t="s">
        <v>923</v>
      </c>
      <c r="B532" s="383">
        <v>46202.66901770834</v>
      </c>
      <c r="C532" s="384" t="s">
        <v>1366</v>
      </c>
      <c r="D532" s="116" t="s">
        <v>243</v>
      </c>
      <c r="E532" s="399"/>
      <c r="F532" s="388"/>
      <c r="G532" s="457" t="s">
        <v>201</v>
      </c>
      <c r="H532" s="385">
        <v>6.0</v>
      </c>
      <c r="I532" s="386">
        <f>IF(G532="", "", IFERROR(VLOOKUP(G532, Products!A:F, 4, FALSE), ""))
</f>
        <v>80</v>
      </c>
      <c r="J532" s="405">
        <v>0.0</v>
      </c>
      <c r="K532" s="54">
        <f t="shared" si="16"/>
        <v>480</v>
      </c>
      <c r="L532" s="387">
        <v>400.0</v>
      </c>
      <c r="M532" s="138" t="s">
        <v>73</v>
      </c>
      <c r="N532" s="46">
        <f t="shared" si="2"/>
        <v>80</v>
      </c>
      <c r="O532" s="369" t="b">
        <v>1</v>
      </c>
      <c r="P532" s="369" t="b">
        <v>1</v>
      </c>
      <c r="Q532" s="387"/>
      <c r="R532" s="138" t="s">
        <v>687</v>
      </c>
      <c r="S532" s="65">
        <f t="shared" si="14"/>
        <v>80</v>
      </c>
      <c r="T532" s="369" t="b">
        <v>1</v>
      </c>
      <c r="U532" s="388"/>
      <c r="V532" s="391" t="b">
        <v>0</v>
      </c>
      <c r="W532" s="391" t="b">
        <v>0</v>
      </c>
      <c r="X532" s="391" t="b">
        <v>0</v>
      </c>
    </row>
    <row r="533" ht="24.0" customHeight="1">
      <c r="A533" s="457" t="s">
        <v>923</v>
      </c>
      <c r="B533" s="383">
        <v>46202.67006203704</v>
      </c>
      <c r="C533" s="384" t="s">
        <v>1366</v>
      </c>
      <c r="D533" s="116" t="s">
        <v>243</v>
      </c>
      <c r="E533" s="399"/>
      <c r="F533" s="388"/>
      <c r="G533" s="76" t="s">
        <v>222</v>
      </c>
      <c r="H533" s="385">
        <v>6.0</v>
      </c>
      <c r="I533" s="386">
        <f>IF(G533="", "", IFERROR(VLOOKUP(G533, Products!A:F, 4, FALSE), ""))
</f>
        <v>80</v>
      </c>
      <c r="J533" s="405">
        <v>0.0</v>
      </c>
      <c r="K533" s="54">
        <f t="shared" si="16"/>
        <v>480</v>
      </c>
      <c r="L533" s="387">
        <v>400.0</v>
      </c>
      <c r="M533" s="138" t="s">
        <v>73</v>
      </c>
      <c r="N533" s="46">
        <f t="shared" si="2"/>
        <v>80</v>
      </c>
      <c r="O533" s="369" t="b">
        <v>1</v>
      </c>
      <c r="P533" s="369" t="b">
        <v>1</v>
      </c>
      <c r="Q533" s="387"/>
      <c r="R533" s="138" t="s">
        <v>687</v>
      </c>
      <c r="S533" s="65">
        <f t="shared" si="14"/>
        <v>80</v>
      </c>
      <c r="T533" s="369" t="b">
        <v>1</v>
      </c>
      <c r="U533" s="388"/>
      <c r="V533" s="391" t="b">
        <v>0</v>
      </c>
      <c r="W533" s="391" t="b">
        <v>0</v>
      </c>
      <c r="X533" s="391" t="b">
        <v>0</v>
      </c>
    </row>
    <row r="534" ht="24.0" customHeight="1">
      <c r="A534" s="457" t="s">
        <v>923</v>
      </c>
      <c r="B534" s="383">
        <v>46202.670145</v>
      </c>
      <c r="C534" s="384" t="s">
        <v>1366</v>
      </c>
      <c r="D534" s="116" t="s">
        <v>243</v>
      </c>
      <c r="E534" s="399"/>
      <c r="F534" s="388"/>
      <c r="G534" s="457" t="s">
        <v>205</v>
      </c>
      <c r="H534" s="385">
        <v>6.0</v>
      </c>
      <c r="I534" s="386">
        <f>IF(G534="", "", IFERROR(VLOOKUP(G534, Products!A:F, 4, FALSE), ""))
</f>
        <v>100</v>
      </c>
      <c r="J534" s="405">
        <v>0.0</v>
      </c>
      <c r="K534" s="54">
        <f t="shared" si="16"/>
        <v>600</v>
      </c>
      <c r="L534" s="387">
        <v>200.0</v>
      </c>
      <c r="M534" s="138" t="s">
        <v>73</v>
      </c>
      <c r="N534" s="46">
        <f t="shared" si="2"/>
        <v>400</v>
      </c>
      <c r="O534" s="369" t="b">
        <v>1</v>
      </c>
      <c r="P534" s="369" t="b">
        <v>1</v>
      </c>
      <c r="Q534" s="387"/>
      <c r="R534" s="138" t="s">
        <v>687</v>
      </c>
      <c r="S534" s="65">
        <f t="shared" si="14"/>
        <v>400</v>
      </c>
      <c r="T534" s="369" t="b">
        <v>1</v>
      </c>
      <c r="U534" s="388"/>
      <c r="V534" s="391" t="b">
        <v>0</v>
      </c>
      <c r="W534" s="391" t="b">
        <v>0</v>
      </c>
      <c r="X534" s="391" t="b">
        <v>0</v>
      </c>
    </row>
    <row r="535" ht="24.0" customHeight="1">
      <c r="A535" s="457" t="s">
        <v>923</v>
      </c>
      <c r="B535" s="383">
        <v>46202.67021635416</v>
      </c>
      <c r="C535" s="384" t="s">
        <v>1366</v>
      </c>
      <c r="D535" s="116" t="s">
        <v>243</v>
      </c>
      <c r="E535" s="399"/>
      <c r="F535" s="388"/>
      <c r="G535" s="457" t="s">
        <v>207</v>
      </c>
      <c r="H535" s="385">
        <v>6.0</v>
      </c>
      <c r="I535" s="386">
        <f>IF(G535="", "", IFERROR(VLOOKUP(G535, Products!A:F, 4, FALSE), ""))
</f>
        <v>80</v>
      </c>
      <c r="J535" s="405">
        <v>0.0</v>
      </c>
      <c r="K535" s="54">
        <f t="shared" si="16"/>
        <v>480</v>
      </c>
      <c r="L535" s="387">
        <v>20.0</v>
      </c>
      <c r="M535" s="138" t="s">
        <v>73</v>
      </c>
      <c r="N535" s="46">
        <f t="shared" si="2"/>
        <v>460</v>
      </c>
      <c r="O535" s="369" t="b">
        <v>1</v>
      </c>
      <c r="P535" s="369" t="b">
        <v>1</v>
      </c>
      <c r="Q535" s="387"/>
      <c r="R535" s="138" t="s">
        <v>687</v>
      </c>
      <c r="S535" s="65">
        <f t="shared" si="14"/>
        <v>460</v>
      </c>
      <c r="T535" s="369" t="b">
        <v>1</v>
      </c>
      <c r="U535" s="388"/>
      <c r="V535" s="391" t="b">
        <v>0</v>
      </c>
      <c r="W535" s="391" t="b">
        <v>0</v>
      </c>
      <c r="X535" s="391" t="b">
        <v>0</v>
      </c>
    </row>
    <row r="536" ht="24.0" customHeight="1">
      <c r="A536" s="76" t="s">
        <v>926</v>
      </c>
      <c r="B536" s="383">
        <v>46202.671005393524</v>
      </c>
      <c r="C536" s="384" t="s">
        <v>1367</v>
      </c>
      <c r="D536" s="116" t="s">
        <v>243</v>
      </c>
      <c r="E536" s="399"/>
      <c r="F536" s="388"/>
      <c r="G536" s="457" t="s">
        <v>190</v>
      </c>
      <c r="H536" s="385">
        <v>1.0</v>
      </c>
      <c r="I536" s="386">
        <f>IF(G536="", "", IFERROR(VLOOKUP(G536, Products!A:F, 4, FALSE), ""))
</f>
        <v>200</v>
      </c>
      <c r="J536" s="405">
        <v>0.0</v>
      </c>
      <c r="K536" s="54">
        <f t="shared" si="16"/>
        <v>200</v>
      </c>
      <c r="L536" s="387"/>
      <c r="M536" s="138"/>
      <c r="N536" s="46">
        <f t="shared" si="2"/>
        <v>200</v>
      </c>
      <c r="O536" s="369" t="b">
        <v>1</v>
      </c>
      <c r="P536" s="369" t="b">
        <v>1</v>
      </c>
      <c r="Q536" s="387"/>
      <c r="R536" s="138" t="s">
        <v>687</v>
      </c>
      <c r="S536" s="65">
        <f t="shared" si="14"/>
        <v>200</v>
      </c>
      <c r="T536" s="369" t="b">
        <v>1</v>
      </c>
      <c r="U536" s="388"/>
      <c r="V536" s="391" t="b">
        <v>0</v>
      </c>
      <c r="W536" s="391" t="b">
        <v>0</v>
      </c>
      <c r="X536" s="391" t="b">
        <v>0</v>
      </c>
    </row>
    <row r="537" ht="24.0" customHeight="1">
      <c r="A537" s="76" t="s">
        <v>926</v>
      </c>
      <c r="B537" s="383">
        <v>46202.671005393524</v>
      </c>
      <c r="C537" s="384" t="s">
        <v>1367</v>
      </c>
      <c r="D537" s="116" t="s">
        <v>243</v>
      </c>
      <c r="E537" s="399"/>
      <c r="F537" s="388"/>
      <c r="G537" s="457" t="s">
        <v>187</v>
      </c>
      <c r="H537" s="385">
        <v>1.0</v>
      </c>
      <c r="I537" s="386">
        <f>IF(G537="", "", IFERROR(VLOOKUP(G537, Products!A:F, 4, FALSE), ""))
</f>
        <v>400</v>
      </c>
      <c r="J537" s="405"/>
      <c r="K537" s="54">
        <f t="shared" si="16"/>
        <v>400</v>
      </c>
      <c r="L537" s="387">
        <v>300.0</v>
      </c>
      <c r="M537" s="138" t="s">
        <v>73</v>
      </c>
      <c r="N537" s="46">
        <f t="shared" si="2"/>
        <v>100</v>
      </c>
      <c r="O537" s="369" t="b">
        <v>1</v>
      </c>
      <c r="P537" s="369" t="b">
        <v>1</v>
      </c>
      <c r="Q537" s="387"/>
      <c r="R537" s="138" t="s">
        <v>687</v>
      </c>
      <c r="S537" s="65">
        <f t="shared" si="14"/>
        <v>100</v>
      </c>
      <c r="T537" s="369" t="b">
        <v>1</v>
      </c>
      <c r="U537" s="388"/>
      <c r="V537" s="391" t="b">
        <v>0</v>
      </c>
      <c r="W537" s="391" t="b">
        <v>0</v>
      </c>
      <c r="X537" s="391" t="b">
        <v>0</v>
      </c>
    </row>
    <row r="538" ht="24.0" customHeight="1">
      <c r="A538" s="76" t="s">
        <v>928</v>
      </c>
      <c r="B538" s="383">
        <v>46202.6723212963</v>
      </c>
      <c r="C538" s="384" t="s">
        <v>929</v>
      </c>
      <c r="D538" s="116" t="s">
        <v>134</v>
      </c>
      <c r="E538" s="399"/>
      <c r="F538" s="388"/>
      <c r="G538" s="457" t="s">
        <v>122</v>
      </c>
      <c r="H538" s="385">
        <v>2.0</v>
      </c>
      <c r="I538" s="386">
        <f>IF(G538="", "", IFERROR(VLOOKUP(G538, Products!A:F, 4, FALSE), ""))
</f>
        <v>80</v>
      </c>
      <c r="J538" s="405">
        <v>0.0</v>
      </c>
      <c r="K538" s="54">
        <f t="shared" si="16"/>
        <v>160</v>
      </c>
      <c r="L538" s="387">
        <v>100.0</v>
      </c>
      <c r="M538" s="138" t="s">
        <v>73</v>
      </c>
      <c r="N538" s="46">
        <f t="shared" si="2"/>
        <v>60</v>
      </c>
      <c r="O538" s="369" t="b">
        <v>1</v>
      </c>
      <c r="P538" s="369" t="b">
        <v>1</v>
      </c>
      <c r="Q538" s="387"/>
      <c r="R538" s="138" t="s">
        <v>687</v>
      </c>
      <c r="S538" s="65">
        <f t="shared" si="14"/>
        <v>60</v>
      </c>
      <c r="T538" s="369" t="b">
        <v>1</v>
      </c>
      <c r="U538" s="388"/>
      <c r="V538" s="391" t="b">
        <v>0</v>
      </c>
      <c r="W538" s="391" t="b">
        <v>0</v>
      </c>
      <c r="X538" s="391" t="b">
        <v>0</v>
      </c>
    </row>
    <row r="539" ht="24.0" customHeight="1">
      <c r="A539" s="76" t="s">
        <v>928</v>
      </c>
      <c r="B539" s="383">
        <v>46202.6723212963</v>
      </c>
      <c r="C539" s="384" t="s">
        <v>929</v>
      </c>
      <c r="D539" s="116" t="s">
        <v>134</v>
      </c>
      <c r="E539" s="399"/>
      <c r="F539" s="388"/>
      <c r="G539" s="457" t="s">
        <v>207</v>
      </c>
      <c r="H539" s="385">
        <v>2.0</v>
      </c>
      <c r="I539" s="386">
        <f>IF(G539="", "", IFERROR(VLOOKUP(G539, Products!A:F, 4, FALSE), ""))
</f>
        <v>80</v>
      </c>
      <c r="J539" s="405"/>
      <c r="K539" s="54">
        <f t="shared" si="16"/>
        <v>160</v>
      </c>
      <c r="L539" s="387">
        <v>100.0</v>
      </c>
      <c r="M539" s="138" t="s">
        <v>73</v>
      </c>
      <c r="N539" s="46">
        <f t="shared" si="2"/>
        <v>60</v>
      </c>
      <c r="O539" s="369" t="b">
        <v>1</v>
      </c>
      <c r="P539" s="369" t="b">
        <v>1</v>
      </c>
      <c r="Q539" s="387"/>
      <c r="R539" s="138" t="s">
        <v>687</v>
      </c>
      <c r="S539" s="65">
        <f t="shared" si="14"/>
        <v>60</v>
      </c>
      <c r="T539" s="369" t="b">
        <v>1</v>
      </c>
      <c r="U539" s="388"/>
      <c r="V539" s="391" t="b">
        <v>0</v>
      </c>
      <c r="W539" s="391" t="b">
        <v>0</v>
      </c>
      <c r="X539" s="391" t="b">
        <v>0</v>
      </c>
    </row>
    <row r="540" ht="24.0" customHeight="1">
      <c r="A540" s="76" t="s">
        <v>932</v>
      </c>
      <c r="B540" s="383">
        <v>46202.673271064814</v>
      </c>
      <c r="C540" s="384" t="s">
        <v>1368</v>
      </c>
      <c r="D540" s="116" t="s">
        <v>441</v>
      </c>
      <c r="E540" s="116" t="s">
        <v>442</v>
      </c>
      <c r="F540" s="388"/>
      <c r="G540" s="76" t="s">
        <v>222</v>
      </c>
      <c r="H540" s="385">
        <v>4.0</v>
      </c>
      <c r="I540" s="386">
        <f>IF(G540="", "", IFERROR(VLOOKUP(G540, Products!A:F, 4, FALSE), ""))
</f>
        <v>80</v>
      </c>
      <c r="J540" s="405">
        <v>0.0</v>
      </c>
      <c r="K540" s="54">
        <f t="shared" si="16"/>
        <v>320</v>
      </c>
      <c r="L540" s="387">
        <v>320.0</v>
      </c>
      <c r="M540" s="138" t="s">
        <v>73</v>
      </c>
      <c r="N540" s="46">
        <f t="shared" si="2"/>
        <v>0</v>
      </c>
      <c r="O540" s="369" t="b">
        <v>1</v>
      </c>
      <c r="P540" s="369" t="b">
        <v>1</v>
      </c>
      <c r="Q540" s="387"/>
      <c r="R540" s="138" t="s">
        <v>687</v>
      </c>
      <c r="S540" s="65">
        <f t="shared" si="14"/>
        <v>0</v>
      </c>
      <c r="T540" s="369" t="b">
        <v>1</v>
      </c>
      <c r="U540" s="388"/>
      <c r="V540" s="391" t="b">
        <v>0</v>
      </c>
      <c r="W540" s="391" t="b">
        <v>0</v>
      </c>
      <c r="X540" s="391" t="b">
        <v>0</v>
      </c>
    </row>
    <row r="541" ht="24.0" customHeight="1">
      <c r="A541" s="76" t="s">
        <v>932</v>
      </c>
      <c r="B541" s="383">
        <v>46202.673271064814</v>
      </c>
      <c r="C541" s="384" t="s">
        <v>1368</v>
      </c>
      <c r="D541" s="116" t="s">
        <v>441</v>
      </c>
      <c r="E541" s="116" t="s">
        <v>442</v>
      </c>
      <c r="F541" s="388"/>
      <c r="G541" s="457" t="s">
        <v>214</v>
      </c>
      <c r="H541" s="385">
        <v>2.0</v>
      </c>
      <c r="I541" s="386">
        <f>IF(G541="", "", IFERROR(VLOOKUP(G541, Products!A:F, 4, FALSE), ""))
</f>
        <v>120</v>
      </c>
      <c r="J541" s="405">
        <v>0.0</v>
      </c>
      <c r="K541" s="54">
        <f t="shared" si="16"/>
        <v>240</v>
      </c>
      <c r="L541" s="387">
        <v>240.0</v>
      </c>
      <c r="M541" s="138" t="s">
        <v>73</v>
      </c>
      <c r="N541" s="46">
        <f t="shared" si="2"/>
        <v>0</v>
      </c>
      <c r="O541" s="369" t="b">
        <v>1</v>
      </c>
      <c r="P541" s="369" t="b">
        <v>1</v>
      </c>
      <c r="Q541" s="387"/>
      <c r="R541" s="138" t="s">
        <v>687</v>
      </c>
      <c r="S541" s="65">
        <f t="shared" si="14"/>
        <v>0</v>
      </c>
      <c r="T541" s="369" t="b">
        <v>1</v>
      </c>
      <c r="U541" s="388"/>
      <c r="V541" s="391" t="b">
        <v>0</v>
      </c>
      <c r="W541" s="391" t="b">
        <v>0</v>
      </c>
      <c r="X541" s="391" t="b">
        <v>0</v>
      </c>
    </row>
    <row r="542" ht="24.0" customHeight="1">
      <c r="A542" s="76" t="s">
        <v>932</v>
      </c>
      <c r="B542" s="383">
        <v>46202.673271064814</v>
      </c>
      <c r="C542" s="384" t="s">
        <v>1369</v>
      </c>
      <c r="D542" s="116" t="s">
        <v>441</v>
      </c>
      <c r="E542" s="116" t="s">
        <v>442</v>
      </c>
      <c r="F542" s="388"/>
      <c r="G542" s="457" t="s">
        <v>187</v>
      </c>
      <c r="H542" s="385">
        <v>2.0</v>
      </c>
      <c r="I542" s="386">
        <f>IF(G542="", "", IFERROR(VLOOKUP(G542, Products!A:F, 4, FALSE), ""))
</f>
        <v>400</v>
      </c>
      <c r="J542" s="405">
        <v>100.0</v>
      </c>
      <c r="K542" s="54">
        <f t="shared" si="16"/>
        <v>700</v>
      </c>
      <c r="L542" s="387">
        <v>700.0</v>
      </c>
      <c r="M542" s="138" t="s">
        <v>110</v>
      </c>
      <c r="N542" s="46">
        <f t="shared" si="2"/>
        <v>0</v>
      </c>
      <c r="O542" s="369" t="b">
        <v>1</v>
      </c>
      <c r="P542" s="369" t="b">
        <v>1</v>
      </c>
      <c r="Q542" s="387"/>
      <c r="R542" s="138" t="s">
        <v>687</v>
      </c>
      <c r="S542" s="65">
        <f t="shared" si="14"/>
        <v>0</v>
      </c>
      <c r="T542" s="369" t="b">
        <v>1</v>
      </c>
      <c r="U542" s="388"/>
      <c r="V542" s="391" t="b">
        <v>0</v>
      </c>
      <c r="W542" s="391" t="b">
        <v>0</v>
      </c>
      <c r="X542" s="391" t="b">
        <v>0</v>
      </c>
    </row>
    <row r="543" ht="24.0" customHeight="1">
      <c r="A543" s="76" t="s">
        <v>936</v>
      </c>
      <c r="B543" s="383">
        <v>46202.6759290162</v>
      </c>
      <c r="C543" s="384" t="s">
        <v>1370</v>
      </c>
      <c r="D543" s="116" t="s">
        <v>93</v>
      </c>
      <c r="E543" s="116" t="s">
        <v>621</v>
      </c>
      <c r="F543" s="388"/>
      <c r="G543" s="457" t="s">
        <v>205</v>
      </c>
      <c r="H543" s="385">
        <v>2.0</v>
      </c>
      <c r="I543" s="386">
        <f>IF(G543="", "", IFERROR(VLOOKUP(G543, Products!A:F, 4, FALSE), ""))
</f>
        <v>100</v>
      </c>
      <c r="J543" s="405"/>
      <c r="K543" s="54">
        <f t="shared" si="16"/>
        <v>200</v>
      </c>
      <c r="L543" s="387">
        <v>200.0</v>
      </c>
      <c r="M543" s="138" t="s">
        <v>271</v>
      </c>
      <c r="N543" s="46">
        <f t="shared" si="2"/>
        <v>0</v>
      </c>
      <c r="O543" s="369" t="b">
        <v>1</v>
      </c>
      <c r="P543" s="369" t="b">
        <v>1</v>
      </c>
      <c r="Q543" s="387"/>
      <c r="R543" s="138" t="s">
        <v>687</v>
      </c>
      <c r="S543" s="65">
        <f t="shared" si="14"/>
        <v>0</v>
      </c>
      <c r="T543" s="369" t="b">
        <v>1</v>
      </c>
      <c r="U543" s="388"/>
      <c r="V543" s="391" t="b">
        <v>0</v>
      </c>
      <c r="W543" s="391" t="b">
        <v>0</v>
      </c>
      <c r="X543" s="391" t="b">
        <v>0</v>
      </c>
    </row>
    <row r="544" ht="24.0" customHeight="1">
      <c r="A544" s="76" t="s">
        <v>936</v>
      </c>
      <c r="B544" s="383">
        <v>46202.6759290162</v>
      </c>
      <c r="C544" s="384" t="s">
        <v>1370</v>
      </c>
      <c r="D544" s="116" t="s">
        <v>93</v>
      </c>
      <c r="E544" s="116" t="s">
        <v>621</v>
      </c>
      <c r="F544" s="388"/>
      <c r="G544" s="457" t="s">
        <v>207</v>
      </c>
      <c r="H544" s="385">
        <v>3.0</v>
      </c>
      <c r="I544" s="386">
        <f>IF(G544="", "", IFERROR(VLOOKUP(G544, Products!A:F, 4, FALSE), ""))
</f>
        <v>80</v>
      </c>
      <c r="J544" s="405">
        <v>0.0</v>
      </c>
      <c r="K544" s="54">
        <f t="shared" si="16"/>
        <v>240</v>
      </c>
      <c r="L544" s="387">
        <v>20.0</v>
      </c>
      <c r="M544" s="138" t="s">
        <v>271</v>
      </c>
      <c r="N544" s="46">
        <f t="shared" si="2"/>
        <v>220</v>
      </c>
      <c r="O544" s="369" t="b">
        <v>1</v>
      </c>
      <c r="P544" s="369" t="b">
        <v>1</v>
      </c>
      <c r="Q544" s="387"/>
      <c r="R544" s="138" t="s">
        <v>687</v>
      </c>
      <c r="S544" s="65">
        <f t="shared" si="14"/>
        <v>220</v>
      </c>
      <c r="T544" s="369" t="b">
        <v>1</v>
      </c>
      <c r="U544" s="388"/>
      <c r="V544" s="391" t="b">
        <v>0</v>
      </c>
      <c r="W544" s="391" t="b">
        <v>0</v>
      </c>
      <c r="X544" s="391" t="b">
        <v>0</v>
      </c>
    </row>
    <row r="545" ht="24.0" customHeight="1">
      <c r="A545" s="76" t="s">
        <v>938</v>
      </c>
      <c r="B545" s="383">
        <v>46202.68293415509</v>
      </c>
      <c r="C545" s="384" t="s">
        <v>1371</v>
      </c>
      <c r="D545" s="116" t="s">
        <v>93</v>
      </c>
      <c r="E545" s="116" t="s">
        <v>154</v>
      </c>
      <c r="F545" s="388"/>
      <c r="G545" s="457" t="s">
        <v>201</v>
      </c>
      <c r="H545" s="385">
        <v>1.0</v>
      </c>
      <c r="I545" s="386">
        <f>IF(G545="", "", IFERROR(VLOOKUP(G545, Products!A:F, 4, FALSE), ""))
</f>
        <v>80</v>
      </c>
      <c r="J545" s="405">
        <v>0.0</v>
      </c>
      <c r="K545" s="54">
        <f t="shared" si="16"/>
        <v>80</v>
      </c>
      <c r="L545" s="387"/>
      <c r="M545" s="138"/>
      <c r="N545" s="46">
        <f t="shared" si="2"/>
        <v>80</v>
      </c>
      <c r="O545" s="369" t="b">
        <v>1</v>
      </c>
      <c r="P545" s="369" t="b">
        <v>1</v>
      </c>
      <c r="Q545" s="387"/>
      <c r="R545" s="388"/>
      <c r="S545" s="65">
        <f t="shared" si="14"/>
        <v>80</v>
      </c>
      <c r="T545" s="369" t="b">
        <v>0</v>
      </c>
      <c r="U545" s="388"/>
      <c r="V545" s="391" t="b">
        <v>0</v>
      </c>
      <c r="W545" s="391" t="b">
        <v>0</v>
      </c>
      <c r="X545" s="391" t="b">
        <v>0</v>
      </c>
    </row>
    <row r="546" ht="24.0" customHeight="1">
      <c r="A546" s="76" t="s">
        <v>938</v>
      </c>
      <c r="B546" s="383">
        <v>46202.68293415509</v>
      </c>
      <c r="C546" s="384" t="s">
        <v>1371</v>
      </c>
      <c r="D546" s="116" t="s">
        <v>93</v>
      </c>
      <c r="E546" s="116" t="s">
        <v>154</v>
      </c>
      <c r="F546" s="388"/>
      <c r="G546" s="457" t="s">
        <v>210</v>
      </c>
      <c r="H546" s="385">
        <v>1.0</v>
      </c>
      <c r="I546" s="386">
        <f>IF(G546="", "", IFERROR(VLOOKUP(G546, Products!A:F, 4, FALSE), ""))
</f>
        <v>80</v>
      </c>
      <c r="J546" s="405"/>
      <c r="K546" s="54">
        <f t="shared" si="16"/>
        <v>80</v>
      </c>
      <c r="L546" s="387">
        <v>80.0</v>
      </c>
      <c r="M546" s="138" t="s">
        <v>73</v>
      </c>
      <c r="N546" s="46">
        <f t="shared" si="2"/>
        <v>0</v>
      </c>
      <c r="O546" s="369" t="b">
        <v>1</v>
      </c>
      <c r="P546" s="369" t="b">
        <v>1</v>
      </c>
      <c r="Q546" s="387"/>
      <c r="R546" s="388"/>
      <c r="S546" s="65">
        <f t="shared" si="14"/>
        <v>0</v>
      </c>
      <c r="T546" s="369" t="b">
        <v>0</v>
      </c>
      <c r="U546" s="388"/>
      <c r="V546" s="391" t="b">
        <v>0</v>
      </c>
      <c r="W546" s="391" t="b">
        <v>0</v>
      </c>
      <c r="X546" s="391" t="b">
        <v>0</v>
      </c>
    </row>
    <row r="547" ht="24.0" customHeight="1">
      <c r="A547" s="76" t="s">
        <v>938</v>
      </c>
      <c r="B547" s="383">
        <v>46202.68293415509</v>
      </c>
      <c r="C547" s="384" t="s">
        <v>1371</v>
      </c>
      <c r="D547" s="116" t="s">
        <v>93</v>
      </c>
      <c r="E547" s="116" t="s">
        <v>154</v>
      </c>
      <c r="F547" s="388"/>
      <c r="G547" s="457" t="s">
        <v>212</v>
      </c>
      <c r="H547" s="385">
        <v>1.0</v>
      </c>
      <c r="I547" s="386">
        <f>IF(G547="", "", IFERROR(VLOOKUP(G547, Products!A:F, 4, FALSE), ""))
</f>
        <v>80</v>
      </c>
      <c r="J547" s="405"/>
      <c r="K547" s="54">
        <f t="shared" si="16"/>
        <v>80</v>
      </c>
      <c r="L547" s="387">
        <v>80.0</v>
      </c>
      <c r="M547" s="138" t="s">
        <v>73</v>
      </c>
      <c r="N547" s="46">
        <f t="shared" si="2"/>
        <v>0</v>
      </c>
      <c r="O547" s="369" t="b">
        <v>1</v>
      </c>
      <c r="P547" s="369" t="b">
        <v>1</v>
      </c>
      <c r="Q547" s="387"/>
      <c r="R547" s="388"/>
      <c r="S547" s="65">
        <f t="shared" si="14"/>
        <v>0</v>
      </c>
      <c r="T547" s="369" t="b">
        <v>0</v>
      </c>
      <c r="U547" s="388"/>
      <c r="V547" s="391" t="b">
        <v>0</v>
      </c>
      <c r="W547" s="391" t="b">
        <v>0</v>
      </c>
      <c r="X547" s="391" t="b">
        <v>0</v>
      </c>
    </row>
    <row r="548" ht="24.0" customHeight="1">
      <c r="A548" s="76" t="s">
        <v>938</v>
      </c>
      <c r="B548" s="383">
        <v>46202.68293415509</v>
      </c>
      <c r="C548" s="384" t="s">
        <v>1371</v>
      </c>
      <c r="D548" s="116" t="s">
        <v>93</v>
      </c>
      <c r="E548" s="116" t="s">
        <v>154</v>
      </c>
      <c r="F548" s="388"/>
      <c r="G548" s="457" t="s">
        <v>122</v>
      </c>
      <c r="H548" s="385">
        <v>1.0</v>
      </c>
      <c r="I548" s="386">
        <f>IF(G548="", "", IFERROR(VLOOKUP(G548, Products!A:F, 4, FALSE), ""))
</f>
        <v>80</v>
      </c>
      <c r="J548" s="405"/>
      <c r="K548" s="54">
        <f t="shared" si="16"/>
        <v>80</v>
      </c>
      <c r="L548" s="387">
        <v>80.0</v>
      </c>
      <c r="M548" s="138" t="s">
        <v>73</v>
      </c>
      <c r="N548" s="46">
        <f t="shared" si="2"/>
        <v>0</v>
      </c>
      <c r="O548" s="369" t="b">
        <v>1</v>
      </c>
      <c r="P548" s="369" t="b">
        <v>1</v>
      </c>
      <c r="Q548" s="387"/>
      <c r="R548" s="388"/>
      <c r="S548" s="65">
        <f t="shared" si="14"/>
        <v>0</v>
      </c>
      <c r="T548" s="369" t="b">
        <v>0</v>
      </c>
      <c r="U548" s="388"/>
      <c r="V548" s="391" t="b">
        <v>0</v>
      </c>
      <c r="W548" s="391" t="b">
        <v>0</v>
      </c>
      <c r="X548" s="391" t="b">
        <v>0</v>
      </c>
    </row>
    <row r="549" ht="24.0" customHeight="1">
      <c r="A549" s="76" t="s">
        <v>938</v>
      </c>
      <c r="B549" s="383">
        <v>46202.68293415509</v>
      </c>
      <c r="C549" s="384" t="s">
        <v>1371</v>
      </c>
      <c r="D549" s="116" t="s">
        <v>93</v>
      </c>
      <c r="E549" s="116" t="s">
        <v>154</v>
      </c>
      <c r="F549" s="388"/>
      <c r="G549" s="457" t="s">
        <v>153</v>
      </c>
      <c r="H549" s="385">
        <v>1.0</v>
      </c>
      <c r="I549" s="386">
        <f>IF(G549="", "", IFERROR(VLOOKUP(G549, Products!A:F, 4, FALSE), ""))
</f>
        <v>80</v>
      </c>
      <c r="J549" s="405">
        <v>0.0</v>
      </c>
      <c r="K549" s="54">
        <f t="shared" si="16"/>
        <v>80</v>
      </c>
      <c r="L549" s="387">
        <v>60.0</v>
      </c>
      <c r="M549" s="138" t="s">
        <v>73</v>
      </c>
      <c r="N549" s="46">
        <f t="shared" si="2"/>
        <v>20</v>
      </c>
      <c r="O549" s="369" t="b">
        <v>0</v>
      </c>
      <c r="P549" s="369" t="b">
        <v>1</v>
      </c>
      <c r="Q549" s="387"/>
      <c r="R549" s="388"/>
      <c r="S549" s="65">
        <f t="shared" si="14"/>
        <v>20</v>
      </c>
      <c r="T549" s="369" t="b">
        <v>0</v>
      </c>
      <c r="U549" s="388"/>
      <c r="V549" s="391" t="b">
        <v>0</v>
      </c>
      <c r="W549" s="391" t="b">
        <v>0</v>
      </c>
      <c r="X549" s="391" t="b">
        <v>0</v>
      </c>
    </row>
    <row r="550" ht="24.0" customHeight="1">
      <c r="A550" s="76" t="s">
        <v>938</v>
      </c>
      <c r="B550" s="383">
        <v>46202.68293415509</v>
      </c>
      <c r="C550" s="384" t="s">
        <v>1371</v>
      </c>
      <c r="D550" s="116" t="s">
        <v>93</v>
      </c>
      <c r="E550" s="116" t="s">
        <v>154</v>
      </c>
      <c r="F550" s="388"/>
      <c r="G550" s="76" t="s">
        <v>222</v>
      </c>
      <c r="H550" s="385">
        <v>1.0</v>
      </c>
      <c r="I550" s="386">
        <f>IF(G550="", "", IFERROR(VLOOKUP(G550, Products!A:F, 4, FALSE), ""))
</f>
        <v>80</v>
      </c>
      <c r="J550" s="405"/>
      <c r="K550" s="54">
        <f t="shared" si="16"/>
        <v>80</v>
      </c>
      <c r="L550" s="387"/>
      <c r="M550" s="138"/>
      <c r="N550" s="46">
        <f t="shared" si="2"/>
        <v>80</v>
      </c>
      <c r="O550" s="369" t="b">
        <v>1</v>
      </c>
      <c r="P550" s="369" t="b">
        <v>1</v>
      </c>
      <c r="Q550" s="387"/>
      <c r="R550" s="388"/>
      <c r="S550" s="65">
        <f t="shared" si="14"/>
        <v>80</v>
      </c>
      <c r="T550" s="369" t="b">
        <v>0</v>
      </c>
      <c r="U550" s="388"/>
      <c r="V550" s="391" t="b">
        <v>0</v>
      </c>
      <c r="W550" s="391" t="b">
        <v>0</v>
      </c>
      <c r="X550" s="391" t="b">
        <v>0</v>
      </c>
    </row>
    <row r="551" ht="24.0" customHeight="1">
      <c r="A551" s="76" t="s">
        <v>941</v>
      </c>
      <c r="B551" s="383">
        <v>46202.68498710648</v>
      </c>
      <c r="C551" s="384" t="s">
        <v>1372</v>
      </c>
      <c r="D551" s="116" t="s">
        <v>93</v>
      </c>
      <c r="E551" s="116" t="s">
        <v>309</v>
      </c>
      <c r="F551" s="388"/>
      <c r="G551" s="457" t="s">
        <v>201</v>
      </c>
      <c r="H551" s="385">
        <v>2.0</v>
      </c>
      <c r="I551" s="386">
        <f>IF(G551="", "", IFERROR(VLOOKUP(G551, Products!A:F, 4, FALSE), ""))
</f>
        <v>80</v>
      </c>
      <c r="J551" s="405">
        <v>0.0</v>
      </c>
      <c r="K551" s="54">
        <f t="shared" si="16"/>
        <v>160</v>
      </c>
      <c r="L551" s="387">
        <v>160.0</v>
      </c>
      <c r="M551" s="138" t="s">
        <v>73</v>
      </c>
      <c r="N551" s="46">
        <f t="shared" si="2"/>
        <v>0</v>
      </c>
      <c r="O551" s="369" t="b">
        <v>1</v>
      </c>
      <c r="P551" s="369" t="b">
        <v>1</v>
      </c>
      <c r="Q551" s="387"/>
      <c r="R551" s="138" t="s">
        <v>687</v>
      </c>
      <c r="S551" s="65">
        <f t="shared" si="14"/>
        <v>0</v>
      </c>
      <c r="T551" s="369" t="b">
        <v>0</v>
      </c>
      <c r="U551" s="388"/>
      <c r="V551" s="391" t="b">
        <v>0</v>
      </c>
      <c r="W551" s="391" t="b">
        <v>0</v>
      </c>
      <c r="X551" s="391" t="b">
        <v>0</v>
      </c>
    </row>
    <row r="552" ht="24.0" customHeight="1">
      <c r="A552" s="457" t="s">
        <v>1373</v>
      </c>
      <c r="B552" s="383">
        <v>46202.68498710648</v>
      </c>
      <c r="C552" s="384" t="s">
        <v>1372</v>
      </c>
      <c r="D552" s="116" t="s">
        <v>93</v>
      </c>
      <c r="E552" s="116" t="s">
        <v>309</v>
      </c>
      <c r="F552" s="388"/>
      <c r="G552" s="457" t="s">
        <v>122</v>
      </c>
      <c r="H552" s="385">
        <v>2.0</v>
      </c>
      <c r="I552" s="386">
        <f>IF(G552="", "", IFERROR(VLOOKUP(G552, Products!A:F, 4, FALSE), ""))
</f>
        <v>80</v>
      </c>
      <c r="J552" s="405"/>
      <c r="K552" s="54">
        <f t="shared" si="16"/>
        <v>160</v>
      </c>
      <c r="L552" s="387"/>
      <c r="M552" s="138" t="s">
        <v>73</v>
      </c>
      <c r="N552" s="46">
        <f t="shared" si="2"/>
        <v>160</v>
      </c>
      <c r="O552" s="369" t="b">
        <v>1</v>
      </c>
      <c r="P552" s="369" t="b">
        <v>1</v>
      </c>
      <c r="Q552" s="387"/>
      <c r="R552" s="138" t="s">
        <v>687</v>
      </c>
      <c r="S552" s="65">
        <f t="shared" si="14"/>
        <v>160</v>
      </c>
      <c r="T552" s="369" t="b">
        <v>0</v>
      </c>
      <c r="U552" s="388"/>
      <c r="V552" s="391" t="b">
        <v>0</v>
      </c>
      <c r="W552" s="391" t="b">
        <v>0</v>
      </c>
      <c r="X552" s="391" t="b">
        <v>0</v>
      </c>
    </row>
    <row r="553" ht="24.0" customHeight="1">
      <c r="A553" s="457" t="s">
        <v>1374</v>
      </c>
      <c r="B553" s="383">
        <v>46204.80331846065</v>
      </c>
      <c r="C553" s="384" t="s">
        <v>1375</v>
      </c>
      <c r="D553" s="116" t="s">
        <v>78</v>
      </c>
      <c r="E553" s="458"/>
      <c r="F553" s="388"/>
      <c r="G553" s="457" t="s">
        <v>205</v>
      </c>
      <c r="H553" s="385">
        <v>5.0</v>
      </c>
      <c r="I553" s="386">
        <f>IF(G553="", "", IFERROR(VLOOKUP(G553, Products!A:F, 4, FALSE), ""))
</f>
        <v>100</v>
      </c>
      <c r="J553" s="405">
        <v>50.0</v>
      </c>
      <c r="K553" s="54">
        <f t="shared" si="16"/>
        <v>450</v>
      </c>
      <c r="L553" s="387">
        <v>450.0</v>
      </c>
      <c r="M553" s="138" t="s">
        <v>73</v>
      </c>
      <c r="N553" s="46">
        <f t="shared" si="2"/>
        <v>0</v>
      </c>
      <c r="O553" s="369" t="b">
        <v>1</v>
      </c>
      <c r="P553" s="369" t="b">
        <v>1</v>
      </c>
      <c r="Q553" s="387"/>
      <c r="R553" s="138" t="s">
        <v>687</v>
      </c>
      <c r="S553" s="65">
        <f t="shared" si="14"/>
        <v>0</v>
      </c>
      <c r="T553" s="369" t="b">
        <v>0</v>
      </c>
      <c r="U553" s="388"/>
      <c r="V553" s="391" t="b">
        <v>0</v>
      </c>
      <c r="W553" s="391" t="b">
        <v>0</v>
      </c>
      <c r="X553" s="391" t="b">
        <v>0</v>
      </c>
    </row>
    <row r="554" ht="24.0" customHeight="1">
      <c r="A554" s="457" t="s">
        <v>1376</v>
      </c>
      <c r="B554" s="383">
        <v>46204.8047044213</v>
      </c>
      <c r="C554" s="384" t="s">
        <v>1377</v>
      </c>
      <c r="D554" s="116" t="s">
        <v>93</v>
      </c>
      <c r="E554" s="116" t="s">
        <v>156</v>
      </c>
      <c r="F554" s="388"/>
      <c r="G554" s="457" t="s">
        <v>122</v>
      </c>
      <c r="H554" s="385">
        <v>3.0</v>
      </c>
      <c r="I554" s="386">
        <f>IF(G554="", "", IFERROR(VLOOKUP(G554, Products!A:F, 4, FALSE), ""))
</f>
        <v>80</v>
      </c>
      <c r="J554" s="405">
        <v>0.0</v>
      </c>
      <c r="K554" s="54">
        <f t="shared" si="16"/>
        <v>240</v>
      </c>
      <c r="L554" s="387">
        <v>120.0</v>
      </c>
      <c r="M554" s="138" t="s">
        <v>73</v>
      </c>
      <c r="N554" s="46">
        <f t="shared" si="2"/>
        <v>120</v>
      </c>
      <c r="O554" s="369" t="b">
        <v>1</v>
      </c>
      <c r="P554" s="369" t="b">
        <v>1</v>
      </c>
      <c r="Q554" s="387"/>
      <c r="R554" s="138" t="s">
        <v>687</v>
      </c>
      <c r="S554" s="65">
        <f t="shared" si="14"/>
        <v>120</v>
      </c>
      <c r="T554" s="369" t="b">
        <v>0</v>
      </c>
      <c r="U554" s="388"/>
      <c r="V554" s="391" t="b">
        <v>0</v>
      </c>
      <c r="W554" s="391" t="b">
        <v>0</v>
      </c>
      <c r="X554" s="391" t="b">
        <v>0</v>
      </c>
    </row>
    <row r="555" ht="24.0" customHeight="1">
      <c r="A555" s="457" t="s">
        <v>1378</v>
      </c>
      <c r="B555" s="383">
        <v>46204.80542171297</v>
      </c>
      <c r="C555" s="384" t="s">
        <v>1379</v>
      </c>
      <c r="D555" s="116" t="s">
        <v>195</v>
      </c>
      <c r="E555" s="458"/>
      <c r="F555" s="388"/>
      <c r="G555" s="457" t="s">
        <v>122</v>
      </c>
      <c r="H555" s="385">
        <v>3.0</v>
      </c>
      <c r="I555" s="386">
        <f>IF(G555="", "", IFERROR(VLOOKUP(G555, Products!A:F, 4, FALSE), ""))
</f>
        <v>80</v>
      </c>
      <c r="J555" s="405">
        <v>0.0</v>
      </c>
      <c r="K555" s="54">
        <f t="shared" si="16"/>
        <v>240</v>
      </c>
      <c r="L555" s="387">
        <v>120.0</v>
      </c>
      <c r="M555" s="138" t="s">
        <v>73</v>
      </c>
      <c r="N555" s="46">
        <f t="shared" si="2"/>
        <v>120</v>
      </c>
      <c r="O555" s="369" t="b">
        <v>1</v>
      </c>
      <c r="P555" s="369" t="b">
        <v>1</v>
      </c>
      <c r="Q555" s="387"/>
      <c r="R555" s="138" t="s">
        <v>687</v>
      </c>
      <c r="S555" s="65">
        <f t="shared" si="14"/>
        <v>120</v>
      </c>
      <c r="T555" s="369" t="b">
        <v>0</v>
      </c>
      <c r="U555" s="388"/>
      <c r="V555" s="391" t="b">
        <v>0</v>
      </c>
      <c r="W555" s="391" t="b">
        <v>0</v>
      </c>
      <c r="X555" s="391" t="b">
        <v>0</v>
      </c>
    </row>
    <row r="556" ht="24.0" customHeight="1">
      <c r="A556" s="76" t="s">
        <v>1096</v>
      </c>
      <c r="B556" s="383">
        <v>46231.0</v>
      </c>
      <c r="C556" s="384" t="s">
        <v>1380</v>
      </c>
      <c r="D556" s="385"/>
      <c r="E556" s="116" t="s">
        <v>1381</v>
      </c>
      <c r="F556" s="388"/>
      <c r="G556" s="76" t="s">
        <v>138</v>
      </c>
      <c r="H556" s="385">
        <v>2.0</v>
      </c>
      <c r="I556" s="386"/>
      <c r="J556" s="405">
        <v>40.0</v>
      </c>
      <c r="K556" s="54">
        <v>400.0</v>
      </c>
      <c r="L556" s="387">
        <v>200.0</v>
      </c>
      <c r="M556" s="138" t="s">
        <v>1382</v>
      </c>
      <c r="N556" s="46">
        <v>200.0</v>
      </c>
      <c r="O556" s="369" t="b">
        <v>0</v>
      </c>
      <c r="P556" s="369" t="b">
        <v>1</v>
      </c>
      <c r="Q556" s="387"/>
      <c r="R556" s="138"/>
      <c r="S556" s="65"/>
      <c r="T556" s="369" t="b">
        <v>0</v>
      </c>
      <c r="U556" s="388"/>
      <c r="V556" s="369" t="b">
        <v>1</v>
      </c>
      <c r="W556" s="369" t="b">
        <v>1</v>
      </c>
      <c r="X556" s="369" t="b">
        <v>0</v>
      </c>
    </row>
    <row r="557" ht="24.0" customHeight="1">
      <c r="A557" s="76" t="s">
        <v>1096</v>
      </c>
      <c r="B557" s="383">
        <v>46231.0</v>
      </c>
      <c r="C557" s="384" t="s">
        <v>1380</v>
      </c>
      <c r="D557" s="116"/>
      <c r="E557" s="116" t="s">
        <v>1381</v>
      </c>
      <c r="F557" s="388"/>
      <c r="G557" s="457" t="s">
        <v>124</v>
      </c>
      <c r="H557" s="385">
        <v>500.0</v>
      </c>
      <c r="I557" s="386">
        <v>3.0</v>
      </c>
      <c r="J557" s="405"/>
      <c r="K557" s="54">
        <f t="shared" ref="K557:K623" si="17">(H557*I557)-J557</f>
        <v>1500</v>
      </c>
      <c r="L557" s="387"/>
      <c r="M557" s="138"/>
      <c r="N557" s="46"/>
      <c r="O557" s="369" t="b">
        <v>0</v>
      </c>
      <c r="P557" s="369" t="b">
        <v>1</v>
      </c>
      <c r="Q557" s="387"/>
      <c r="R557" s="388"/>
      <c r="S557" s="65"/>
      <c r="T557" s="369" t="b">
        <v>0</v>
      </c>
      <c r="U557" s="388"/>
      <c r="V557" s="369" t="b">
        <v>1</v>
      </c>
      <c r="W557" s="369" t="b">
        <v>1</v>
      </c>
      <c r="X557" s="369" t="b">
        <v>0</v>
      </c>
    </row>
    <row r="558" ht="24.0" customHeight="1">
      <c r="A558" s="457" t="s">
        <v>957</v>
      </c>
      <c r="B558" s="383">
        <v>46208.680685555555</v>
      </c>
      <c r="C558" s="384" t="s">
        <v>1383</v>
      </c>
      <c r="D558" s="116" t="s">
        <v>93</v>
      </c>
      <c r="E558" s="116" t="s">
        <v>309</v>
      </c>
      <c r="F558" s="388"/>
      <c r="G558" s="457" t="s">
        <v>24</v>
      </c>
      <c r="H558" s="385">
        <v>60.0</v>
      </c>
      <c r="I558" s="386">
        <f>IF(G558="", "", IFERROR(VLOOKUP(G558, Products!A:F, 4, FALSE), ""))
</f>
        <v>30</v>
      </c>
      <c r="J558" s="405">
        <v>0.0</v>
      </c>
      <c r="K558" s="54">
        <f t="shared" si="17"/>
        <v>1800</v>
      </c>
      <c r="L558" s="387">
        <v>890.0</v>
      </c>
      <c r="M558" s="138" t="s">
        <v>73</v>
      </c>
      <c r="N558" s="46">
        <f t="shared" ref="N558:N623" si="18">K558-L558</f>
        <v>910</v>
      </c>
      <c r="O558" s="369" t="b">
        <v>1</v>
      </c>
      <c r="P558" s="369" t="b">
        <v>0</v>
      </c>
      <c r="Q558" s="387"/>
      <c r="R558" s="388"/>
      <c r="S558" s="65">
        <f t="shared" ref="S558:S623" si="19">N558-Q558</f>
        <v>910</v>
      </c>
      <c r="T558" s="369" t="b">
        <v>1</v>
      </c>
      <c r="U558" s="388"/>
      <c r="V558" s="391" t="b">
        <v>0</v>
      </c>
      <c r="W558" s="391" t="b">
        <v>0</v>
      </c>
      <c r="X558" s="391" t="b">
        <v>0</v>
      </c>
    </row>
    <row r="559" ht="24.0" customHeight="1">
      <c r="A559" s="457" t="s">
        <v>957</v>
      </c>
      <c r="B559" s="383">
        <v>46208.680685555555</v>
      </c>
      <c r="C559" s="384" t="s">
        <v>1384</v>
      </c>
      <c r="D559" s="116" t="s">
        <v>93</v>
      </c>
      <c r="E559" s="116" t="s">
        <v>309</v>
      </c>
      <c r="F559" s="388"/>
      <c r="G559" s="457" t="s">
        <v>122</v>
      </c>
      <c r="H559" s="385">
        <v>1.0</v>
      </c>
      <c r="I559" s="386">
        <f>IF(G559="", "", IFERROR(VLOOKUP(G559, Products!A:F, 4, FALSE), ""))
</f>
        <v>80</v>
      </c>
      <c r="J559" s="405">
        <v>0.0</v>
      </c>
      <c r="K559" s="54">
        <f t="shared" si="17"/>
        <v>80</v>
      </c>
      <c r="L559" s="387"/>
      <c r="M559" s="138"/>
      <c r="N559" s="46">
        <f t="shared" si="18"/>
        <v>80</v>
      </c>
      <c r="O559" s="369" t="b">
        <v>1</v>
      </c>
      <c r="P559" s="369" t="b">
        <v>0</v>
      </c>
      <c r="Q559" s="387"/>
      <c r="R559" s="388"/>
      <c r="S559" s="65">
        <f t="shared" si="19"/>
        <v>80</v>
      </c>
      <c r="T559" s="369" t="b">
        <v>1</v>
      </c>
      <c r="U559" s="388"/>
      <c r="V559" s="391" t="b">
        <v>0</v>
      </c>
      <c r="W559" s="391" t="b">
        <v>0</v>
      </c>
      <c r="X559" s="391" t="b">
        <v>0</v>
      </c>
    </row>
    <row r="560" ht="24.0" customHeight="1">
      <c r="A560" s="457" t="s">
        <v>957</v>
      </c>
      <c r="B560" s="383">
        <v>46208.680685555555</v>
      </c>
      <c r="C560" s="384" t="s">
        <v>1384</v>
      </c>
      <c r="D560" s="116" t="s">
        <v>93</v>
      </c>
      <c r="E560" s="116" t="s">
        <v>309</v>
      </c>
      <c r="F560" s="388"/>
      <c r="G560" s="76" t="s">
        <v>222</v>
      </c>
      <c r="H560" s="385">
        <v>1.0</v>
      </c>
      <c r="I560" s="386">
        <f>IF(G560="", "", IFERROR(VLOOKUP(G560, Products!A:F, 4, FALSE), ""))
</f>
        <v>80</v>
      </c>
      <c r="J560" s="405">
        <v>0.0</v>
      </c>
      <c r="K560" s="54">
        <f t="shared" si="17"/>
        <v>80</v>
      </c>
      <c r="L560" s="387"/>
      <c r="M560" s="138"/>
      <c r="N560" s="46">
        <f t="shared" si="18"/>
        <v>80</v>
      </c>
      <c r="O560" s="369" t="b">
        <v>1</v>
      </c>
      <c r="P560" s="369" t="b">
        <v>0</v>
      </c>
      <c r="Q560" s="387"/>
      <c r="R560" s="388"/>
      <c r="S560" s="65">
        <f t="shared" si="19"/>
        <v>80</v>
      </c>
      <c r="T560" s="369" t="b">
        <v>1</v>
      </c>
      <c r="U560" s="388"/>
      <c r="V560" s="391" t="b">
        <v>0</v>
      </c>
      <c r="W560" s="391" t="b">
        <v>0</v>
      </c>
      <c r="X560" s="391" t="b">
        <v>0</v>
      </c>
    </row>
    <row r="561" ht="24.0" customHeight="1">
      <c r="A561" s="457" t="s">
        <v>1385</v>
      </c>
      <c r="B561" s="383">
        <v>46208.682133263894</v>
      </c>
      <c r="C561" s="384" t="s">
        <v>1386</v>
      </c>
      <c r="D561" s="116" t="s">
        <v>454</v>
      </c>
      <c r="E561" s="458"/>
      <c r="F561" s="388"/>
      <c r="G561" s="457" t="s">
        <v>190</v>
      </c>
      <c r="H561" s="385">
        <v>4.0</v>
      </c>
      <c r="I561" s="386">
        <f>IF(G561="", "", IFERROR(VLOOKUP(G561, Products!A:F, 4, FALSE), ""))
</f>
        <v>200</v>
      </c>
      <c r="J561" s="405">
        <v>0.0</v>
      </c>
      <c r="K561" s="54">
        <f t="shared" si="17"/>
        <v>800</v>
      </c>
      <c r="L561" s="387">
        <v>800.0</v>
      </c>
      <c r="M561" s="138" t="s">
        <v>73</v>
      </c>
      <c r="N561" s="46">
        <f t="shared" si="18"/>
        <v>0</v>
      </c>
      <c r="O561" s="369" t="b">
        <v>1</v>
      </c>
      <c r="P561" s="369" t="b">
        <v>1</v>
      </c>
      <c r="Q561" s="387"/>
      <c r="R561" s="388"/>
      <c r="S561" s="65">
        <f t="shared" si="19"/>
        <v>0</v>
      </c>
      <c r="T561" s="369" t="b">
        <v>1</v>
      </c>
      <c r="U561" s="388"/>
      <c r="V561" s="391" t="b">
        <v>0</v>
      </c>
      <c r="W561" s="391" t="b">
        <v>0</v>
      </c>
      <c r="X561" s="391" t="b">
        <v>0</v>
      </c>
    </row>
    <row r="562" ht="24.0" customHeight="1">
      <c r="A562" s="457" t="s">
        <v>1387</v>
      </c>
      <c r="B562" s="383">
        <v>46208.68367439815</v>
      </c>
      <c r="C562" s="384" t="s">
        <v>1388</v>
      </c>
      <c r="D562" s="116" t="s">
        <v>93</v>
      </c>
      <c r="E562" s="116" t="s">
        <v>553</v>
      </c>
      <c r="F562" s="388"/>
      <c r="G562" s="457" t="s">
        <v>63</v>
      </c>
      <c r="H562" s="385">
        <v>1.0</v>
      </c>
      <c r="I562" s="386">
        <f>IF(G562="", "", IFERROR(VLOOKUP(G562, Products!A:F, 4, FALSE), ""))
</f>
        <v>850</v>
      </c>
      <c r="J562" s="405">
        <v>0.0</v>
      </c>
      <c r="K562" s="54">
        <f t="shared" si="17"/>
        <v>850</v>
      </c>
      <c r="L562" s="387">
        <v>850.0</v>
      </c>
      <c r="M562" s="138" t="s">
        <v>73</v>
      </c>
      <c r="N562" s="46">
        <f t="shared" si="18"/>
        <v>0</v>
      </c>
      <c r="O562" s="369" t="b">
        <v>1</v>
      </c>
      <c r="P562" s="369" t="b">
        <v>0</v>
      </c>
      <c r="Q562" s="387"/>
      <c r="R562" s="388"/>
      <c r="S562" s="65">
        <f t="shared" si="19"/>
        <v>0</v>
      </c>
      <c r="T562" s="369" t="b">
        <v>1</v>
      </c>
      <c r="U562" s="388"/>
      <c r="V562" s="391" t="b">
        <v>0</v>
      </c>
      <c r="W562" s="391" t="b">
        <v>0</v>
      </c>
      <c r="X562" s="391" t="b">
        <v>0</v>
      </c>
    </row>
    <row r="563" ht="24.0" customHeight="1">
      <c r="A563" s="457" t="s">
        <v>1387</v>
      </c>
      <c r="B563" s="383">
        <v>46208.68367439815</v>
      </c>
      <c r="C563" s="384" t="s">
        <v>1389</v>
      </c>
      <c r="D563" s="116" t="s">
        <v>93</v>
      </c>
      <c r="E563" s="116" t="s">
        <v>553</v>
      </c>
      <c r="F563" s="388"/>
      <c r="G563" s="457" t="s">
        <v>201</v>
      </c>
      <c r="H563" s="385">
        <v>1.0</v>
      </c>
      <c r="I563" s="386">
        <f>IF(G563="", "", IFERROR(VLOOKUP(G563, Products!A:F, 4, FALSE), ""))
</f>
        <v>80</v>
      </c>
      <c r="J563" s="405">
        <v>0.0</v>
      </c>
      <c r="K563" s="54">
        <f t="shared" si="17"/>
        <v>80</v>
      </c>
      <c r="L563" s="387">
        <v>80.0</v>
      </c>
      <c r="M563" s="138" t="s">
        <v>73</v>
      </c>
      <c r="N563" s="46">
        <f t="shared" si="18"/>
        <v>0</v>
      </c>
      <c r="O563" s="369" t="b">
        <v>1</v>
      </c>
      <c r="P563" s="369" t="b">
        <v>0</v>
      </c>
      <c r="Q563" s="387"/>
      <c r="R563" s="388"/>
      <c r="S563" s="65">
        <f t="shared" si="19"/>
        <v>0</v>
      </c>
      <c r="T563" s="369" t="b">
        <v>1</v>
      </c>
      <c r="U563" s="388"/>
      <c r="V563" s="391" t="b">
        <v>0</v>
      </c>
      <c r="W563" s="391" t="b">
        <v>0</v>
      </c>
      <c r="X563" s="391" t="b">
        <v>0</v>
      </c>
    </row>
    <row r="564" ht="24.0" customHeight="1">
      <c r="A564" s="457" t="s">
        <v>1387</v>
      </c>
      <c r="B564" s="383">
        <v>46208.68367439815</v>
      </c>
      <c r="C564" s="384" t="s">
        <v>1389</v>
      </c>
      <c r="D564" s="116" t="s">
        <v>93</v>
      </c>
      <c r="E564" s="116" t="s">
        <v>553</v>
      </c>
      <c r="F564" s="388"/>
      <c r="G564" s="457" t="s">
        <v>210</v>
      </c>
      <c r="H564" s="385">
        <v>1.0</v>
      </c>
      <c r="I564" s="386">
        <f>IF(G564="", "", IFERROR(VLOOKUP(G564, Products!A:F, 4, FALSE), ""))
</f>
        <v>80</v>
      </c>
      <c r="J564" s="405">
        <v>0.0</v>
      </c>
      <c r="K564" s="54">
        <f t="shared" si="17"/>
        <v>80</v>
      </c>
      <c r="L564" s="387">
        <v>80.0</v>
      </c>
      <c r="M564" s="138" t="s">
        <v>73</v>
      </c>
      <c r="N564" s="46">
        <f t="shared" si="18"/>
        <v>0</v>
      </c>
      <c r="O564" s="369" t="b">
        <v>1</v>
      </c>
      <c r="P564" s="369" t="b">
        <v>0</v>
      </c>
      <c r="Q564" s="387"/>
      <c r="R564" s="388"/>
      <c r="S564" s="65">
        <f t="shared" si="19"/>
        <v>0</v>
      </c>
      <c r="T564" s="369" t="b">
        <v>1</v>
      </c>
      <c r="U564" s="388"/>
      <c r="V564" s="391" t="b">
        <v>0</v>
      </c>
      <c r="W564" s="391" t="b">
        <v>0</v>
      </c>
      <c r="X564" s="391" t="b">
        <v>0</v>
      </c>
    </row>
    <row r="565" ht="24.0" customHeight="1">
      <c r="A565" s="457" t="s">
        <v>1387</v>
      </c>
      <c r="B565" s="383">
        <v>46208.68367439815</v>
      </c>
      <c r="C565" s="384" t="s">
        <v>1389</v>
      </c>
      <c r="D565" s="116" t="s">
        <v>93</v>
      </c>
      <c r="E565" s="116" t="s">
        <v>553</v>
      </c>
      <c r="F565" s="388"/>
      <c r="G565" s="457" t="s">
        <v>212</v>
      </c>
      <c r="H565" s="385">
        <v>1.0</v>
      </c>
      <c r="I565" s="386">
        <f>IF(G565="", "", IFERROR(VLOOKUP(G565, Products!A:F, 4, FALSE), ""))
</f>
        <v>80</v>
      </c>
      <c r="J565" s="405">
        <v>0.0</v>
      </c>
      <c r="K565" s="54">
        <f t="shared" si="17"/>
        <v>80</v>
      </c>
      <c r="L565" s="387">
        <v>80.0</v>
      </c>
      <c r="M565" s="138" t="s">
        <v>73</v>
      </c>
      <c r="N565" s="46">
        <f t="shared" si="18"/>
        <v>0</v>
      </c>
      <c r="O565" s="369" t="b">
        <v>1</v>
      </c>
      <c r="P565" s="369" t="b">
        <v>0</v>
      </c>
      <c r="Q565" s="387"/>
      <c r="R565" s="388"/>
      <c r="S565" s="65">
        <f t="shared" si="19"/>
        <v>0</v>
      </c>
      <c r="T565" s="369" t="b">
        <v>1</v>
      </c>
      <c r="U565" s="388"/>
      <c r="V565" s="391" t="b">
        <v>0</v>
      </c>
      <c r="W565" s="391" t="b">
        <v>0</v>
      </c>
      <c r="X565" s="391" t="b">
        <v>0</v>
      </c>
    </row>
    <row r="566" ht="24.0" customHeight="1">
      <c r="A566" s="457" t="s">
        <v>1387</v>
      </c>
      <c r="B566" s="383">
        <v>46208.68367439815</v>
      </c>
      <c r="C566" s="384" t="s">
        <v>1389</v>
      </c>
      <c r="D566" s="116" t="s">
        <v>93</v>
      </c>
      <c r="E566" s="116" t="s">
        <v>553</v>
      </c>
      <c r="F566" s="388"/>
      <c r="G566" s="457" t="s">
        <v>122</v>
      </c>
      <c r="H566" s="385">
        <v>1.0</v>
      </c>
      <c r="I566" s="386">
        <f>IF(G566="", "", IFERROR(VLOOKUP(G566, Products!A:F, 4, FALSE), ""))
</f>
        <v>80</v>
      </c>
      <c r="J566" s="405">
        <v>0.0</v>
      </c>
      <c r="K566" s="54">
        <f t="shared" si="17"/>
        <v>80</v>
      </c>
      <c r="L566" s="387">
        <v>80.0</v>
      </c>
      <c r="M566" s="138" t="s">
        <v>73</v>
      </c>
      <c r="N566" s="46">
        <f t="shared" si="18"/>
        <v>0</v>
      </c>
      <c r="O566" s="369" t="b">
        <v>1</v>
      </c>
      <c r="P566" s="369" t="b">
        <v>0</v>
      </c>
      <c r="Q566" s="387"/>
      <c r="R566" s="388"/>
      <c r="S566" s="65">
        <f t="shared" si="19"/>
        <v>0</v>
      </c>
      <c r="T566" s="369" t="b">
        <v>1</v>
      </c>
      <c r="U566" s="388"/>
      <c r="V566" s="391" t="b">
        <v>0</v>
      </c>
      <c r="W566" s="391" t="b">
        <v>0</v>
      </c>
      <c r="X566" s="391" t="b">
        <v>0</v>
      </c>
    </row>
    <row r="567" ht="24.0" customHeight="1">
      <c r="A567" s="457" t="s">
        <v>1387</v>
      </c>
      <c r="B567" s="383">
        <v>46208.68367439815</v>
      </c>
      <c r="C567" s="384" t="s">
        <v>1389</v>
      </c>
      <c r="D567" s="116" t="s">
        <v>93</v>
      </c>
      <c r="E567" s="116" t="s">
        <v>553</v>
      </c>
      <c r="F567" s="388"/>
      <c r="G567" s="457" t="s">
        <v>187</v>
      </c>
      <c r="H567" s="385">
        <v>1.0</v>
      </c>
      <c r="I567" s="386">
        <f>IF(G567="", "", IFERROR(VLOOKUP(G567, Products!A:F, 4, FALSE), ""))
</f>
        <v>400</v>
      </c>
      <c r="J567" s="405">
        <v>0.0</v>
      </c>
      <c r="K567" s="54">
        <f t="shared" si="17"/>
        <v>400</v>
      </c>
      <c r="L567" s="387">
        <v>400.0</v>
      </c>
      <c r="M567" s="138" t="s">
        <v>73</v>
      </c>
      <c r="N567" s="46">
        <f t="shared" si="18"/>
        <v>0</v>
      </c>
      <c r="O567" s="369" t="b">
        <v>1</v>
      </c>
      <c r="P567" s="369" t="b">
        <v>0</v>
      </c>
      <c r="Q567" s="387"/>
      <c r="R567" s="388"/>
      <c r="S567" s="65">
        <f t="shared" si="19"/>
        <v>0</v>
      </c>
      <c r="T567" s="369" t="b">
        <v>1</v>
      </c>
      <c r="U567" s="388"/>
      <c r="V567" s="391" t="b">
        <v>0</v>
      </c>
      <c r="W567" s="391" t="b">
        <v>0</v>
      </c>
      <c r="X567" s="391" t="b">
        <v>0</v>
      </c>
    </row>
    <row r="568" ht="24.0" customHeight="1">
      <c r="A568" s="457" t="s">
        <v>1387</v>
      </c>
      <c r="B568" s="383">
        <v>46208.68367439815</v>
      </c>
      <c r="C568" s="384" t="s">
        <v>1389</v>
      </c>
      <c r="D568" s="116" t="s">
        <v>93</v>
      </c>
      <c r="E568" s="116" t="s">
        <v>553</v>
      </c>
      <c r="F568" s="388"/>
      <c r="G568" s="457" t="s">
        <v>190</v>
      </c>
      <c r="H568" s="385">
        <v>1.0</v>
      </c>
      <c r="I568" s="386">
        <f>IF(G568="", "", IFERROR(VLOOKUP(G568, Products!A:F, 4, FALSE), ""))
</f>
        <v>200</v>
      </c>
      <c r="J568" s="405">
        <v>0.0</v>
      </c>
      <c r="K568" s="54">
        <f t="shared" si="17"/>
        <v>200</v>
      </c>
      <c r="L568" s="387">
        <v>200.0</v>
      </c>
      <c r="M568" s="138" t="s">
        <v>73</v>
      </c>
      <c r="N568" s="46">
        <f t="shared" si="18"/>
        <v>0</v>
      </c>
      <c r="O568" s="369" t="b">
        <v>1</v>
      </c>
      <c r="P568" s="369" t="b">
        <v>0</v>
      </c>
      <c r="Q568" s="387"/>
      <c r="R568" s="388"/>
      <c r="S568" s="65">
        <f t="shared" si="19"/>
        <v>0</v>
      </c>
      <c r="T568" s="369" t="b">
        <v>1</v>
      </c>
      <c r="U568" s="388"/>
      <c r="V568" s="391" t="b">
        <v>0</v>
      </c>
      <c r="W568" s="391" t="b">
        <v>0</v>
      </c>
      <c r="X568" s="391" t="b">
        <v>0</v>
      </c>
    </row>
    <row r="569" ht="24.0" customHeight="1">
      <c r="A569" s="457" t="s">
        <v>1387</v>
      </c>
      <c r="B569" s="383">
        <v>46208.68367439815</v>
      </c>
      <c r="C569" s="384" t="s">
        <v>1389</v>
      </c>
      <c r="D569" s="116" t="s">
        <v>93</v>
      </c>
      <c r="E569" s="116" t="s">
        <v>553</v>
      </c>
      <c r="F569" s="388"/>
      <c r="G569" s="457" t="s">
        <v>207</v>
      </c>
      <c r="H569" s="385">
        <v>1.0</v>
      </c>
      <c r="I569" s="386">
        <f>IF(G569="", "", IFERROR(VLOOKUP(G569, Products!A:F, 4, FALSE), ""))
</f>
        <v>80</v>
      </c>
      <c r="J569" s="405">
        <v>0.0</v>
      </c>
      <c r="K569" s="54">
        <f t="shared" si="17"/>
        <v>80</v>
      </c>
      <c r="L569" s="387">
        <v>80.0</v>
      </c>
      <c r="M569" s="138" t="s">
        <v>73</v>
      </c>
      <c r="N569" s="46">
        <f t="shared" si="18"/>
        <v>0</v>
      </c>
      <c r="O569" s="369" t="b">
        <v>1</v>
      </c>
      <c r="P569" s="369" t="b">
        <v>0</v>
      </c>
      <c r="Q569" s="387"/>
      <c r="R569" s="388"/>
      <c r="S569" s="65">
        <f t="shared" si="19"/>
        <v>0</v>
      </c>
      <c r="T569" s="369" t="b">
        <v>1</v>
      </c>
      <c r="U569" s="388"/>
      <c r="V569" s="391" t="b">
        <v>0</v>
      </c>
      <c r="W569" s="391" t="b">
        <v>0</v>
      </c>
      <c r="X569" s="391" t="b">
        <v>0</v>
      </c>
    </row>
    <row r="570" ht="24.0" customHeight="1">
      <c r="A570" s="457" t="s">
        <v>1387</v>
      </c>
      <c r="B570" s="383">
        <v>46208.68367439815</v>
      </c>
      <c r="C570" s="384" t="s">
        <v>1389</v>
      </c>
      <c r="D570" s="116" t="s">
        <v>93</v>
      </c>
      <c r="E570" s="116" t="s">
        <v>553</v>
      </c>
      <c r="F570" s="388"/>
      <c r="G570" s="457" t="s">
        <v>205</v>
      </c>
      <c r="H570" s="385">
        <v>1.0</v>
      </c>
      <c r="I570" s="386">
        <f>IF(G570="", "", IFERROR(VLOOKUP(G570, Products!A:F, 4, FALSE), ""))
</f>
        <v>100</v>
      </c>
      <c r="J570" s="405">
        <v>0.0</v>
      </c>
      <c r="K570" s="54">
        <f t="shared" si="17"/>
        <v>100</v>
      </c>
      <c r="L570" s="387">
        <v>100.0</v>
      </c>
      <c r="M570" s="138" t="s">
        <v>73</v>
      </c>
      <c r="N570" s="46">
        <f t="shared" si="18"/>
        <v>0</v>
      </c>
      <c r="O570" s="369" t="b">
        <v>1</v>
      </c>
      <c r="P570" s="369" t="b">
        <v>0</v>
      </c>
      <c r="Q570" s="387"/>
      <c r="R570" s="388"/>
      <c r="S570" s="65">
        <f t="shared" si="19"/>
        <v>0</v>
      </c>
      <c r="T570" s="369" t="b">
        <v>1</v>
      </c>
      <c r="U570" s="388"/>
      <c r="V570" s="391" t="b">
        <v>0</v>
      </c>
      <c r="W570" s="391" t="b">
        <v>0</v>
      </c>
      <c r="X570" s="391" t="b">
        <v>0</v>
      </c>
    </row>
    <row r="571" ht="24.0" customHeight="1">
      <c r="A571" s="457" t="s">
        <v>1387</v>
      </c>
      <c r="B571" s="383">
        <v>46208.68367439815</v>
      </c>
      <c r="C571" s="384" t="s">
        <v>1389</v>
      </c>
      <c r="D571" s="116" t="s">
        <v>93</v>
      </c>
      <c r="E571" s="116" t="s">
        <v>553</v>
      </c>
      <c r="F571" s="388"/>
      <c r="G571" s="76" t="s">
        <v>222</v>
      </c>
      <c r="H571" s="385">
        <v>1.0</v>
      </c>
      <c r="I571" s="386">
        <f>IF(G571="", "", IFERROR(VLOOKUP(G571, Products!A:F, 4, FALSE), ""))
</f>
        <v>80</v>
      </c>
      <c r="J571" s="405">
        <v>0.0</v>
      </c>
      <c r="K571" s="54">
        <f t="shared" si="17"/>
        <v>80</v>
      </c>
      <c r="L571" s="387">
        <v>80.0</v>
      </c>
      <c r="M571" s="138" t="s">
        <v>73</v>
      </c>
      <c r="N571" s="46">
        <f t="shared" si="18"/>
        <v>0</v>
      </c>
      <c r="O571" s="369" t="b">
        <v>1</v>
      </c>
      <c r="P571" s="369" t="b">
        <v>0</v>
      </c>
      <c r="Q571" s="387"/>
      <c r="R571" s="388"/>
      <c r="S571" s="65">
        <f t="shared" si="19"/>
        <v>0</v>
      </c>
      <c r="T571" s="369" t="b">
        <v>1</v>
      </c>
      <c r="U571" s="388"/>
      <c r="V571" s="391" t="b">
        <v>0</v>
      </c>
      <c r="W571" s="391" t="b">
        <v>0</v>
      </c>
      <c r="X571" s="391" t="b">
        <v>0</v>
      </c>
    </row>
    <row r="572" ht="24.0" customHeight="1">
      <c r="A572" s="457" t="s">
        <v>1387</v>
      </c>
      <c r="B572" s="383">
        <v>46208.68367439815</v>
      </c>
      <c r="C572" s="384" t="s">
        <v>1389</v>
      </c>
      <c r="D572" s="116" t="s">
        <v>93</v>
      </c>
      <c r="E572" s="116" t="s">
        <v>553</v>
      </c>
      <c r="F572" s="388"/>
      <c r="G572" s="457" t="s">
        <v>217</v>
      </c>
      <c r="H572" s="385">
        <v>1.0</v>
      </c>
      <c r="I572" s="386">
        <f>IF(G572="", "", IFERROR(VLOOKUP(G572, Products!A:F, 4, FALSE), ""))
</f>
        <v>80</v>
      </c>
      <c r="J572" s="405">
        <v>0.0</v>
      </c>
      <c r="K572" s="54">
        <f t="shared" si="17"/>
        <v>80</v>
      </c>
      <c r="L572" s="387">
        <v>80.0</v>
      </c>
      <c r="M572" s="138" t="s">
        <v>73</v>
      </c>
      <c r="N572" s="46">
        <f t="shared" si="18"/>
        <v>0</v>
      </c>
      <c r="O572" s="369" t="b">
        <v>1</v>
      </c>
      <c r="P572" s="369" t="b">
        <v>0</v>
      </c>
      <c r="Q572" s="387"/>
      <c r="R572" s="388"/>
      <c r="S572" s="65">
        <f t="shared" si="19"/>
        <v>0</v>
      </c>
      <c r="T572" s="369" t="b">
        <v>1</v>
      </c>
      <c r="U572" s="388"/>
      <c r="V572" s="391" t="b">
        <v>0</v>
      </c>
      <c r="W572" s="391" t="b">
        <v>0</v>
      </c>
      <c r="X572" s="391" t="b">
        <v>0</v>
      </c>
    </row>
    <row r="573" ht="24.0" customHeight="1">
      <c r="A573" s="457" t="s">
        <v>1387</v>
      </c>
      <c r="B573" s="383">
        <v>46208.68367439815</v>
      </c>
      <c r="C573" s="384" t="s">
        <v>1389</v>
      </c>
      <c r="D573" s="116" t="s">
        <v>93</v>
      </c>
      <c r="E573" s="116" t="s">
        <v>553</v>
      </c>
      <c r="F573" s="388"/>
      <c r="G573" s="457" t="s">
        <v>214</v>
      </c>
      <c r="H573" s="385">
        <v>1.0</v>
      </c>
      <c r="I573" s="386">
        <f>IF(G573="", "", IFERROR(VLOOKUP(G573, Products!A:F, 4, FALSE), ""))
</f>
        <v>120</v>
      </c>
      <c r="J573" s="405">
        <v>0.0</v>
      </c>
      <c r="K573" s="54">
        <f t="shared" si="17"/>
        <v>120</v>
      </c>
      <c r="L573" s="387">
        <v>100.0</v>
      </c>
      <c r="M573" s="138" t="s">
        <v>73</v>
      </c>
      <c r="N573" s="46">
        <f t="shared" si="18"/>
        <v>20</v>
      </c>
      <c r="O573" s="369" t="b">
        <v>1</v>
      </c>
      <c r="P573" s="369" t="b">
        <v>0</v>
      </c>
      <c r="Q573" s="387"/>
      <c r="R573" s="388"/>
      <c r="S573" s="65">
        <f t="shared" si="19"/>
        <v>20</v>
      </c>
      <c r="T573" s="369" t="b">
        <v>1</v>
      </c>
      <c r="U573" s="388"/>
      <c r="V573" s="391" t="b">
        <v>0</v>
      </c>
      <c r="W573" s="391" t="b">
        <v>0</v>
      </c>
      <c r="X573" s="391" t="b">
        <v>0</v>
      </c>
    </row>
    <row r="574" ht="24.0" customHeight="1">
      <c r="A574" s="457" t="s">
        <v>1387</v>
      </c>
      <c r="B574" s="383">
        <v>46208.68367439815</v>
      </c>
      <c r="C574" s="384" t="s">
        <v>1389</v>
      </c>
      <c r="D574" s="116" t="s">
        <v>93</v>
      </c>
      <c r="E574" s="116" t="s">
        <v>553</v>
      </c>
      <c r="F574" s="388"/>
      <c r="G574" s="457" t="s">
        <v>153</v>
      </c>
      <c r="H574" s="385">
        <v>1.0</v>
      </c>
      <c r="I574" s="386">
        <f>IF(G574="", "", IFERROR(VLOOKUP(G574, Products!A:F, 4, FALSE), ""))
</f>
        <v>80</v>
      </c>
      <c r="J574" s="405">
        <v>0.0</v>
      </c>
      <c r="K574" s="54">
        <f t="shared" si="17"/>
        <v>80</v>
      </c>
      <c r="L574" s="387">
        <v>80.0</v>
      </c>
      <c r="M574" s="138" t="s">
        <v>73</v>
      </c>
      <c r="N574" s="46">
        <f t="shared" si="18"/>
        <v>0</v>
      </c>
      <c r="O574" s="369" t="b">
        <v>0</v>
      </c>
      <c r="P574" s="369" t="b">
        <v>0</v>
      </c>
      <c r="Q574" s="387"/>
      <c r="R574" s="388"/>
      <c r="S574" s="65">
        <f t="shared" si="19"/>
        <v>0</v>
      </c>
      <c r="T574" s="369" t="b">
        <v>1</v>
      </c>
      <c r="U574" s="388"/>
      <c r="V574" s="391" t="b">
        <v>0</v>
      </c>
      <c r="W574" s="391" t="b">
        <v>0</v>
      </c>
      <c r="X574" s="391" t="b">
        <v>0</v>
      </c>
    </row>
    <row r="575" ht="24.0" customHeight="1">
      <c r="A575" s="457" t="s">
        <v>1387</v>
      </c>
      <c r="B575" s="383">
        <v>46208.68367439815</v>
      </c>
      <c r="C575" s="384" t="s">
        <v>1389</v>
      </c>
      <c r="D575" s="116" t="s">
        <v>93</v>
      </c>
      <c r="E575" s="116" t="s">
        <v>553</v>
      </c>
      <c r="F575" s="388"/>
      <c r="G575" s="457" t="s">
        <v>104</v>
      </c>
      <c r="H575" s="385">
        <v>1.0</v>
      </c>
      <c r="I575" s="386">
        <f>IF(G575="", "", IFERROR(VLOOKUP(G575, Products!A:F, 4, FALSE), ""))
</f>
        <v>80</v>
      </c>
      <c r="J575" s="405">
        <v>0.0</v>
      </c>
      <c r="K575" s="54">
        <f t="shared" si="17"/>
        <v>80</v>
      </c>
      <c r="L575" s="387">
        <v>80.0</v>
      </c>
      <c r="M575" s="138" t="s">
        <v>73</v>
      </c>
      <c r="N575" s="46">
        <f t="shared" si="18"/>
        <v>0</v>
      </c>
      <c r="O575" s="369" t="b">
        <v>1</v>
      </c>
      <c r="P575" s="369" t="b">
        <v>0</v>
      </c>
      <c r="Q575" s="387"/>
      <c r="R575" s="388"/>
      <c r="S575" s="65">
        <f t="shared" si="19"/>
        <v>0</v>
      </c>
      <c r="T575" s="369" t="b">
        <v>1</v>
      </c>
      <c r="U575" s="388"/>
      <c r="V575" s="391" t="b">
        <v>0</v>
      </c>
      <c r="W575" s="391" t="b">
        <v>0</v>
      </c>
      <c r="X575" s="391" t="b">
        <v>0</v>
      </c>
    </row>
    <row r="576" ht="24.0" customHeight="1">
      <c r="A576" s="457" t="s">
        <v>1387</v>
      </c>
      <c r="B576" s="383">
        <v>46208.68367439815</v>
      </c>
      <c r="C576" s="384" t="s">
        <v>1389</v>
      </c>
      <c r="D576" s="116" t="s">
        <v>93</v>
      </c>
      <c r="E576" s="116" t="s">
        <v>553</v>
      </c>
      <c r="F576" s="388"/>
      <c r="G576" s="457" t="s">
        <v>168</v>
      </c>
      <c r="H576" s="385">
        <v>1.0</v>
      </c>
      <c r="I576" s="386">
        <f>IF(G576="", "", IFERROR(VLOOKUP(G576, Products!A:F, 4, FALSE), ""))
</f>
        <v>80</v>
      </c>
      <c r="J576" s="405">
        <v>0.0</v>
      </c>
      <c r="K576" s="54">
        <f t="shared" si="17"/>
        <v>80</v>
      </c>
      <c r="L576" s="387">
        <v>80.0</v>
      </c>
      <c r="M576" s="138" t="s">
        <v>73</v>
      </c>
      <c r="N576" s="46">
        <f t="shared" si="18"/>
        <v>0</v>
      </c>
      <c r="O576" s="369" t="b">
        <v>1</v>
      </c>
      <c r="P576" s="369" t="b">
        <v>0</v>
      </c>
      <c r="Q576" s="387"/>
      <c r="R576" s="388"/>
      <c r="S576" s="65">
        <f t="shared" si="19"/>
        <v>0</v>
      </c>
      <c r="T576" s="369" t="b">
        <v>1</v>
      </c>
      <c r="U576" s="388"/>
      <c r="V576" s="391" t="b">
        <v>0</v>
      </c>
      <c r="W576" s="391" t="b">
        <v>0</v>
      </c>
      <c r="X576" s="391" t="b">
        <v>0</v>
      </c>
    </row>
    <row r="577" ht="24.0" customHeight="1">
      <c r="A577" s="457" t="s">
        <v>1387</v>
      </c>
      <c r="B577" s="383">
        <v>46208.68367439815</v>
      </c>
      <c r="C577" s="384" t="s">
        <v>1389</v>
      </c>
      <c r="D577" s="116" t="s">
        <v>93</v>
      </c>
      <c r="E577" s="116" t="s">
        <v>553</v>
      </c>
      <c r="F577" s="388"/>
      <c r="G577" s="457" t="s">
        <v>185</v>
      </c>
      <c r="H577" s="385">
        <v>1.0</v>
      </c>
      <c r="I577" s="386">
        <f>IF(G577="", "", IFERROR(VLOOKUP(G577, Products!A:F, 4, FALSE), ""))
</f>
        <v>80</v>
      </c>
      <c r="J577" s="405">
        <v>0.0</v>
      </c>
      <c r="K577" s="54">
        <f t="shared" si="17"/>
        <v>80</v>
      </c>
      <c r="L577" s="387">
        <v>80.0</v>
      </c>
      <c r="M577" s="138" t="s">
        <v>73</v>
      </c>
      <c r="N577" s="46">
        <f t="shared" si="18"/>
        <v>0</v>
      </c>
      <c r="O577" s="369" t="b">
        <v>1</v>
      </c>
      <c r="P577" s="369" t="b">
        <v>0</v>
      </c>
      <c r="Q577" s="387"/>
      <c r="R577" s="388"/>
      <c r="S577" s="65">
        <f t="shared" si="19"/>
        <v>0</v>
      </c>
      <c r="T577" s="369" t="b">
        <v>1</v>
      </c>
      <c r="U577" s="388"/>
      <c r="V577" s="391" t="b">
        <v>0</v>
      </c>
      <c r="W577" s="391" t="b">
        <v>0</v>
      </c>
      <c r="X577" s="391" t="b">
        <v>0</v>
      </c>
    </row>
    <row r="578" ht="24.0" customHeight="1">
      <c r="A578" s="457" t="s">
        <v>1390</v>
      </c>
      <c r="B578" s="383">
        <v>46208.686834884254</v>
      </c>
      <c r="C578" s="384" t="s">
        <v>1391</v>
      </c>
      <c r="D578" s="116" t="s">
        <v>243</v>
      </c>
      <c r="E578" s="458"/>
      <c r="F578" s="388"/>
      <c r="G578" s="457" t="s">
        <v>190</v>
      </c>
      <c r="H578" s="385">
        <v>1.0</v>
      </c>
      <c r="I578" s="386">
        <f>IF(G578="", "", IFERROR(VLOOKUP(G578, Products!A:F, 4, FALSE), ""))
</f>
        <v>200</v>
      </c>
      <c r="J578" s="405">
        <v>0.0</v>
      </c>
      <c r="K578" s="54">
        <f t="shared" si="17"/>
        <v>200</v>
      </c>
      <c r="L578" s="387">
        <v>100.0</v>
      </c>
      <c r="M578" s="138" t="s">
        <v>73</v>
      </c>
      <c r="N578" s="46">
        <f t="shared" si="18"/>
        <v>100</v>
      </c>
      <c r="O578" s="369" t="b">
        <v>1</v>
      </c>
      <c r="P578" s="369" t="b">
        <v>1</v>
      </c>
      <c r="Q578" s="387"/>
      <c r="R578" s="388"/>
      <c r="S578" s="65">
        <f t="shared" si="19"/>
        <v>100</v>
      </c>
      <c r="T578" s="369" t="b">
        <v>0</v>
      </c>
      <c r="U578" s="388"/>
      <c r="V578" s="391" t="b">
        <v>0</v>
      </c>
      <c r="W578" s="391" t="b">
        <v>0</v>
      </c>
      <c r="X578" s="391" t="b">
        <v>0</v>
      </c>
    </row>
    <row r="579" ht="24.0" customHeight="1">
      <c r="A579" s="457" t="s">
        <v>1392</v>
      </c>
      <c r="B579" s="383">
        <v>46208.68728184028</v>
      </c>
      <c r="C579" s="384" t="s">
        <v>1393</v>
      </c>
      <c r="D579" s="116" t="s">
        <v>93</v>
      </c>
      <c r="E579" s="116" t="s">
        <v>144</v>
      </c>
      <c r="F579" s="388"/>
      <c r="G579" s="457" t="s">
        <v>190</v>
      </c>
      <c r="H579" s="385">
        <v>1.0</v>
      </c>
      <c r="I579" s="386">
        <f>IF(G579="", "", IFERROR(VLOOKUP(G579, Products!A:F, 4, FALSE), ""))
</f>
        <v>200</v>
      </c>
      <c r="J579" s="405">
        <v>0.0</v>
      </c>
      <c r="K579" s="54">
        <f t="shared" si="17"/>
        <v>200</v>
      </c>
      <c r="L579" s="387">
        <v>100.0</v>
      </c>
      <c r="M579" s="138" t="s">
        <v>73</v>
      </c>
      <c r="N579" s="46">
        <f t="shared" si="18"/>
        <v>100</v>
      </c>
      <c r="O579" s="369" t="b">
        <v>1</v>
      </c>
      <c r="P579" s="369" t="b">
        <v>1</v>
      </c>
      <c r="Q579" s="387"/>
      <c r="R579" s="388"/>
      <c r="S579" s="65">
        <f t="shared" si="19"/>
        <v>100</v>
      </c>
      <c r="T579" s="369" t="b">
        <v>0</v>
      </c>
      <c r="U579" s="388"/>
      <c r="V579" s="391" t="b">
        <v>0</v>
      </c>
      <c r="W579" s="391" t="b">
        <v>0</v>
      </c>
      <c r="X579" s="391" t="b">
        <v>0</v>
      </c>
    </row>
    <row r="580" ht="24.0" customHeight="1">
      <c r="A580" s="457" t="s">
        <v>1394</v>
      </c>
      <c r="B580" s="383">
        <v>46208.68807002315</v>
      </c>
      <c r="C580" s="384" t="s">
        <v>1395</v>
      </c>
      <c r="D580" s="116" t="s">
        <v>416</v>
      </c>
      <c r="E580" s="399"/>
      <c r="F580" s="388"/>
      <c r="G580" s="457" t="s">
        <v>190</v>
      </c>
      <c r="H580" s="385">
        <v>2.0</v>
      </c>
      <c r="I580" s="386">
        <f>IF(G580="", "", IFERROR(VLOOKUP(G580, Products!A:F, 4, FALSE), ""))
</f>
        <v>200</v>
      </c>
      <c r="J580" s="405">
        <v>0.0</v>
      </c>
      <c r="K580" s="54">
        <f t="shared" si="17"/>
        <v>400</v>
      </c>
      <c r="L580" s="387">
        <v>400.0</v>
      </c>
      <c r="M580" s="138" t="s">
        <v>73</v>
      </c>
      <c r="N580" s="46">
        <f t="shared" si="18"/>
        <v>0</v>
      </c>
      <c r="O580" s="369" t="b">
        <v>0</v>
      </c>
      <c r="P580" s="369" t="b">
        <v>1</v>
      </c>
      <c r="Q580" s="387"/>
      <c r="R580" s="388"/>
      <c r="S580" s="65">
        <f t="shared" si="19"/>
        <v>0</v>
      </c>
      <c r="T580" s="369" t="b">
        <v>1</v>
      </c>
      <c r="U580" s="388"/>
      <c r="V580" s="391" t="b">
        <v>0</v>
      </c>
      <c r="W580" s="391" t="b">
        <v>0</v>
      </c>
      <c r="X580" s="391" t="b">
        <v>0</v>
      </c>
    </row>
    <row r="581" ht="24.0" customHeight="1">
      <c r="A581" s="457" t="s">
        <v>1394</v>
      </c>
      <c r="B581" s="383">
        <v>46208.68807002315</v>
      </c>
      <c r="C581" s="384" t="s">
        <v>1396</v>
      </c>
      <c r="D581" s="116" t="s">
        <v>416</v>
      </c>
      <c r="E581" s="458"/>
      <c r="F581" s="388"/>
      <c r="G581" s="76" t="s">
        <v>222</v>
      </c>
      <c r="H581" s="385">
        <v>2.0</v>
      </c>
      <c r="I581" s="386">
        <f>IF(G581="", "", IFERROR(VLOOKUP(G581, Products!A:F, 4, FALSE), ""))
</f>
        <v>80</v>
      </c>
      <c r="J581" s="405">
        <v>0.0</v>
      </c>
      <c r="K581" s="54">
        <f t="shared" si="17"/>
        <v>160</v>
      </c>
      <c r="L581" s="387">
        <v>10.0</v>
      </c>
      <c r="M581" s="138" t="s">
        <v>73</v>
      </c>
      <c r="N581" s="46">
        <f t="shared" si="18"/>
        <v>150</v>
      </c>
      <c r="O581" s="369" t="b">
        <v>0</v>
      </c>
      <c r="P581" s="369" t="b">
        <v>1</v>
      </c>
      <c r="Q581" s="387"/>
      <c r="R581" s="388"/>
      <c r="S581" s="65">
        <f t="shared" si="19"/>
        <v>150</v>
      </c>
      <c r="T581" s="369" t="b">
        <v>1</v>
      </c>
      <c r="U581" s="388"/>
      <c r="V581" s="391" t="b">
        <v>0</v>
      </c>
      <c r="W581" s="391" t="b">
        <v>0</v>
      </c>
      <c r="X581" s="391" t="b">
        <v>0</v>
      </c>
    </row>
    <row r="582" ht="24.0" customHeight="1">
      <c r="A582" s="457" t="s">
        <v>1394</v>
      </c>
      <c r="B582" s="383">
        <v>46208.68807002315</v>
      </c>
      <c r="C582" s="384" t="s">
        <v>1396</v>
      </c>
      <c r="D582" s="116" t="s">
        <v>416</v>
      </c>
      <c r="E582" s="458"/>
      <c r="F582" s="388"/>
      <c r="G582" s="457" t="s">
        <v>226</v>
      </c>
      <c r="H582" s="385">
        <v>2.0</v>
      </c>
      <c r="I582" s="386">
        <f>IF(G582="", "", IFERROR(VLOOKUP(G582, Products!A:F, 4, FALSE), ""))
</f>
        <v>100</v>
      </c>
      <c r="J582" s="405">
        <v>0.0</v>
      </c>
      <c r="K582" s="54">
        <f t="shared" si="17"/>
        <v>200</v>
      </c>
      <c r="L582" s="387">
        <v>200.0</v>
      </c>
      <c r="M582" s="138" t="s">
        <v>73</v>
      </c>
      <c r="N582" s="46">
        <f t="shared" si="18"/>
        <v>0</v>
      </c>
      <c r="O582" s="369" t="b">
        <v>0</v>
      </c>
      <c r="P582" s="369" t="b">
        <v>1</v>
      </c>
      <c r="Q582" s="387"/>
      <c r="R582" s="388"/>
      <c r="S582" s="65">
        <f t="shared" si="19"/>
        <v>0</v>
      </c>
      <c r="T582" s="369" t="b">
        <v>1</v>
      </c>
      <c r="U582" s="388"/>
      <c r="V582" s="391" t="b">
        <v>0</v>
      </c>
      <c r="W582" s="391" t="b">
        <v>0</v>
      </c>
      <c r="X582" s="391" t="b">
        <v>0</v>
      </c>
    </row>
    <row r="583" ht="24.0" customHeight="1">
      <c r="A583" s="457" t="s">
        <v>1394</v>
      </c>
      <c r="B583" s="383">
        <v>46208.68807002315</v>
      </c>
      <c r="C583" s="384" t="s">
        <v>1396</v>
      </c>
      <c r="D583" s="116" t="s">
        <v>416</v>
      </c>
      <c r="E583" s="458"/>
      <c r="F583" s="388"/>
      <c r="G583" s="457" t="s">
        <v>217</v>
      </c>
      <c r="H583" s="385">
        <v>2.0</v>
      </c>
      <c r="I583" s="386">
        <f>IF(G583="", "", IFERROR(VLOOKUP(G583, Products!A:F, 4, FALSE), ""))
</f>
        <v>80</v>
      </c>
      <c r="J583" s="405">
        <v>0.0</v>
      </c>
      <c r="K583" s="54">
        <f t="shared" si="17"/>
        <v>160</v>
      </c>
      <c r="L583" s="387"/>
      <c r="M583" s="138"/>
      <c r="N583" s="46">
        <f t="shared" si="18"/>
        <v>160</v>
      </c>
      <c r="O583" s="369" t="b">
        <v>0</v>
      </c>
      <c r="P583" s="369" t="b">
        <v>1</v>
      </c>
      <c r="Q583" s="387"/>
      <c r="R583" s="388"/>
      <c r="S583" s="65">
        <f t="shared" si="19"/>
        <v>160</v>
      </c>
      <c r="T583" s="369" t="b">
        <v>1</v>
      </c>
      <c r="U583" s="388"/>
      <c r="V583" s="391" t="b">
        <v>0</v>
      </c>
      <c r="W583" s="391" t="b">
        <v>0</v>
      </c>
      <c r="X583" s="391" t="b">
        <v>0</v>
      </c>
    </row>
    <row r="584" ht="24.0" customHeight="1">
      <c r="A584" s="457" t="s">
        <v>1394</v>
      </c>
      <c r="B584" s="383">
        <v>46208.68807002315</v>
      </c>
      <c r="C584" s="384" t="s">
        <v>1396</v>
      </c>
      <c r="D584" s="116" t="s">
        <v>416</v>
      </c>
      <c r="E584" s="458"/>
      <c r="F584" s="388"/>
      <c r="G584" s="457" t="s">
        <v>153</v>
      </c>
      <c r="H584" s="385">
        <v>2.0</v>
      </c>
      <c r="I584" s="386">
        <f>IF(G584="", "", IFERROR(VLOOKUP(G584, Products!A:F, 4, FALSE), ""))
</f>
        <v>80</v>
      </c>
      <c r="J584" s="405">
        <v>0.0</v>
      </c>
      <c r="K584" s="54">
        <f t="shared" si="17"/>
        <v>160</v>
      </c>
      <c r="L584" s="387"/>
      <c r="M584" s="138"/>
      <c r="N584" s="46">
        <f t="shared" si="18"/>
        <v>160</v>
      </c>
      <c r="O584" s="369" t="b">
        <v>0</v>
      </c>
      <c r="P584" s="369" t="b">
        <v>1</v>
      </c>
      <c r="Q584" s="387"/>
      <c r="R584" s="388"/>
      <c r="S584" s="65">
        <f t="shared" si="19"/>
        <v>160</v>
      </c>
      <c r="T584" s="369" t="b">
        <v>1</v>
      </c>
      <c r="U584" s="388"/>
      <c r="V584" s="391" t="b">
        <v>0</v>
      </c>
      <c r="W584" s="391" t="b">
        <v>0</v>
      </c>
      <c r="X584" s="391" t="b">
        <v>0</v>
      </c>
    </row>
    <row r="585" ht="24.0" customHeight="1">
      <c r="A585" s="457" t="s">
        <v>1397</v>
      </c>
      <c r="B585" s="383">
        <v>46208.689904548606</v>
      </c>
      <c r="C585" s="384" t="s">
        <v>1398</v>
      </c>
      <c r="D585" s="91" t="s">
        <v>263</v>
      </c>
      <c r="E585" s="399"/>
      <c r="F585" s="388"/>
      <c r="G585" s="457" t="s">
        <v>122</v>
      </c>
      <c r="H585" s="385">
        <v>1.0</v>
      </c>
      <c r="I585" s="386">
        <f>IF(G585="", "", IFERROR(VLOOKUP(G585, Products!A:F, 4, FALSE), ""))
</f>
        <v>80</v>
      </c>
      <c r="J585" s="405">
        <v>0.0</v>
      </c>
      <c r="K585" s="54">
        <f t="shared" si="17"/>
        <v>80</v>
      </c>
      <c r="L585" s="387"/>
      <c r="M585" s="138"/>
      <c r="N585" s="46">
        <f t="shared" si="18"/>
        <v>80</v>
      </c>
      <c r="O585" s="369" t="b">
        <v>1</v>
      </c>
      <c r="P585" s="369" t="b">
        <v>1</v>
      </c>
      <c r="Q585" s="387"/>
      <c r="R585" s="388"/>
      <c r="S585" s="65">
        <f t="shared" si="19"/>
        <v>80</v>
      </c>
      <c r="T585" s="369" t="b">
        <v>0</v>
      </c>
      <c r="U585" s="388"/>
      <c r="V585" s="391" t="b">
        <v>0</v>
      </c>
      <c r="W585" s="391" t="b">
        <v>0</v>
      </c>
      <c r="X585" s="391" t="b">
        <v>0</v>
      </c>
    </row>
    <row r="586" ht="24.0" customHeight="1">
      <c r="A586" s="457" t="s">
        <v>1397</v>
      </c>
      <c r="B586" s="383">
        <v>46208.689904548606</v>
      </c>
      <c r="C586" s="384" t="s">
        <v>1399</v>
      </c>
      <c r="D586" s="91" t="s">
        <v>263</v>
      </c>
      <c r="E586" s="458"/>
      <c r="F586" s="388"/>
      <c r="G586" s="457" t="s">
        <v>201</v>
      </c>
      <c r="H586" s="385">
        <v>1.0</v>
      </c>
      <c r="I586" s="386">
        <f>IF(G586="", "", IFERROR(VLOOKUP(G586, Products!A:F, 4, FALSE), ""))
</f>
        <v>80</v>
      </c>
      <c r="J586" s="405">
        <v>0.0</v>
      </c>
      <c r="K586" s="54">
        <f t="shared" si="17"/>
        <v>80</v>
      </c>
      <c r="L586" s="387"/>
      <c r="M586" s="138"/>
      <c r="N586" s="46">
        <f t="shared" si="18"/>
        <v>80</v>
      </c>
      <c r="O586" s="369" t="b">
        <v>1</v>
      </c>
      <c r="P586" s="369" t="b">
        <v>1</v>
      </c>
      <c r="Q586" s="387"/>
      <c r="R586" s="388"/>
      <c r="S586" s="65">
        <f t="shared" si="19"/>
        <v>80</v>
      </c>
      <c r="T586" s="369" t="b">
        <v>0</v>
      </c>
      <c r="U586" s="388"/>
      <c r="V586" s="391" t="b">
        <v>0</v>
      </c>
      <c r="W586" s="391" t="b">
        <v>0</v>
      </c>
      <c r="X586" s="391" t="b">
        <v>0</v>
      </c>
    </row>
    <row r="587" ht="24.0" customHeight="1">
      <c r="A587" s="457" t="s">
        <v>1397</v>
      </c>
      <c r="B587" s="383">
        <v>46208.689904548606</v>
      </c>
      <c r="C587" s="384" t="s">
        <v>1399</v>
      </c>
      <c r="D587" s="91" t="s">
        <v>263</v>
      </c>
      <c r="E587" s="458"/>
      <c r="F587" s="388"/>
      <c r="G587" s="457" t="s">
        <v>190</v>
      </c>
      <c r="H587" s="385">
        <v>1.0</v>
      </c>
      <c r="I587" s="386">
        <f>IF(G587="", "", IFERROR(VLOOKUP(G587, Products!A:F, 4, FALSE), ""))
</f>
        <v>200</v>
      </c>
      <c r="J587" s="405">
        <v>0.0</v>
      </c>
      <c r="K587" s="54">
        <f t="shared" si="17"/>
        <v>200</v>
      </c>
      <c r="L587" s="387">
        <v>200.0</v>
      </c>
      <c r="M587" s="138" t="s">
        <v>73</v>
      </c>
      <c r="N587" s="46">
        <f t="shared" si="18"/>
        <v>0</v>
      </c>
      <c r="O587" s="369" t="b">
        <v>1</v>
      </c>
      <c r="P587" s="369" t="b">
        <v>1</v>
      </c>
      <c r="Q587" s="387"/>
      <c r="R587" s="388"/>
      <c r="S587" s="65">
        <f t="shared" si="19"/>
        <v>0</v>
      </c>
      <c r="T587" s="369" t="b">
        <v>0</v>
      </c>
      <c r="U587" s="388"/>
      <c r="V587" s="391" t="b">
        <v>0</v>
      </c>
      <c r="W587" s="391" t="b">
        <v>0</v>
      </c>
      <c r="X587" s="391" t="b">
        <v>0</v>
      </c>
    </row>
    <row r="588" ht="24.0" customHeight="1">
      <c r="A588" s="457" t="s">
        <v>1397</v>
      </c>
      <c r="B588" s="383">
        <v>46208.689904548606</v>
      </c>
      <c r="C588" s="384" t="s">
        <v>1399</v>
      </c>
      <c r="D588" s="91" t="s">
        <v>263</v>
      </c>
      <c r="E588" s="458"/>
      <c r="F588" s="388"/>
      <c r="G588" s="457" t="s">
        <v>207</v>
      </c>
      <c r="H588" s="385">
        <v>1.0</v>
      </c>
      <c r="I588" s="386">
        <f>IF(G588="", "", IFERROR(VLOOKUP(G588, Products!A:F, 4, FALSE), ""))
</f>
        <v>80</v>
      </c>
      <c r="J588" s="405">
        <v>0.0</v>
      </c>
      <c r="K588" s="54">
        <f t="shared" si="17"/>
        <v>80</v>
      </c>
      <c r="L588" s="387"/>
      <c r="M588" s="138"/>
      <c r="N588" s="46">
        <f t="shared" si="18"/>
        <v>80</v>
      </c>
      <c r="O588" s="369" t="b">
        <v>1</v>
      </c>
      <c r="P588" s="369" t="b">
        <v>1</v>
      </c>
      <c r="Q588" s="387"/>
      <c r="R588" s="388"/>
      <c r="S588" s="65">
        <f t="shared" si="19"/>
        <v>80</v>
      </c>
      <c r="T588" s="369" t="b">
        <v>0</v>
      </c>
      <c r="U588" s="388"/>
      <c r="V588" s="391" t="b">
        <v>0</v>
      </c>
      <c r="W588" s="391" t="b">
        <v>0</v>
      </c>
      <c r="X588" s="391" t="b">
        <v>0</v>
      </c>
    </row>
    <row r="589" ht="24.0" customHeight="1">
      <c r="A589" s="457" t="s">
        <v>1397</v>
      </c>
      <c r="B589" s="383">
        <v>46208.689904548606</v>
      </c>
      <c r="C589" s="384" t="s">
        <v>1399</v>
      </c>
      <c r="D589" s="91" t="s">
        <v>263</v>
      </c>
      <c r="E589" s="458"/>
      <c r="F589" s="388"/>
      <c r="G589" s="457" t="s">
        <v>214</v>
      </c>
      <c r="H589" s="385">
        <v>1.0</v>
      </c>
      <c r="I589" s="386">
        <f>IF(G589="", "", IFERROR(VLOOKUP(G589, Products!A:F, 4, FALSE), ""))
</f>
        <v>120</v>
      </c>
      <c r="J589" s="405">
        <v>0.0</v>
      </c>
      <c r="K589" s="54">
        <f t="shared" si="17"/>
        <v>120</v>
      </c>
      <c r="L589" s="387">
        <v>100.0</v>
      </c>
      <c r="M589" s="138" t="s">
        <v>73</v>
      </c>
      <c r="N589" s="46">
        <f t="shared" si="18"/>
        <v>20</v>
      </c>
      <c r="O589" s="369" t="b">
        <v>1</v>
      </c>
      <c r="P589" s="369" t="b">
        <v>1</v>
      </c>
      <c r="Q589" s="387"/>
      <c r="R589" s="388"/>
      <c r="S589" s="65">
        <f t="shared" si="19"/>
        <v>20</v>
      </c>
      <c r="T589" s="369" t="b">
        <v>0</v>
      </c>
      <c r="U589" s="388"/>
      <c r="V589" s="391" t="b">
        <v>0</v>
      </c>
      <c r="W589" s="391" t="b">
        <v>0</v>
      </c>
      <c r="X589" s="391" t="b">
        <v>0</v>
      </c>
    </row>
    <row r="590" ht="24.0" customHeight="1">
      <c r="A590" s="457" t="s">
        <v>1397</v>
      </c>
      <c r="B590" s="383">
        <v>46208.689904548606</v>
      </c>
      <c r="C590" s="384" t="s">
        <v>1399</v>
      </c>
      <c r="D590" s="91" t="s">
        <v>263</v>
      </c>
      <c r="E590" s="458"/>
      <c r="F590" s="388"/>
      <c r="G590" s="457" t="s">
        <v>210</v>
      </c>
      <c r="H590" s="385">
        <v>1.0</v>
      </c>
      <c r="I590" s="386">
        <f>IF(G590="", "", IFERROR(VLOOKUP(G590, Products!A:F, 4, FALSE), ""))
</f>
        <v>80</v>
      </c>
      <c r="J590" s="405">
        <v>0.0</v>
      </c>
      <c r="K590" s="54">
        <f t="shared" si="17"/>
        <v>80</v>
      </c>
      <c r="L590" s="387">
        <v>80.0</v>
      </c>
      <c r="M590" s="138" t="s">
        <v>73</v>
      </c>
      <c r="N590" s="46">
        <f t="shared" si="18"/>
        <v>0</v>
      </c>
      <c r="O590" s="369" t="b">
        <v>1</v>
      </c>
      <c r="P590" s="369" t="b">
        <v>1</v>
      </c>
      <c r="Q590" s="387"/>
      <c r="R590" s="388"/>
      <c r="S590" s="65">
        <f t="shared" si="19"/>
        <v>0</v>
      </c>
      <c r="T590" s="369" t="b">
        <v>0</v>
      </c>
      <c r="U590" s="388"/>
      <c r="V590" s="391" t="b">
        <v>0</v>
      </c>
      <c r="W590" s="391" t="b">
        <v>0</v>
      </c>
      <c r="X590" s="391" t="b">
        <v>0</v>
      </c>
    </row>
    <row r="591" ht="24.0" customHeight="1">
      <c r="A591" s="457" t="s">
        <v>1397</v>
      </c>
      <c r="B591" s="383">
        <v>46208.689904548606</v>
      </c>
      <c r="C591" s="384" t="s">
        <v>1399</v>
      </c>
      <c r="D591" s="91" t="s">
        <v>263</v>
      </c>
      <c r="E591" s="458"/>
      <c r="F591" s="388"/>
      <c r="G591" s="457" t="s">
        <v>212</v>
      </c>
      <c r="H591" s="385">
        <v>1.0</v>
      </c>
      <c r="I591" s="386">
        <f>IF(G591="", "", IFERROR(VLOOKUP(G591, Products!A:F, 4, FALSE), ""))
</f>
        <v>80</v>
      </c>
      <c r="J591" s="405">
        <v>0.0</v>
      </c>
      <c r="K591" s="54">
        <f t="shared" si="17"/>
        <v>80</v>
      </c>
      <c r="L591" s="387"/>
      <c r="M591" s="138" t="s">
        <v>73</v>
      </c>
      <c r="N591" s="46">
        <f t="shared" si="18"/>
        <v>80</v>
      </c>
      <c r="O591" s="369" t="b">
        <v>1</v>
      </c>
      <c r="P591" s="369" t="b">
        <v>1</v>
      </c>
      <c r="Q591" s="387"/>
      <c r="R591" s="388"/>
      <c r="S591" s="65">
        <f t="shared" si="19"/>
        <v>80</v>
      </c>
      <c r="T591" s="369" t="b">
        <v>0</v>
      </c>
      <c r="U591" s="388"/>
      <c r="V591" s="391" t="b">
        <v>0</v>
      </c>
      <c r="W591" s="391" t="b">
        <v>0</v>
      </c>
      <c r="X591" s="391" t="b">
        <v>0</v>
      </c>
    </row>
    <row r="592" ht="24.0" customHeight="1">
      <c r="A592" s="457" t="s">
        <v>1400</v>
      </c>
      <c r="B592" s="383">
        <v>46210.66783372685</v>
      </c>
      <c r="C592" s="384" t="s">
        <v>1357</v>
      </c>
      <c r="D592" s="116" t="s">
        <v>93</v>
      </c>
      <c r="E592" s="116" t="s">
        <v>162</v>
      </c>
      <c r="F592" s="388"/>
      <c r="G592" s="76" t="s">
        <v>237</v>
      </c>
      <c r="H592" s="385">
        <v>50.0</v>
      </c>
      <c r="I592" s="386">
        <v>15.0</v>
      </c>
      <c r="J592" s="405">
        <v>0.0</v>
      </c>
      <c r="K592" s="54">
        <f t="shared" si="17"/>
        <v>750</v>
      </c>
      <c r="L592" s="387"/>
      <c r="M592" s="138"/>
      <c r="N592" s="46">
        <f t="shared" si="18"/>
        <v>750</v>
      </c>
      <c r="O592" s="369" t="b">
        <v>1</v>
      </c>
      <c r="P592" s="369" t="b">
        <v>1</v>
      </c>
      <c r="Q592" s="387"/>
      <c r="R592" s="388"/>
      <c r="S592" s="65">
        <f t="shared" si="19"/>
        <v>750</v>
      </c>
      <c r="T592" s="369" t="b">
        <v>0</v>
      </c>
      <c r="U592" s="388"/>
      <c r="V592" s="391" t="b">
        <v>0</v>
      </c>
      <c r="W592" s="391" t="b">
        <v>0</v>
      </c>
      <c r="X592" s="391" t="b">
        <v>0</v>
      </c>
    </row>
    <row r="593" ht="24.0" customHeight="1">
      <c r="A593" s="457" t="s">
        <v>1401</v>
      </c>
      <c r="B593" s="383">
        <v>46215.56940396991</v>
      </c>
      <c r="C593" s="384" t="s">
        <v>1402</v>
      </c>
      <c r="D593" s="116" t="s">
        <v>78</v>
      </c>
      <c r="E593" s="116" t="s">
        <v>239</v>
      </c>
      <c r="F593" s="388"/>
      <c r="G593" s="76" t="s">
        <v>222</v>
      </c>
      <c r="H593" s="385">
        <v>1.0</v>
      </c>
      <c r="I593" s="386">
        <f>IF(G593="", "", IFERROR(VLOOKUP(G593, Products!A:F, 4, FALSE), ""))
</f>
        <v>80</v>
      </c>
      <c r="J593" s="405">
        <v>0.0</v>
      </c>
      <c r="K593" s="54">
        <f t="shared" si="17"/>
        <v>80</v>
      </c>
      <c r="L593" s="387">
        <v>80.0</v>
      </c>
      <c r="M593" s="138" t="s">
        <v>73</v>
      </c>
      <c r="N593" s="46">
        <f t="shared" si="18"/>
        <v>0</v>
      </c>
      <c r="O593" s="369" t="b">
        <v>1</v>
      </c>
      <c r="P593" s="369" t="b">
        <v>1</v>
      </c>
      <c r="Q593" s="387"/>
      <c r="R593" s="388"/>
      <c r="S593" s="65">
        <f t="shared" si="19"/>
        <v>0</v>
      </c>
      <c r="T593" s="369" t="b">
        <v>1</v>
      </c>
      <c r="U593" s="388"/>
      <c r="V593" s="391" t="b">
        <v>0</v>
      </c>
      <c r="W593" s="391" t="b">
        <v>0</v>
      </c>
      <c r="X593" s="391" t="b">
        <v>0</v>
      </c>
    </row>
    <row r="594" ht="24.0" customHeight="1">
      <c r="A594" s="457" t="s">
        <v>1403</v>
      </c>
      <c r="B594" s="383">
        <v>46215.57022689815</v>
      </c>
      <c r="C594" s="384" t="s">
        <v>1404</v>
      </c>
      <c r="D594" s="116" t="s">
        <v>93</v>
      </c>
      <c r="E594" s="116" t="s">
        <v>568</v>
      </c>
      <c r="F594" s="388"/>
      <c r="G594" s="457" t="s">
        <v>201</v>
      </c>
      <c r="H594" s="385">
        <v>4.0</v>
      </c>
      <c r="I594" s="386">
        <f>IF(G594="", "", IFERROR(VLOOKUP(G594, Products!A:F, 4, FALSE), ""))
</f>
        <v>80</v>
      </c>
      <c r="J594" s="405">
        <v>0.0</v>
      </c>
      <c r="K594" s="54">
        <f t="shared" si="17"/>
        <v>320</v>
      </c>
      <c r="L594" s="387">
        <v>475.0</v>
      </c>
      <c r="M594" s="138" t="s">
        <v>73</v>
      </c>
      <c r="N594" s="46">
        <f t="shared" si="18"/>
        <v>-155</v>
      </c>
      <c r="O594" s="369" t="b">
        <v>1</v>
      </c>
      <c r="P594" s="369" t="b">
        <v>1</v>
      </c>
      <c r="Q594" s="387"/>
      <c r="R594" s="388"/>
      <c r="S594" s="65">
        <f t="shared" si="19"/>
        <v>-155</v>
      </c>
      <c r="T594" s="369" t="b">
        <v>1</v>
      </c>
      <c r="U594" s="388"/>
      <c r="V594" s="391" t="b">
        <v>0</v>
      </c>
      <c r="W594" s="391" t="b">
        <v>0</v>
      </c>
      <c r="X594" s="391" t="b">
        <v>0</v>
      </c>
    </row>
    <row r="595" ht="24.0" customHeight="1">
      <c r="A595" s="457" t="s">
        <v>1405</v>
      </c>
      <c r="B595" s="383">
        <v>46215.57202364583</v>
      </c>
      <c r="C595" s="384" t="s">
        <v>1406</v>
      </c>
      <c r="D595" s="116" t="s">
        <v>243</v>
      </c>
      <c r="E595" s="399"/>
      <c r="F595" s="388"/>
      <c r="G595" s="457" t="s">
        <v>63</v>
      </c>
      <c r="H595" s="385">
        <v>1.0</v>
      </c>
      <c r="I595" s="386">
        <f>IF(G595="", "", IFERROR(VLOOKUP(G595, Products!A:F, 4, FALSE), ""))
</f>
        <v>850</v>
      </c>
      <c r="J595" s="405">
        <v>0.0</v>
      </c>
      <c r="K595" s="54">
        <f t="shared" si="17"/>
        <v>850</v>
      </c>
      <c r="L595" s="387">
        <v>850.0</v>
      </c>
      <c r="M595" s="138" t="s">
        <v>73</v>
      </c>
      <c r="N595" s="46">
        <f t="shared" si="18"/>
        <v>0</v>
      </c>
      <c r="O595" s="369" t="b">
        <v>0</v>
      </c>
      <c r="P595" s="369" t="b">
        <v>0</v>
      </c>
      <c r="Q595" s="387"/>
      <c r="R595" s="138" t="s">
        <v>687</v>
      </c>
      <c r="S595" s="65">
        <f t="shared" si="19"/>
        <v>0</v>
      </c>
      <c r="T595" s="369" t="b">
        <v>1</v>
      </c>
      <c r="U595" s="138" t="s">
        <v>687</v>
      </c>
      <c r="V595" s="369" t="b">
        <v>0</v>
      </c>
      <c r="W595" s="369" t="b">
        <v>0</v>
      </c>
      <c r="X595" s="369" t="b">
        <v>0</v>
      </c>
    </row>
    <row r="596" ht="24.0" customHeight="1">
      <c r="A596" s="457" t="s">
        <v>1405</v>
      </c>
      <c r="B596" s="383">
        <v>46215.57202364583</v>
      </c>
      <c r="C596" s="384" t="s">
        <v>1407</v>
      </c>
      <c r="D596" s="116" t="s">
        <v>243</v>
      </c>
      <c r="E596" s="458"/>
      <c r="F596" s="388"/>
      <c r="G596" s="457" t="s">
        <v>122</v>
      </c>
      <c r="H596" s="385">
        <v>6.0</v>
      </c>
      <c r="I596" s="386">
        <f>IF(G596="", "", IFERROR(VLOOKUP(G596, Products!A:F, 4, FALSE), ""))
</f>
        <v>80</v>
      </c>
      <c r="J596" s="405">
        <v>0.0</v>
      </c>
      <c r="K596" s="54">
        <f t="shared" si="17"/>
        <v>480</v>
      </c>
      <c r="L596" s="387">
        <v>480.0</v>
      </c>
      <c r="M596" s="138" t="s">
        <v>73</v>
      </c>
      <c r="N596" s="46">
        <f t="shared" si="18"/>
        <v>0</v>
      </c>
      <c r="O596" s="369" t="b">
        <v>0</v>
      </c>
      <c r="P596" s="369" t="b">
        <v>0</v>
      </c>
      <c r="Q596" s="387"/>
      <c r="R596" s="138" t="s">
        <v>687</v>
      </c>
      <c r="S596" s="65">
        <f t="shared" si="19"/>
        <v>0</v>
      </c>
      <c r="T596" s="369" t="b">
        <v>1</v>
      </c>
      <c r="U596" s="138" t="s">
        <v>687</v>
      </c>
      <c r="V596" s="369" t="b">
        <v>0</v>
      </c>
      <c r="W596" s="369" t="b">
        <v>0</v>
      </c>
      <c r="X596" s="369" t="b">
        <v>0</v>
      </c>
    </row>
    <row r="597" ht="24.0" customHeight="1">
      <c r="A597" s="457" t="s">
        <v>1408</v>
      </c>
      <c r="B597" s="383">
        <v>46215.57333247685</v>
      </c>
      <c r="C597" s="384" t="s">
        <v>1409</v>
      </c>
      <c r="D597" s="116" t="s">
        <v>93</v>
      </c>
      <c r="E597" s="116" t="s">
        <v>156</v>
      </c>
      <c r="F597" s="388"/>
      <c r="G597" s="457" t="s">
        <v>226</v>
      </c>
      <c r="H597" s="385">
        <v>3.0</v>
      </c>
      <c r="I597" s="386">
        <f>IF(G597="", "", IFERROR(VLOOKUP(G597, Products!A:F, 4, FALSE), ""))
</f>
        <v>100</v>
      </c>
      <c r="J597" s="405">
        <v>0.0</v>
      </c>
      <c r="K597" s="54">
        <f t="shared" si="17"/>
        <v>300</v>
      </c>
      <c r="L597" s="387">
        <v>150.0</v>
      </c>
      <c r="M597" s="138" t="s">
        <v>73</v>
      </c>
      <c r="N597" s="46">
        <f t="shared" si="18"/>
        <v>150</v>
      </c>
      <c r="O597" s="369" t="b">
        <v>1</v>
      </c>
      <c r="P597" s="495" t="b">
        <v>1</v>
      </c>
      <c r="Q597" s="387"/>
      <c r="R597" s="388"/>
      <c r="S597" s="65">
        <f t="shared" si="19"/>
        <v>150</v>
      </c>
      <c r="T597" s="369" t="b">
        <v>0</v>
      </c>
      <c r="U597" s="388"/>
      <c r="V597" s="391" t="b">
        <v>0</v>
      </c>
      <c r="W597" s="391" t="b">
        <v>0</v>
      </c>
      <c r="X597" s="391" t="b">
        <v>0</v>
      </c>
    </row>
    <row r="598" ht="24.0" customHeight="1">
      <c r="A598" s="457" t="s">
        <v>1410</v>
      </c>
      <c r="B598" s="383">
        <v>46215.57441627315</v>
      </c>
      <c r="C598" s="384" t="s">
        <v>1411</v>
      </c>
      <c r="D598" s="116" t="s">
        <v>93</v>
      </c>
      <c r="E598" s="116" t="s">
        <v>617</v>
      </c>
      <c r="F598" s="388"/>
      <c r="G598" s="457" t="s">
        <v>190</v>
      </c>
      <c r="H598" s="385">
        <v>2.0</v>
      </c>
      <c r="I598" s="386">
        <f>IF(G598="", "", IFERROR(VLOOKUP(G598, Products!A:F, 4, FALSE), ""))
</f>
        <v>200</v>
      </c>
      <c r="J598" s="405">
        <v>0.0</v>
      </c>
      <c r="K598" s="54">
        <f t="shared" si="17"/>
        <v>400</v>
      </c>
      <c r="L598" s="387">
        <v>200.0</v>
      </c>
      <c r="M598" s="138" t="s">
        <v>73</v>
      </c>
      <c r="N598" s="46">
        <f t="shared" si="18"/>
        <v>200</v>
      </c>
      <c r="O598" s="369" t="b">
        <v>1</v>
      </c>
      <c r="P598" s="369" t="b">
        <v>1</v>
      </c>
      <c r="Q598" s="387"/>
      <c r="R598" s="388"/>
      <c r="S598" s="65">
        <f t="shared" si="19"/>
        <v>200</v>
      </c>
      <c r="T598" s="369" t="b">
        <v>0</v>
      </c>
      <c r="U598" s="388"/>
      <c r="V598" s="391" t="b">
        <v>0</v>
      </c>
      <c r="W598" s="391" t="b">
        <v>0</v>
      </c>
      <c r="X598" s="391" t="b">
        <v>0</v>
      </c>
    </row>
    <row r="599" ht="24.0" customHeight="1">
      <c r="A599" s="457" t="s">
        <v>1412</v>
      </c>
      <c r="B599" s="383">
        <v>46215.579638043986</v>
      </c>
      <c r="C599" s="384" t="s">
        <v>1413</v>
      </c>
      <c r="D599" s="116" t="s">
        <v>53</v>
      </c>
      <c r="E599" s="116" t="s">
        <v>620</v>
      </c>
      <c r="F599" s="388"/>
      <c r="G599" s="457" t="s">
        <v>205</v>
      </c>
      <c r="H599" s="385">
        <v>3.0</v>
      </c>
      <c r="I599" s="386">
        <f>IF(G599="", "", IFERROR(VLOOKUP(G599, Products!A:F, 4, FALSE), ""))
</f>
        <v>100</v>
      </c>
      <c r="J599" s="405">
        <v>0.0</v>
      </c>
      <c r="K599" s="54">
        <f t="shared" si="17"/>
        <v>300</v>
      </c>
      <c r="L599" s="387">
        <v>300.0</v>
      </c>
      <c r="M599" s="138" t="s">
        <v>73</v>
      </c>
      <c r="N599" s="46">
        <f t="shared" si="18"/>
        <v>0</v>
      </c>
      <c r="O599" s="369" t="b">
        <v>1</v>
      </c>
      <c r="P599" s="369" t="b">
        <v>1</v>
      </c>
      <c r="Q599" s="387"/>
      <c r="R599" s="388"/>
      <c r="S599" s="65">
        <f t="shared" si="19"/>
        <v>0</v>
      </c>
      <c r="T599" s="369" t="b">
        <v>1</v>
      </c>
      <c r="U599" s="388"/>
      <c r="V599" s="391" t="b">
        <v>0</v>
      </c>
      <c r="W599" s="391" t="b">
        <v>0</v>
      </c>
      <c r="X599" s="391" t="b">
        <v>0</v>
      </c>
    </row>
    <row r="600" ht="24.0" customHeight="1">
      <c r="A600" s="480" t="s">
        <v>1414</v>
      </c>
      <c r="B600" s="481">
        <v>46215.58065217592</v>
      </c>
      <c r="C600" s="482" t="s">
        <v>1415</v>
      </c>
      <c r="D600" s="483" t="s">
        <v>78</v>
      </c>
      <c r="E600" s="483" t="s">
        <v>574</v>
      </c>
      <c r="F600" s="492"/>
      <c r="G600" s="480" t="s">
        <v>210</v>
      </c>
      <c r="H600" s="485">
        <v>4.0</v>
      </c>
      <c r="I600" s="486">
        <f>IF(G600="", "", IFERROR(VLOOKUP(G600, Products!A:F, 4, FALSE), ""))
</f>
        <v>80</v>
      </c>
      <c r="J600" s="486">
        <v>0.0</v>
      </c>
      <c r="K600" s="487">
        <f t="shared" si="17"/>
        <v>320</v>
      </c>
      <c r="L600" s="488">
        <v>160.0</v>
      </c>
      <c r="M600" s="484"/>
      <c r="N600" s="489">
        <f t="shared" si="18"/>
        <v>160</v>
      </c>
      <c r="O600" s="490" t="b">
        <v>1</v>
      </c>
      <c r="P600" s="490" t="b">
        <v>0</v>
      </c>
      <c r="Q600" s="488"/>
      <c r="R600" s="492"/>
      <c r="S600" s="491">
        <f t="shared" si="19"/>
        <v>160</v>
      </c>
      <c r="T600" s="490" t="b">
        <v>0</v>
      </c>
      <c r="U600" s="492"/>
      <c r="V600" s="493" t="b">
        <v>0</v>
      </c>
      <c r="W600" s="493" t="b">
        <v>0</v>
      </c>
      <c r="X600" s="493" t="b">
        <v>0</v>
      </c>
    </row>
    <row r="601" ht="24.0" customHeight="1">
      <c r="A601" s="457" t="s">
        <v>1416</v>
      </c>
      <c r="B601" s="383">
        <v>46215.581698912036</v>
      </c>
      <c r="C601" s="384" t="s">
        <v>1417</v>
      </c>
      <c r="D601" s="91" t="s">
        <v>188</v>
      </c>
      <c r="E601" s="92"/>
      <c r="F601" s="388"/>
      <c r="G601" s="457" t="s">
        <v>210</v>
      </c>
      <c r="H601" s="385">
        <v>4.0</v>
      </c>
      <c r="I601" s="386">
        <f>IF(G601="", "", IFERROR(VLOOKUP(G601, Products!A:F, 4, FALSE), ""))
</f>
        <v>80</v>
      </c>
      <c r="J601" s="405">
        <v>0.0</v>
      </c>
      <c r="K601" s="54">
        <f t="shared" si="17"/>
        <v>320</v>
      </c>
      <c r="L601" s="387">
        <v>210.0</v>
      </c>
      <c r="M601" s="138" t="s">
        <v>73</v>
      </c>
      <c r="N601" s="46">
        <f t="shared" si="18"/>
        <v>110</v>
      </c>
      <c r="O601" s="369" t="b">
        <v>1</v>
      </c>
      <c r="P601" s="369" t="b">
        <v>1</v>
      </c>
      <c r="Q601" s="387"/>
      <c r="R601" s="388"/>
      <c r="S601" s="65">
        <f t="shared" si="19"/>
        <v>110</v>
      </c>
      <c r="T601" s="369" t="b">
        <v>0</v>
      </c>
      <c r="U601" s="388"/>
      <c r="V601" s="391" t="b">
        <v>0</v>
      </c>
      <c r="W601" s="391" t="b">
        <v>0</v>
      </c>
      <c r="X601" s="391" t="b">
        <v>0</v>
      </c>
    </row>
    <row r="602" ht="24.0" customHeight="1">
      <c r="A602" s="457" t="s">
        <v>436</v>
      </c>
      <c r="B602" s="383">
        <v>46215.58251392361</v>
      </c>
      <c r="C602" s="384" t="s">
        <v>1216</v>
      </c>
      <c r="D602" s="116" t="s">
        <v>53</v>
      </c>
      <c r="E602" s="116" t="s">
        <v>586</v>
      </c>
      <c r="F602" s="388"/>
      <c r="G602" s="76" t="s">
        <v>222</v>
      </c>
      <c r="H602" s="385">
        <v>2.0</v>
      </c>
      <c r="I602" s="386">
        <f>IF(G602="", "", IFERROR(VLOOKUP(G602, Products!A:F, 4, FALSE), ""))
</f>
        <v>80</v>
      </c>
      <c r="J602" s="405">
        <v>0.0</v>
      </c>
      <c r="K602" s="54">
        <f t="shared" si="17"/>
        <v>160</v>
      </c>
      <c r="L602" s="387">
        <v>80.0</v>
      </c>
      <c r="M602" s="138" t="s">
        <v>73</v>
      </c>
      <c r="N602" s="46">
        <f t="shared" si="18"/>
        <v>80</v>
      </c>
      <c r="O602" s="369" t="b">
        <v>1</v>
      </c>
      <c r="P602" s="369" t="b">
        <v>1</v>
      </c>
      <c r="Q602" s="387"/>
      <c r="R602" s="388"/>
      <c r="S602" s="65">
        <f t="shared" si="19"/>
        <v>80</v>
      </c>
      <c r="T602" s="369" t="b">
        <v>1</v>
      </c>
      <c r="U602" s="388"/>
      <c r="V602" s="391" t="b">
        <v>0</v>
      </c>
      <c r="W602" s="391" t="b">
        <v>0</v>
      </c>
      <c r="X602" s="391" t="b">
        <v>0</v>
      </c>
    </row>
    <row r="603" ht="24.0" customHeight="1">
      <c r="A603" s="457" t="s">
        <v>1418</v>
      </c>
      <c r="B603" s="383">
        <v>46215.58329155092</v>
      </c>
      <c r="C603" s="384" t="s">
        <v>1419</v>
      </c>
      <c r="D603" s="116" t="s">
        <v>416</v>
      </c>
      <c r="E603" s="399"/>
      <c r="F603" s="388"/>
      <c r="G603" s="457" t="s">
        <v>187</v>
      </c>
      <c r="H603" s="385">
        <v>2.0</v>
      </c>
      <c r="I603" s="386">
        <f>IF(G603="", "", IFERROR(VLOOKUP(G603, Products!A:F, 4, FALSE), ""))
</f>
        <v>400</v>
      </c>
      <c r="J603" s="405">
        <v>0.0</v>
      </c>
      <c r="K603" s="54">
        <f t="shared" si="17"/>
        <v>800</v>
      </c>
      <c r="L603" s="387"/>
      <c r="M603" s="138"/>
      <c r="N603" s="46">
        <f t="shared" si="18"/>
        <v>800</v>
      </c>
      <c r="O603" s="369" t="b">
        <v>1</v>
      </c>
      <c r="P603" s="369" t="b">
        <v>1</v>
      </c>
      <c r="Q603" s="387"/>
      <c r="R603" s="388"/>
      <c r="S603" s="65">
        <f t="shared" si="19"/>
        <v>800</v>
      </c>
      <c r="T603" s="369" t="b">
        <v>0</v>
      </c>
      <c r="U603" s="388"/>
      <c r="V603" s="391" t="b">
        <v>0</v>
      </c>
      <c r="W603" s="391" t="b">
        <v>0</v>
      </c>
      <c r="X603" s="391" t="b">
        <v>0</v>
      </c>
    </row>
    <row r="604" ht="24.0" customHeight="1">
      <c r="A604" s="457" t="s">
        <v>1418</v>
      </c>
      <c r="B604" s="383">
        <v>46215.58329155092</v>
      </c>
      <c r="C604" s="384" t="s">
        <v>1420</v>
      </c>
      <c r="D604" s="116" t="s">
        <v>416</v>
      </c>
      <c r="E604" s="458"/>
      <c r="F604" s="388"/>
      <c r="G604" s="457" t="s">
        <v>190</v>
      </c>
      <c r="H604" s="385">
        <v>2.0</v>
      </c>
      <c r="I604" s="386">
        <f>IF(G604="", "", IFERROR(VLOOKUP(G604, Products!A:F, 4, FALSE), ""))
</f>
        <v>200</v>
      </c>
      <c r="J604" s="405">
        <v>0.0</v>
      </c>
      <c r="K604" s="54">
        <f t="shared" si="17"/>
        <v>400</v>
      </c>
      <c r="L604" s="387"/>
      <c r="M604" s="138"/>
      <c r="N604" s="46">
        <f t="shared" si="18"/>
        <v>400</v>
      </c>
      <c r="O604" s="369" t="b">
        <v>1</v>
      </c>
      <c r="P604" s="369" t="b">
        <v>1</v>
      </c>
      <c r="Q604" s="387"/>
      <c r="R604" s="388"/>
      <c r="S604" s="65">
        <f t="shared" si="19"/>
        <v>400</v>
      </c>
      <c r="T604" s="369" t="b">
        <v>0</v>
      </c>
      <c r="U604" s="388"/>
      <c r="V604" s="391" t="b">
        <v>0</v>
      </c>
      <c r="W604" s="391" t="b">
        <v>0</v>
      </c>
      <c r="X604" s="391" t="b">
        <v>0</v>
      </c>
    </row>
    <row r="605" ht="24.0" customHeight="1">
      <c r="A605" s="457" t="s">
        <v>1418</v>
      </c>
      <c r="B605" s="383">
        <v>46215.58329155092</v>
      </c>
      <c r="C605" s="384" t="s">
        <v>1420</v>
      </c>
      <c r="D605" s="116" t="s">
        <v>416</v>
      </c>
      <c r="E605" s="458"/>
      <c r="F605" s="388"/>
      <c r="G605" s="457" t="s">
        <v>122</v>
      </c>
      <c r="H605" s="385">
        <v>2.0</v>
      </c>
      <c r="I605" s="386">
        <f>IF(G605="", "", IFERROR(VLOOKUP(G605, Products!A:F, 4, FALSE), ""))
</f>
        <v>80</v>
      </c>
      <c r="J605" s="405">
        <v>0.0</v>
      </c>
      <c r="K605" s="54">
        <f t="shared" si="17"/>
        <v>160</v>
      </c>
      <c r="L605" s="387"/>
      <c r="M605" s="138"/>
      <c r="N605" s="46">
        <f t="shared" si="18"/>
        <v>160</v>
      </c>
      <c r="O605" s="369" t="b">
        <v>1</v>
      </c>
      <c r="P605" s="369" t="b">
        <v>1</v>
      </c>
      <c r="Q605" s="387"/>
      <c r="R605" s="388"/>
      <c r="S605" s="65">
        <f t="shared" si="19"/>
        <v>160</v>
      </c>
      <c r="T605" s="369" t="b">
        <v>0</v>
      </c>
      <c r="U605" s="388"/>
      <c r="V605" s="391" t="b">
        <v>0</v>
      </c>
      <c r="W605" s="391" t="b">
        <v>0</v>
      </c>
      <c r="X605" s="391" t="b">
        <v>0</v>
      </c>
    </row>
    <row r="606" ht="24.0" customHeight="1">
      <c r="A606" s="457" t="s">
        <v>1418</v>
      </c>
      <c r="B606" s="383">
        <v>46215.58329155092</v>
      </c>
      <c r="C606" s="384" t="s">
        <v>1420</v>
      </c>
      <c r="D606" s="116" t="s">
        <v>416</v>
      </c>
      <c r="E606" s="458"/>
      <c r="F606" s="388"/>
      <c r="G606" s="457" t="s">
        <v>207</v>
      </c>
      <c r="H606" s="385">
        <v>2.0</v>
      </c>
      <c r="I606" s="386">
        <f>IF(G606="", "", IFERROR(VLOOKUP(G606, Products!A:F, 4, FALSE), ""))
</f>
        <v>80</v>
      </c>
      <c r="J606" s="405">
        <v>0.0</v>
      </c>
      <c r="K606" s="54">
        <f t="shared" si="17"/>
        <v>160</v>
      </c>
      <c r="L606" s="387"/>
      <c r="M606" s="138"/>
      <c r="N606" s="46">
        <f t="shared" si="18"/>
        <v>160</v>
      </c>
      <c r="O606" s="369" t="b">
        <v>1</v>
      </c>
      <c r="P606" s="369" t="b">
        <v>1</v>
      </c>
      <c r="Q606" s="387"/>
      <c r="R606" s="388"/>
      <c r="S606" s="65">
        <f t="shared" si="19"/>
        <v>160</v>
      </c>
      <c r="T606" s="369" t="b">
        <v>0</v>
      </c>
      <c r="U606" s="388"/>
      <c r="V606" s="391" t="b">
        <v>0</v>
      </c>
      <c r="W606" s="391" t="b">
        <v>0</v>
      </c>
      <c r="X606" s="391" t="b">
        <v>0</v>
      </c>
    </row>
    <row r="607" ht="24.0" customHeight="1">
      <c r="A607" s="457" t="s">
        <v>1418</v>
      </c>
      <c r="B607" s="383">
        <v>46215.58329155092</v>
      </c>
      <c r="C607" s="384" t="s">
        <v>1420</v>
      </c>
      <c r="D607" s="116" t="s">
        <v>416</v>
      </c>
      <c r="E607" s="458"/>
      <c r="F607" s="388"/>
      <c r="G607" s="76" t="s">
        <v>237</v>
      </c>
      <c r="H607" s="385">
        <v>5.0</v>
      </c>
      <c r="I607" s="386">
        <f>IF(G607="", "", IFERROR(VLOOKUP(G607, Products!A:F, 4, FALSE), ""))
</f>
        <v>15</v>
      </c>
      <c r="J607" s="405">
        <v>0.0</v>
      </c>
      <c r="K607" s="54">
        <f t="shared" si="17"/>
        <v>75</v>
      </c>
      <c r="L607" s="387"/>
      <c r="M607" s="138"/>
      <c r="N607" s="46">
        <f t="shared" si="18"/>
        <v>75</v>
      </c>
      <c r="O607" s="369" t="b">
        <v>1</v>
      </c>
      <c r="P607" s="369" t="b">
        <v>1</v>
      </c>
      <c r="Q607" s="387"/>
      <c r="R607" s="388"/>
      <c r="S607" s="65">
        <f t="shared" si="19"/>
        <v>75</v>
      </c>
      <c r="T607" s="369" t="b">
        <v>0</v>
      </c>
      <c r="U607" s="388"/>
      <c r="V607" s="391" t="b">
        <v>0</v>
      </c>
      <c r="W607" s="391" t="b">
        <v>0</v>
      </c>
      <c r="X607" s="391" t="b">
        <v>0</v>
      </c>
    </row>
    <row r="608" ht="24.0" customHeight="1">
      <c r="A608" s="457" t="s">
        <v>1421</v>
      </c>
      <c r="B608" s="383">
        <v>46215.584932314814</v>
      </c>
      <c r="C608" s="384" t="s">
        <v>1422</v>
      </c>
      <c r="D608" s="116" t="s">
        <v>78</v>
      </c>
      <c r="E608" s="116" t="s">
        <v>159</v>
      </c>
      <c r="F608" s="388"/>
      <c r="G608" s="76" t="s">
        <v>222</v>
      </c>
      <c r="H608" s="385">
        <v>1.0</v>
      </c>
      <c r="I608" s="386">
        <f>IF(G608="", "", IFERROR(VLOOKUP(G608, Products!A:F, 4, FALSE), ""))
</f>
        <v>80</v>
      </c>
      <c r="J608" s="405">
        <v>0.0</v>
      </c>
      <c r="K608" s="54">
        <f t="shared" si="17"/>
        <v>80</v>
      </c>
      <c r="L608" s="387">
        <v>80.0</v>
      </c>
      <c r="M608" s="138" t="s">
        <v>73</v>
      </c>
      <c r="N608" s="46">
        <f t="shared" si="18"/>
        <v>0</v>
      </c>
      <c r="O608" s="369" t="b">
        <v>1</v>
      </c>
      <c r="P608" s="369" t="b">
        <v>1</v>
      </c>
      <c r="Q608" s="387"/>
      <c r="R608" s="388"/>
      <c r="S608" s="65">
        <f t="shared" si="19"/>
        <v>0</v>
      </c>
      <c r="T608" s="369" t="b">
        <v>0</v>
      </c>
      <c r="U608" s="388"/>
      <c r="V608" s="391" t="b">
        <v>0</v>
      </c>
      <c r="W608" s="391" t="b">
        <v>0</v>
      </c>
      <c r="X608" s="391" t="b">
        <v>0</v>
      </c>
    </row>
    <row r="609" ht="24.0" customHeight="1">
      <c r="A609" s="457" t="s">
        <v>1421</v>
      </c>
      <c r="B609" s="383">
        <v>46215.584932314814</v>
      </c>
      <c r="C609" s="384" t="s">
        <v>1423</v>
      </c>
      <c r="D609" s="116" t="s">
        <v>78</v>
      </c>
      <c r="E609" s="116" t="s">
        <v>159</v>
      </c>
      <c r="F609" s="388"/>
      <c r="G609" s="457" t="s">
        <v>226</v>
      </c>
      <c r="H609" s="385">
        <v>1.0</v>
      </c>
      <c r="I609" s="386">
        <f>IF(G609="", "", IFERROR(VLOOKUP(G609, Products!A:F, 4, FALSE), ""))
</f>
        <v>100</v>
      </c>
      <c r="J609" s="405">
        <v>0.0</v>
      </c>
      <c r="K609" s="54">
        <f t="shared" si="17"/>
        <v>100</v>
      </c>
      <c r="L609" s="387">
        <v>100.0</v>
      </c>
      <c r="M609" s="138" t="s">
        <v>110</v>
      </c>
      <c r="N609" s="46">
        <f t="shared" si="18"/>
        <v>0</v>
      </c>
      <c r="O609" s="369" t="b">
        <v>1</v>
      </c>
      <c r="P609" s="369" t="b">
        <v>1</v>
      </c>
      <c r="Q609" s="387"/>
      <c r="R609" s="388"/>
      <c r="S609" s="65">
        <f t="shared" si="19"/>
        <v>0</v>
      </c>
      <c r="T609" s="369" t="b">
        <v>0</v>
      </c>
      <c r="U609" s="388"/>
      <c r="V609" s="391" t="b">
        <v>0</v>
      </c>
      <c r="W609" s="391" t="b">
        <v>0</v>
      </c>
      <c r="X609" s="391" t="b">
        <v>0</v>
      </c>
    </row>
    <row r="610" ht="24.0" customHeight="1">
      <c r="A610" s="457" t="s">
        <v>1421</v>
      </c>
      <c r="B610" s="383">
        <v>46215.584932314814</v>
      </c>
      <c r="C610" s="384" t="s">
        <v>1423</v>
      </c>
      <c r="D610" s="116" t="s">
        <v>78</v>
      </c>
      <c r="E610" s="116" t="s">
        <v>159</v>
      </c>
      <c r="F610" s="388"/>
      <c r="G610" s="457" t="s">
        <v>190</v>
      </c>
      <c r="H610" s="385">
        <v>1.0</v>
      </c>
      <c r="I610" s="386">
        <f>IF(G610="", "", IFERROR(VLOOKUP(G610, Products!A:F, 4, FALSE), ""))
</f>
        <v>200</v>
      </c>
      <c r="J610" s="405">
        <v>0.0</v>
      </c>
      <c r="K610" s="54">
        <f t="shared" si="17"/>
        <v>200</v>
      </c>
      <c r="L610" s="387">
        <v>200.0</v>
      </c>
      <c r="M610" s="138" t="s">
        <v>73</v>
      </c>
      <c r="N610" s="46">
        <f t="shared" si="18"/>
        <v>0</v>
      </c>
      <c r="O610" s="369" t="b">
        <v>1</v>
      </c>
      <c r="P610" s="369" t="b">
        <v>1</v>
      </c>
      <c r="Q610" s="387"/>
      <c r="R610" s="388"/>
      <c r="S610" s="65">
        <f t="shared" si="19"/>
        <v>0</v>
      </c>
      <c r="T610" s="369" t="b">
        <v>0</v>
      </c>
      <c r="U610" s="388"/>
      <c r="V610" s="391" t="b">
        <v>0</v>
      </c>
      <c r="W610" s="391" t="b">
        <v>0</v>
      </c>
      <c r="X610" s="391" t="b">
        <v>0</v>
      </c>
    </row>
    <row r="611" ht="24.0" customHeight="1">
      <c r="A611" s="457" t="s">
        <v>1421</v>
      </c>
      <c r="B611" s="383">
        <v>46215.584932314814</v>
      </c>
      <c r="C611" s="384" t="s">
        <v>1423</v>
      </c>
      <c r="D611" s="116" t="s">
        <v>78</v>
      </c>
      <c r="E611" s="116" t="s">
        <v>159</v>
      </c>
      <c r="F611" s="388"/>
      <c r="G611" s="457" t="s">
        <v>210</v>
      </c>
      <c r="H611" s="385">
        <v>1.0</v>
      </c>
      <c r="I611" s="386">
        <f>IF(G611="", "", IFERROR(VLOOKUP(G611, Products!A:F, 4, FALSE), ""))
</f>
        <v>80</v>
      </c>
      <c r="J611" s="405">
        <v>0.0</v>
      </c>
      <c r="K611" s="54">
        <f t="shared" si="17"/>
        <v>80</v>
      </c>
      <c r="L611" s="387">
        <v>80.0</v>
      </c>
      <c r="M611" s="138" t="s">
        <v>73</v>
      </c>
      <c r="N611" s="46">
        <f t="shared" si="18"/>
        <v>0</v>
      </c>
      <c r="O611" s="369" t="b">
        <v>1</v>
      </c>
      <c r="P611" s="369" t="b">
        <v>1</v>
      </c>
      <c r="Q611" s="387"/>
      <c r="R611" s="388"/>
      <c r="S611" s="65">
        <f t="shared" si="19"/>
        <v>0</v>
      </c>
      <c r="T611" s="369" t="b">
        <v>0</v>
      </c>
      <c r="U611" s="388"/>
      <c r="V611" s="391" t="b">
        <v>0</v>
      </c>
      <c r="W611" s="391" t="b">
        <v>0</v>
      </c>
      <c r="X611" s="391" t="b">
        <v>0</v>
      </c>
    </row>
    <row r="612" ht="24.0" customHeight="1">
      <c r="A612" s="457" t="s">
        <v>1421</v>
      </c>
      <c r="B612" s="383">
        <v>46215.584932314814</v>
      </c>
      <c r="C612" s="384" t="s">
        <v>1423</v>
      </c>
      <c r="D612" s="116" t="s">
        <v>78</v>
      </c>
      <c r="E612" s="116" t="s">
        <v>159</v>
      </c>
      <c r="F612" s="388"/>
      <c r="G612" s="457" t="s">
        <v>161</v>
      </c>
      <c r="H612" s="385">
        <v>1.0</v>
      </c>
      <c r="I612" s="386">
        <f>IF(G612="", "", IFERROR(VLOOKUP(G612, Products!A:F, 4, FALSE), ""))
</f>
        <v>80</v>
      </c>
      <c r="J612" s="405">
        <v>0.0</v>
      </c>
      <c r="K612" s="54">
        <f t="shared" si="17"/>
        <v>80</v>
      </c>
      <c r="L612" s="387">
        <v>80.0</v>
      </c>
      <c r="M612" s="138" t="s">
        <v>73</v>
      </c>
      <c r="N612" s="46">
        <f t="shared" si="18"/>
        <v>0</v>
      </c>
      <c r="O612" s="369" t="b">
        <v>1</v>
      </c>
      <c r="P612" s="369" t="b">
        <v>1</v>
      </c>
      <c r="Q612" s="387"/>
      <c r="R612" s="388"/>
      <c r="S612" s="65">
        <f t="shared" si="19"/>
        <v>0</v>
      </c>
      <c r="T612" s="369" t="b">
        <v>0</v>
      </c>
      <c r="U612" s="388"/>
      <c r="V612" s="391" t="b">
        <v>0</v>
      </c>
      <c r="W612" s="391" t="b">
        <v>0</v>
      </c>
      <c r="X612" s="391" t="b">
        <v>0</v>
      </c>
    </row>
    <row r="613" ht="24.0" customHeight="1">
      <c r="A613" s="457" t="s">
        <v>1421</v>
      </c>
      <c r="B613" s="383">
        <v>46215.584932314814</v>
      </c>
      <c r="C613" s="384" t="s">
        <v>1423</v>
      </c>
      <c r="D613" s="116" t="s">
        <v>78</v>
      </c>
      <c r="E613" s="116" t="s">
        <v>159</v>
      </c>
      <c r="F613" s="388"/>
      <c r="G613" s="457" t="s">
        <v>168</v>
      </c>
      <c r="H613" s="385">
        <v>1.0</v>
      </c>
      <c r="I613" s="386">
        <f>IF(G613="", "", IFERROR(VLOOKUP(G613, Products!A:F, 4, FALSE), ""))
</f>
        <v>80</v>
      </c>
      <c r="J613" s="405">
        <v>0.0</v>
      </c>
      <c r="K613" s="54">
        <f t="shared" si="17"/>
        <v>80</v>
      </c>
      <c r="L613" s="387">
        <v>0.0</v>
      </c>
      <c r="M613" s="138" t="s">
        <v>73</v>
      </c>
      <c r="N613" s="46">
        <f t="shared" si="18"/>
        <v>80</v>
      </c>
      <c r="O613" s="369" t="b">
        <v>1</v>
      </c>
      <c r="P613" s="369" t="b">
        <v>1</v>
      </c>
      <c r="Q613" s="387"/>
      <c r="R613" s="388"/>
      <c r="S613" s="65">
        <f t="shared" si="19"/>
        <v>80</v>
      </c>
      <c r="T613" s="369" t="b">
        <v>0</v>
      </c>
      <c r="U613" s="388"/>
      <c r="V613" s="391" t="b">
        <v>0</v>
      </c>
      <c r="W613" s="391" t="b">
        <v>0</v>
      </c>
      <c r="X613" s="391" t="b">
        <v>0</v>
      </c>
    </row>
    <row r="614" ht="24.0" customHeight="1">
      <c r="A614" s="457" t="s">
        <v>1421</v>
      </c>
      <c r="B614" s="383">
        <v>46215.584932314814</v>
      </c>
      <c r="C614" s="384" t="s">
        <v>1423</v>
      </c>
      <c r="D614" s="116" t="s">
        <v>78</v>
      </c>
      <c r="E614" s="116" t="s">
        <v>159</v>
      </c>
      <c r="F614" s="388"/>
      <c r="G614" s="457" t="s">
        <v>187</v>
      </c>
      <c r="H614" s="385">
        <v>2.0</v>
      </c>
      <c r="I614" s="386">
        <f>IF(G614="", "", IFERROR(VLOOKUP(G614, Products!A:F, 4, FALSE), ""))
</f>
        <v>400</v>
      </c>
      <c r="J614" s="405"/>
      <c r="K614" s="54">
        <f t="shared" si="17"/>
        <v>800</v>
      </c>
      <c r="L614" s="387">
        <v>800.0</v>
      </c>
      <c r="M614" s="138" t="s">
        <v>73</v>
      </c>
      <c r="N614" s="46">
        <f t="shared" si="18"/>
        <v>0</v>
      </c>
      <c r="O614" s="369" t="b">
        <v>1</v>
      </c>
      <c r="P614" s="369" t="b">
        <v>1</v>
      </c>
      <c r="Q614" s="387"/>
      <c r="R614" s="388"/>
      <c r="S614" s="65">
        <f t="shared" si="19"/>
        <v>0</v>
      </c>
      <c r="T614" s="369" t="b">
        <v>0</v>
      </c>
      <c r="U614" s="388"/>
      <c r="V614" s="391" t="b">
        <v>0</v>
      </c>
      <c r="W614" s="391" t="b">
        <v>0</v>
      </c>
      <c r="X614" s="391" t="b">
        <v>0</v>
      </c>
    </row>
    <row r="615" ht="24.0" customHeight="1">
      <c r="A615" s="457" t="s">
        <v>1421</v>
      </c>
      <c r="B615" s="383">
        <v>46215.584932314814</v>
      </c>
      <c r="C615" s="384" t="s">
        <v>1423</v>
      </c>
      <c r="D615" s="116" t="s">
        <v>78</v>
      </c>
      <c r="E615" s="116" t="s">
        <v>159</v>
      </c>
      <c r="F615" s="388"/>
      <c r="G615" s="76" t="s">
        <v>232</v>
      </c>
      <c r="H615" s="385">
        <v>5.0</v>
      </c>
      <c r="I615" s="386">
        <f>IF(G615="", "", IFERROR(VLOOKUP(G615, Products!A:F, 4, FALSE), ""))
</f>
        <v>15</v>
      </c>
      <c r="J615" s="405">
        <v>0.0</v>
      </c>
      <c r="K615" s="54">
        <f t="shared" si="17"/>
        <v>75</v>
      </c>
      <c r="L615" s="387">
        <v>10.0</v>
      </c>
      <c r="M615" s="138" t="s">
        <v>73</v>
      </c>
      <c r="N615" s="46">
        <f t="shared" si="18"/>
        <v>65</v>
      </c>
      <c r="O615" s="369" t="b">
        <v>1</v>
      </c>
      <c r="P615" s="369" t="b">
        <v>1</v>
      </c>
      <c r="Q615" s="387"/>
      <c r="R615" s="388"/>
      <c r="S615" s="65">
        <f t="shared" si="19"/>
        <v>65</v>
      </c>
      <c r="T615" s="369" t="b">
        <v>0</v>
      </c>
      <c r="U615" s="388"/>
      <c r="V615" s="391" t="b">
        <v>0</v>
      </c>
      <c r="W615" s="391" t="b">
        <v>0</v>
      </c>
      <c r="X615" s="391" t="b">
        <v>0</v>
      </c>
    </row>
    <row r="616" ht="24.0" customHeight="1">
      <c r="A616" s="457" t="s">
        <v>1421</v>
      </c>
      <c r="B616" s="383">
        <v>46215.584932314814</v>
      </c>
      <c r="C616" s="384" t="s">
        <v>1423</v>
      </c>
      <c r="D616" s="116" t="s">
        <v>78</v>
      </c>
      <c r="E616" s="116" t="s">
        <v>159</v>
      </c>
      <c r="F616" s="388"/>
      <c r="G616" s="76" t="s">
        <v>237</v>
      </c>
      <c r="H616" s="385">
        <v>5.0</v>
      </c>
      <c r="I616" s="386">
        <f>IF(G616="", "", IFERROR(VLOOKUP(G616, Products!A:F, 4, FALSE), ""))
</f>
        <v>15</v>
      </c>
      <c r="J616" s="405">
        <v>0.0</v>
      </c>
      <c r="K616" s="54">
        <f t="shared" si="17"/>
        <v>75</v>
      </c>
      <c r="L616" s="387">
        <v>75.0</v>
      </c>
      <c r="M616" s="138" t="s">
        <v>110</v>
      </c>
      <c r="N616" s="46">
        <f t="shared" si="18"/>
        <v>0</v>
      </c>
      <c r="O616" s="369" t="b">
        <v>1</v>
      </c>
      <c r="P616" s="369" t="b">
        <v>1</v>
      </c>
      <c r="Q616" s="387"/>
      <c r="R616" s="388"/>
      <c r="S616" s="65">
        <f t="shared" si="19"/>
        <v>0</v>
      </c>
      <c r="T616" s="369" t="b">
        <v>0</v>
      </c>
      <c r="U616" s="388"/>
      <c r="V616" s="391" t="b">
        <v>0</v>
      </c>
      <c r="W616" s="391" t="b">
        <v>0</v>
      </c>
      <c r="X616" s="391" t="b">
        <v>0</v>
      </c>
    </row>
    <row r="617" ht="24.0" customHeight="1">
      <c r="A617" s="457" t="s">
        <v>1421</v>
      </c>
      <c r="B617" s="383">
        <v>46215.584932314814</v>
      </c>
      <c r="C617" s="384" t="s">
        <v>1423</v>
      </c>
      <c r="D617" s="116" t="s">
        <v>78</v>
      </c>
      <c r="E617" s="116" t="s">
        <v>159</v>
      </c>
      <c r="F617" s="388"/>
      <c r="G617" s="457" t="s">
        <v>173</v>
      </c>
      <c r="H617" s="385">
        <v>5.0</v>
      </c>
      <c r="I617" s="386">
        <f>IF(G617="", "", IFERROR(VLOOKUP(G617, Products!A:F, 4, FALSE), ""))
</f>
        <v>15</v>
      </c>
      <c r="J617" s="405">
        <v>0.0</v>
      </c>
      <c r="K617" s="54">
        <f t="shared" si="17"/>
        <v>75</v>
      </c>
      <c r="L617" s="387">
        <v>75.0</v>
      </c>
      <c r="M617" s="138" t="s">
        <v>73</v>
      </c>
      <c r="N617" s="46">
        <f t="shared" si="18"/>
        <v>0</v>
      </c>
      <c r="O617" s="369" t="b">
        <v>1</v>
      </c>
      <c r="P617" s="369" t="b">
        <v>1</v>
      </c>
      <c r="Q617" s="387"/>
      <c r="R617" s="388"/>
      <c r="S617" s="65">
        <f t="shared" si="19"/>
        <v>0</v>
      </c>
      <c r="T617" s="369" t="b">
        <v>0</v>
      </c>
      <c r="U617" s="388"/>
      <c r="V617" s="391" t="b">
        <v>0</v>
      </c>
      <c r="W617" s="391" t="b">
        <v>0</v>
      </c>
      <c r="X617" s="391" t="b">
        <v>0</v>
      </c>
    </row>
    <row r="618" ht="24.0" customHeight="1">
      <c r="A618" s="76" t="s">
        <v>1020</v>
      </c>
      <c r="B618" s="383">
        <v>46215.59683784722</v>
      </c>
      <c r="C618" s="384" t="s">
        <v>1424</v>
      </c>
      <c r="D618" s="116" t="s">
        <v>93</v>
      </c>
      <c r="E618" s="116" t="s">
        <v>588</v>
      </c>
      <c r="F618" s="388"/>
      <c r="G618" s="457" t="s">
        <v>187</v>
      </c>
      <c r="H618" s="385">
        <v>1.0</v>
      </c>
      <c r="I618" s="386">
        <f>IF(G618="", "", IFERROR(VLOOKUP(G618, Products!A:F, 4, FALSE), ""))
</f>
        <v>400</v>
      </c>
      <c r="J618" s="405">
        <v>0.0</v>
      </c>
      <c r="K618" s="54">
        <f t="shared" si="17"/>
        <v>400</v>
      </c>
      <c r="L618" s="387">
        <v>200.0</v>
      </c>
      <c r="M618" s="138" t="s">
        <v>73</v>
      </c>
      <c r="N618" s="46">
        <f t="shared" si="18"/>
        <v>200</v>
      </c>
      <c r="O618" s="369" t="b">
        <v>1</v>
      </c>
      <c r="P618" s="369" t="b">
        <v>1</v>
      </c>
      <c r="Q618" s="387"/>
      <c r="R618" s="388"/>
      <c r="S618" s="65">
        <f t="shared" si="19"/>
        <v>200</v>
      </c>
      <c r="T618" s="369" t="b">
        <v>0</v>
      </c>
      <c r="U618" s="388"/>
      <c r="V618" s="391" t="b">
        <v>0</v>
      </c>
      <c r="W618" s="391" t="b">
        <v>0</v>
      </c>
      <c r="X618" s="391" t="b">
        <v>0</v>
      </c>
    </row>
    <row r="619" ht="24.0" customHeight="1">
      <c r="A619" s="76" t="s">
        <v>1020</v>
      </c>
      <c r="B619" s="383">
        <v>46215.59683784722</v>
      </c>
      <c r="C619" s="384" t="s">
        <v>1424</v>
      </c>
      <c r="D619" s="116" t="s">
        <v>93</v>
      </c>
      <c r="E619" s="116" t="s">
        <v>588</v>
      </c>
      <c r="F619" s="388"/>
      <c r="G619" s="457" t="s">
        <v>190</v>
      </c>
      <c r="H619" s="385">
        <v>1.0</v>
      </c>
      <c r="I619" s="386">
        <f>IF(G619="", "", IFERROR(VLOOKUP(G619, Products!A:F, 4, FALSE), ""))
</f>
        <v>200</v>
      </c>
      <c r="J619" s="405">
        <v>0.0</v>
      </c>
      <c r="K619" s="54">
        <f t="shared" si="17"/>
        <v>200</v>
      </c>
      <c r="L619" s="387">
        <v>100.0</v>
      </c>
      <c r="M619" s="138" t="s">
        <v>73</v>
      </c>
      <c r="N619" s="46">
        <f t="shared" si="18"/>
        <v>100</v>
      </c>
      <c r="O619" s="369" t="b">
        <v>1</v>
      </c>
      <c r="P619" s="369" t="b">
        <v>1</v>
      </c>
      <c r="Q619" s="387"/>
      <c r="R619" s="388"/>
      <c r="S619" s="65">
        <f t="shared" si="19"/>
        <v>100</v>
      </c>
      <c r="T619" s="369" t="b">
        <v>0</v>
      </c>
      <c r="U619" s="388"/>
      <c r="V619" s="391" t="b">
        <v>0</v>
      </c>
      <c r="W619" s="391" t="b">
        <v>0</v>
      </c>
      <c r="X619" s="391" t="b">
        <v>0</v>
      </c>
    </row>
    <row r="620" ht="24.0" customHeight="1">
      <c r="A620" s="76" t="s">
        <v>1023</v>
      </c>
      <c r="B620" s="383">
        <v>46215.59818519676</v>
      </c>
      <c r="C620" s="384" t="s">
        <v>1425</v>
      </c>
      <c r="D620" s="116" t="s">
        <v>93</v>
      </c>
      <c r="E620" s="116" t="s">
        <v>156</v>
      </c>
      <c r="F620" s="388"/>
      <c r="G620" s="457" t="s">
        <v>210</v>
      </c>
      <c r="H620" s="385">
        <v>10.0</v>
      </c>
      <c r="I620" s="386">
        <f>IF(G620="", "", IFERROR(VLOOKUP(G620, Products!A:F, 4, FALSE), ""))
</f>
        <v>80</v>
      </c>
      <c r="J620" s="405">
        <v>0.0</v>
      </c>
      <c r="K620" s="54">
        <f t="shared" si="17"/>
        <v>800</v>
      </c>
      <c r="L620" s="387">
        <v>400.0</v>
      </c>
      <c r="M620" s="138" t="s">
        <v>73</v>
      </c>
      <c r="N620" s="46">
        <f t="shared" si="18"/>
        <v>400</v>
      </c>
      <c r="O620" s="369" t="b">
        <v>1</v>
      </c>
      <c r="P620" s="369" t="b">
        <v>1</v>
      </c>
      <c r="Q620" s="387"/>
      <c r="R620" s="388"/>
      <c r="S620" s="65">
        <f t="shared" si="19"/>
        <v>400</v>
      </c>
      <c r="T620" s="369" t="b">
        <v>0</v>
      </c>
      <c r="U620" s="388"/>
      <c r="V620" s="391" t="b">
        <v>0</v>
      </c>
      <c r="W620" s="391" t="b">
        <v>0</v>
      </c>
      <c r="X620" s="391" t="b">
        <v>0</v>
      </c>
    </row>
    <row r="621" ht="24.0" customHeight="1">
      <c r="A621" s="76" t="s">
        <v>1026</v>
      </c>
      <c r="B621" s="383">
        <v>46215.59887819445</v>
      </c>
      <c r="C621" s="384" t="s">
        <v>1426</v>
      </c>
      <c r="D621" s="91" t="s">
        <v>188</v>
      </c>
      <c r="E621" s="92"/>
      <c r="F621" s="388"/>
      <c r="G621" s="457" t="s">
        <v>187</v>
      </c>
      <c r="H621" s="385">
        <v>4.0</v>
      </c>
      <c r="I621" s="386">
        <f>IF(G621="", "", IFERROR(VLOOKUP(G621, Products!A:F, 4, FALSE), ""))
</f>
        <v>400</v>
      </c>
      <c r="J621" s="405">
        <v>200.0</v>
      </c>
      <c r="K621" s="54">
        <f t="shared" si="17"/>
        <v>1400</v>
      </c>
      <c r="L621" s="387">
        <v>700.0</v>
      </c>
      <c r="M621" s="138" t="s">
        <v>73</v>
      </c>
      <c r="N621" s="46">
        <f t="shared" si="18"/>
        <v>700</v>
      </c>
      <c r="O621" s="369" t="b">
        <v>1</v>
      </c>
      <c r="P621" s="369" t="b">
        <v>1</v>
      </c>
      <c r="Q621" s="387"/>
      <c r="R621" s="388"/>
      <c r="S621" s="65">
        <f t="shared" si="19"/>
        <v>700</v>
      </c>
      <c r="T621" s="369" t="b">
        <v>0</v>
      </c>
      <c r="U621" s="388"/>
      <c r="V621" s="391" t="b">
        <v>0</v>
      </c>
      <c r="W621" s="391" t="b">
        <v>0</v>
      </c>
      <c r="X621" s="391" t="b">
        <v>0</v>
      </c>
    </row>
    <row r="622" ht="24.0" customHeight="1">
      <c r="A622" s="76" t="s">
        <v>1029</v>
      </c>
      <c r="B622" s="383">
        <v>46215.599724768515</v>
      </c>
      <c r="C622" s="384" t="s">
        <v>1427</v>
      </c>
      <c r="D622" s="116" t="s">
        <v>416</v>
      </c>
      <c r="E622" s="399"/>
      <c r="F622" s="388"/>
      <c r="G622" s="457" t="s">
        <v>124</v>
      </c>
      <c r="H622" s="385">
        <v>400.0</v>
      </c>
      <c r="I622" s="386">
        <f>IF(G622="", "", IFERROR(VLOOKUP(G622, Products!A:F, 4, FALSE), ""))
</f>
        <v>3</v>
      </c>
      <c r="J622" s="405">
        <v>0.0</v>
      </c>
      <c r="K622" s="54">
        <f t="shared" si="17"/>
        <v>1200</v>
      </c>
      <c r="L622" s="387">
        <v>600.0</v>
      </c>
      <c r="M622" s="138" t="s">
        <v>73</v>
      </c>
      <c r="N622" s="46">
        <f t="shared" si="18"/>
        <v>600</v>
      </c>
      <c r="O622" s="369" t="b">
        <v>1</v>
      </c>
      <c r="P622" s="369" t="b">
        <v>1</v>
      </c>
      <c r="Q622" s="387"/>
      <c r="R622" s="388"/>
      <c r="S622" s="65">
        <f t="shared" si="19"/>
        <v>600</v>
      </c>
      <c r="T622" s="369" t="b">
        <v>0</v>
      </c>
      <c r="U622" s="388"/>
      <c r="V622" s="391" t="b">
        <v>0</v>
      </c>
      <c r="W622" s="391" t="b">
        <v>0</v>
      </c>
      <c r="X622" s="391" t="b">
        <v>0</v>
      </c>
    </row>
    <row r="623" ht="24.0" customHeight="1">
      <c r="A623" s="76" t="s">
        <v>1029</v>
      </c>
      <c r="B623" s="383">
        <v>46215.599724768515</v>
      </c>
      <c r="C623" s="384" t="s">
        <v>1427</v>
      </c>
      <c r="D623" s="116" t="s">
        <v>416</v>
      </c>
      <c r="E623" s="399"/>
      <c r="F623" s="388"/>
      <c r="G623" s="457" t="s">
        <v>138</v>
      </c>
      <c r="H623" s="385">
        <v>1.0</v>
      </c>
      <c r="I623" s="386">
        <f>IF(G623="", "", IFERROR(VLOOKUP(G623, Products!A:F, 4, FALSE), ""))
</f>
        <v>100</v>
      </c>
      <c r="J623" s="405">
        <v>0.0</v>
      </c>
      <c r="K623" s="54">
        <f t="shared" si="17"/>
        <v>100</v>
      </c>
      <c r="L623" s="387"/>
      <c r="M623" s="138"/>
      <c r="N623" s="46">
        <f t="shared" si="18"/>
        <v>100</v>
      </c>
      <c r="O623" s="369" t="b">
        <v>0</v>
      </c>
      <c r="P623" s="369" t="b">
        <v>1</v>
      </c>
      <c r="Q623" s="387"/>
      <c r="R623" s="388"/>
      <c r="S623" s="65">
        <f t="shared" si="19"/>
        <v>100</v>
      </c>
      <c r="T623" s="369" t="b">
        <v>0</v>
      </c>
      <c r="U623" s="388"/>
      <c r="V623" s="391" t="b">
        <v>0</v>
      </c>
      <c r="W623" s="391" t="b">
        <v>0</v>
      </c>
      <c r="X623" s="391" t="b">
        <v>0</v>
      </c>
    </row>
    <row r="624" ht="24.0" customHeight="1">
      <c r="A624" s="76" t="s">
        <v>1428</v>
      </c>
      <c r="B624" s="383">
        <v>46231.0</v>
      </c>
      <c r="C624" s="384" t="s">
        <v>1429</v>
      </c>
      <c r="D624" s="116" t="s">
        <v>53</v>
      </c>
      <c r="E624" s="116" t="s">
        <v>1430</v>
      </c>
      <c r="F624" s="388"/>
      <c r="G624" s="76" t="s">
        <v>104</v>
      </c>
      <c r="H624" s="385">
        <v>4.0</v>
      </c>
      <c r="I624" s="386"/>
      <c r="J624" s="405">
        <v>20.0</v>
      </c>
      <c r="K624" s="54">
        <v>450.0</v>
      </c>
      <c r="L624" s="387">
        <v>200.0</v>
      </c>
      <c r="M624" s="138" t="s">
        <v>1382</v>
      </c>
      <c r="N624" s="46">
        <v>250.0</v>
      </c>
      <c r="O624" s="369" t="b">
        <v>0</v>
      </c>
      <c r="P624" s="369" t="b">
        <v>1</v>
      </c>
      <c r="Q624" s="387"/>
      <c r="R624" s="388"/>
      <c r="S624" s="65"/>
      <c r="T624" s="369" t="b">
        <v>0</v>
      </c>
      <c r="U624" s="388"/>
      <c r="V624" s="391" t="b">
        <v>0</v>
      </c>
      <c r="W624" s="391" t="b">
        <v>0</v>
      </c>
      <c r="X624" s="391" t="b">
        <v>0</v>
      </c>
    </row>
    <row r="625" ht="24.0" customHeight="1">
      <c r="A625" s="76" t="s">
        <v>1428</v>
      </c>
      <c r="B625" s="383">
        <v>46231.0</v>
      </c>
      <c r="C625" s="384" t="s">
        <v>1429</v>
      </c>
      <c r="D625" s="116" t="s">
        <v>53</v>
      </c>
      <c r="E625" s="116" t="s">
        <v>1430</v>
      </c>
      <c r="F625" s="388"/>
      <c r="G625" s="76" t="s">
        <v>572</v>
      </c>
      <c r="H625" s="385">
        <v>10.0</v>
      </c>
      <c r="I625" s="386"/>
      <c r="J625" s="405"/>
      <c r="K625" s="54"/>
      <c r="L625" s="387"/>
      <c r="M625" s="138"/>
      <c r="N625" s="46"/>
      <c r="O625" s="369" t="b">
        <v>0</v>
      </c>
      <c r="P625" s="369" t="b">
        <v>1</v>
      </c>
      <c r="Q625" s="387"/>
      <c r="R625" s="388"/>
      <c r="S625" s="65"/>
      <c r="T625" s="369" t="b">
        <v>0</v>
      </c>
      <c r="U625" s="388"/>
      <c r="V625" s="391" t="b">
        <v>0</v>
      </c>
      <c r="W625" s="391" t="b">
        <v>0</v>
      </c>
      <c r="X625" s="391" t="b">
        <v>0</v>
      </c>
    </row>
    <row r="626" ht="24.0" customHeight="1">
      <c r="A626" s="76" t="s">
        <v>1036</v>
      </c>
      <c r="B626" s="383">
        <v>46215.635116053236</v>
      </c>
      <c r="C626" s="384" t="s">
        <v>1431</v>
      </c>
      <c r="D626" s="116" t="s">
        <v>93</v>
      </c>
      <c r="E626" s="116" t="s">
        <v>156</v>
      </c>
      <c r="F626" s="388"/>
      <c r="G626" s="457" t="s">
        <v>122</v>
      </c>
      <c r="H626" s="385">
        <v>4.0</v>
      </c>
      <c r="I626" s="386">
        <f>IF(G626="", "", IFERROR(VLOOKUP(G626, Products!A:F, 4, FALSE), ""))
</f>
        <v>80</v>
      </c>
      <c r="J626" s="405">
        <v>0.0</v>
      </c>
      <c r="K626" s="54">
        <f t="shared" ref="K626:K750" si="20">(H626*I626)-J626</f>
        <v>320</v>
      </c>
      <c r="L626" s="387">
        <v>255.0</v>
      </c>
      <c r="M626" s="138" t="s">
        <v>110</v>
      </c>
      <c r="N626" s="46">
        <f t="shared" ref="N626:N697" si="21">K626-L626</f>
        <v>65</v>
      </c>
      <c r="O626" s="369" t="b">
        <v>1</v>
      </c>
      <c r="P626" s="369" t="b">
        <v>1</v>
      </c>
      <c r="Q626" s="387"/>
      <c r="R626" s="388"/>
      <c r="S626" s="65">
        <f t="shared" ref="S626:S748" si="22">N626-Q626</f>
        <v>65</v>
      </c>
      <c r="T626" s="369" t="b">
        <v>0</v>
      </c>
      <c r="U626" s="388"/>
      <c r="V626" s="391" t="b">
        <v>0</v>
      </c>
      <c r="W626" s="391" t="b">
        <v>0</v>
      </c>
      <c r="X626" s="391" t="b">
        <v>0</v>
      </c>
    </row>
    <row r="627" ht="24.0" customHeight="1">
      <c r="A627" s="457" t="s">
        <v>1038</v>
      </c>
      <c r="B627" s="383">
        <v>46215.683731157405</v>
      </c>
      <c r="C627" s="384" t="s">
        <v>1432</v>
      </c>
      <c r="D627" s="116" t="s">
        <v>531</v>
      </c>
      <c r="E627" s="399"/>
      <c r="F627" s="388"/>
      <c r="G627" s="457" t="s">
        <v>124</v>
      </c>
      <c r="H627" s="385">
        <v>200.0</v>
      </c>
      <c r="I627" s="386">
        <f>IF(G627="", "", IFERROR(VLOOKUP(G627, Products!A:F, 4, FALSE), ""))
</f>
        <v>3</v>
      </c>
      <c r="J627" s="405">
        <v>0.0</v>
      </c>
      <c r="K627" s="54">
        <f t="shared" si="20"/>
        <v>600</v>
      </c>
      <c r="L627" s="387">
        <v>400.0</v>
      </c>
      <c r="M627" s="138" t="s">
        <v>73</v>
      </c>
      <c r="N627" s="46">
        <f t="shared" si="21"/>
        <v>200</v>
      </c>
      <c r="O627" s="369" t="b">
        <v>0</v>
      </c>
      <c r="P627" s="369" t="b">
        <v>1</v>
      </c>
      <c r="Q627" s="387"/>
      <c r="R627" s="388"/>
      <c r="S627" s="65">
        <f t="shared" si="22"/>
        <v>200</v>
      </c>
      <c r="T627" s="369" t="b">
        <v>0</v>
      </c>
      <c r="U627" s="388"/>
      <c r="V627" s="391" t="b">
        <v>0</v>
      </c>
      <c r="W627" s="391" t="b">
        <v>0</v>
      </c>
      <c r="X627" s="391" t="b">
        <v>0</v>
      </c>
    </row>
    <row r="628" ht="24.0" customHeight="1">
      <c r="A628" s="457" t="s">
        <v>1038</v>
      </c>
      <c r="B628" s="383">
        <v>46215.683731157405</v>
      </c>
      <c r="C628" s="384" t="s">
        <v>1433</v>
      </c>
      <c r="D628" s="116" t="s">
        <v>531</v>
      </c>
      <c r="E628" s="458"/>
      <c r="F628" s="388"/>
      <c r="G628" s="457" t="s">
        <v>138</v>
      </c>
      <c r="H628" s="385">
        <v>2.0</v>
      </c>
      <c r="I628" s="386">
        <f>IF(G628="", "", IFERROR(VLOOKUP(G628, Products!A:F, 4, FALSE), ""))
</f>
        <v>100</v>
      </c>
      <c r="J628" s="405">
        <v>0.0</v>
      </c>
      <c r="K628" s="54">
        <f t="shared" si="20"/>
        <v>200</v>
      </c>
      <c r="L628" s="387"/>
      <c r="M628" s="138"/>
      <c r="N628" s="46">
        <f t="shared" si="21"/>
        <v>200</v>
      </c>
      <c r="O628" s="369" t="b">
        <v>0</v>
      </c>
      <c r="P628" s="369" t="b">
        <v>1</v>
      </c>
      <c r="Q628" s="387"/>
      <c r="R628" s="388"/>
      <c r="S628" s="65">
        <f t="shared" si="22"/>
        <v>200</v>
      </c>
      <c r="T628" s="369" t="b">
        <v>0</v>
      </c>
      <c r="U628" s="388"/>
      <c r="V628" s="391" t="b">
        <v>0</v>
      </c>
      <c r="W628" s="391" t="b">
        <v>0</v>
      </c>
      <c r="X628" s="391" t="b">
        <v>0</v>
      </c>
    </row>
    <row r="629" ht="24.0" customHeight="1">
      <c r="A629" s="457" t="s">
        <v>1434</v>
      </c>
      <c r="B629" s="383">
        <v>46217.49281255787</v>
      </c>
      <c r="C629" s="384" t="s">
        <v>1040</v>
      </c>
      <c r="D629" s="116" t="s">
        <v>204</v>
      </c>
      <c r="E629" s="116" t="s">
        <v>634</v>
      </c>
      <c r="F629" s="388"/>
      <c r="G629" s="457" t="s">
        <v>210</v>
      </c>
      <c r="H629" s="385">
        <v>1.0</v>
      </c>
      <c r="I629" s="386">
        <f>IF(G629="", "", IFERROR(VLOOKUP(G629, Products!A:F, 4, FALSE), ""))
</f>
        <v>80</v>
      </c>
      <c r="J629" s="405">
        <v>0.0</v>
      </c>
      <c r="K629" s="54">
        <f t="shared" si="20"/>
        <v>80</v>
      </c>
      <c r="L629" s="387">
        <v>80.0</v>
      </c>
      <c r="M629" s="138" t="s">
        <v>73</v>
      </c>
      <c r="N629" s="46">
        <f t="shared" si="21"/>
        <v>0</v>
      </c>
      <c r="O629" s="369" t="b">
        <v>1</v>
      </c>
      <c r="P629" s="369" t="b">
        <v>1</v>
      </c>
      <c r="Q629" s="387"/>
      <c r="R629" s="388"/>
      <c r="S629" s="65">
        <f t="shared" si="22"/>
        <v>0</v>
      </c>
      <c r="T629" s="369" t="b">
        <v>0</v>
      </c>
      <c r="U629" s="388"/>
      <c r="V629" s="391" t="b">
        <v>0</v>
      </c>
      <c r="W629" s="391" t="b">
        <v>0</v>
      </c>
      <c r="X629" s="391" t="b">
        <v>0</v>
      </c>
    </row>
    <row r="630" ht="24.0" customHeight="1">
      <c r="A630" s="457" t="s">
        <v>1434</v>
      </c>
      <c r="B630" s="383">
        <v>46217.49281255787</v>
      </c>
      <c r="C630" s="384" t="s">
        <v>1040</v>
      </c>
      <c r="D630" s="116" t="s">
        <v>204</v>
      </c>
      <c r="E630" s="116" t="s">
        <v>634</v>
      </c>
      <c r="F630" s="388"/>
      <c r="G630" s="457" t="s">
        <v>122</v>
      </c>
      <c r="H630" s="385">
        <v>1.0</v>
      </c>
      <c r="I630" s="386">
        <f>IF(G630="", "", IFERROR(VLOOKUP(G630, Products!A:F, 4, FALSE), ""))
</f>
        <v>80</v>
      </c>
      <c r="J630" s="405">
        <v>0.0</v>
      </c>
      <c r="K630" s="54">
        <f t="shared" si="20"/>
        <v>80</v>
      </c>
      <c r="L630" s="387"/>
      <c r="M630" s="138"/>
      <c r="N630" s="46">
        <f t="shared" si="21"/>
        <v>80</v>
      </c>
      <c r="O630" s="369" t="b">
        <v>1</v>
      </c>
      <c r="P630" s="369" t="b">
        <v>1</v>
      </c>
      <c r="Q630" s="387"/>
      <c r="R630" s="388"/>
      <c r="S630" s="65">
        <f t="shared" si="22"/>
        <v>80</v>
      </c>
      <c r="T630" s="369" t="b">
        <v>0</v>
      </c>
      <c r="U630" s="388"/>
      <c r="V630" s="391" t="b">
        <v>0</v>
      </c>
      <c r="W630" s="391" t="b">
        <v>0</v>
      </c>
      <c r="X630" s="391" t="b">
        <v>0</v>
      </c>
    </row>
    <row r="631" ht="24.0" customHeight="1">
      <c r="A631" s="457" t="s">
        <v>1434</v>
      </c>
      <c r="B631" s="383">
        <v>46217.49281255787</v>
      </c>
      <c r="C631" s="384" t="s">
        <v>1040</v>
      </c>
      <c r="D631" s="116" t="s">
        <v>204</v>
      </c>
      <c r="E631" s="116" t="s">
        <v>634</v>
      </c>
      <c r="F631" s="388"/>
      <c r="G631" s="457" t="s">
        <v>190</v>
      </c>
      <c r="H631" s="385">
        <v>1.0</v>
      </c>
      <c r="I631" s="386">
        <f>IF(G631="", "", IFERROR(VLOOKUP(G631, Products!A:F, 4, FALSE), ""))
</f>
        <v>200</v>
      </c>
      <c r="J631" s="405">
        <v>0.0</v>
      </c>
      <c r="K631" s="54">
        <f t="shared" si="20"/>
        <v>200</v>
      </c>
      <c r="L631" s="387">
        <v>100.0</v>
      </c>
      <c r="M631" s="138" t="s">
        <v>73</v>
      </c>
      <c r="N631" s="46">
        <f t="shared" si="21"/>
        <v>100</v>
      </c>
      <c r="O631" s="369" t="b">
        <v>1</v>
      </c>
      <c r="P631" s="369" t="b">
        <v>1</v>
      </c>
      <c r="Q631" s="387"/>
      <c r="R631" s="388"/>
      <c r="S631" s="65">
        <f t="shared" si="22"/>
        <v>100</v>
      </c>
      <c r="T631" s="369" t="b">
        <v>0</v>
      </c>
      <c r="U631" s="388"/>
      <c r="V631" s="391" t="b">
        <v>0</v>
      </c>
      <c r="W631" s="391" t="b">
        <v>0</v>
      </c>
      <c r="X631" s="391" t="b">
        <v>0</v>
      </c>
    </row>
    <row r="632" ht="24.0" customHeight="1">
      <c r="A632" s="457" t="s">
        <v>1435</v>
      </c>
      <c r="B632" s="383">
        <v>46217.49454024306</v>
      </c>
      <c r="C632" s="384" t="s">
        <v>1436</v>
      </c>
      <c r="D632" s="116" t="s">
        <v>93</v>
      </c>
      <c r="E632" s="116" t="s">
        <v>156</v>
      </c>
      <c r="F632" s="388"/>
      <c r="G632" s="457" t="s">
        <v>187</v>
      </c>
      <c r="H632" s="385">
        <v>2.0</v>
      </c>
      <c r="I632" s="386">
        <f>IF(G632="", "", IFERROR(VLOOKUP(G632, Products!A:F, 4, FALSE), ""))
</f>
        <v>400</v>
      </c>
      <c r="J632" s="405">
        <v>0.0</v>
      </c>
      <c r="K632" s="54">
        <f t="shared" si="20"/>
        <v>800</v>
      </c>
      <c r="L632" s="387">
        <v>800.0</v>
      </c>
      <c r="M632" s="138" t="s">
        <v>73</v>
      </c>
      <c r="N632" s="46">
        <f t="shared" si="21"/>
        <v>0</v>
      </c>
      <c r="O632" s="369" t="b">
        <v>1</v>
      </c>
      <c r="P632" s="369" t="b">
        <v>1</v>
      </c>
      <c r="Q632" s="387"/>
      <c r="R632" s="388"/>
      <c r="S632" s="65">
        <f t="shared" si="22"/>
        <v>0</v>
      </c>
      <c r="T632" s="369" t="b">
        <v>0</v>
      </c>
      <c r="U632" s="388"/>
      <c r="V632" s="391" t="b">
        <v>0</v>
      </c>
      <c r="W632" s="391" t="b">
        <v>0</v>
      </c>
      <c r="X632" s="391" t="b">
        <v>0</v>
      </c>
    </row>
    <row r="633" ht="24.0" customHeight="1">
      <c r="A633" s="457" t="s">
        <v>1435</v>
      </c>
      <c r="B633" s="383">
        <v>46217.49454024306</v>
      </c>
      <c r="C633" s="384" t="s">
        <v>1437</v>
      </c>
      <c r="D633" s="116" t="s">
        <v>93</v>
      </c>
      <c r="E633" s="116" t="s">
        <v>156</v>
      </c>
      <c r="F633" s="388"/>
      <c r="G633" s="457" t="s">
        <v>190</v>
      </c>
      <c r="H633" s="385">
        <v>3.0</v>
      </c>
      <c r="I633" s="386">
        <f>IF(G633="", "", IFERROR(VLOOKUP(G633, Products!A:F, 4, FALSE), ""))
</f>
        <v>200</v>
      </c>
      <c r="J633" s="405">
        <v>0.0</v>
      </c>
      <c r="K633" s="54">
        <f t="shared" si="20"/>
        <v>600</v>
      </c>
      <c r="L633" s="387">
        <v>600.0</v>
      </c>
      <c r="M633" s="138" t="s">
        <v>73</v>
      </c>
      <c r="N633" s="46">
        <f t="shared" si="21"/>
        <v>0</v>
      </c>
      <c r="O633" s="369" t="b">
        <v>1</v>
      </c>
      <c r="P633" s="369" t="b">
        <v>1</v>
      </c>
      <c r="Q633" s="387"/>
      <c r="R633" s="388"/>
      <c r="S633" s="65">
        <f t="shared" si="22"/>
        <v>0</v>
      </c>
      <c r="T633" s="369" t="b">
        <v>0</v>
      </c>
      <c r="U633" s="388"/>
      <c r="V633" s="391" t="b">
        <v>0</v>
      </c>
      <c r="W633" s="391" t="b">
        <v>0</v>
      </c>
      <c r="X633" s="391" t="b">
        <v>0</v>
      </c>
    </row>
    <row r="634" ht="24.0" customHeight="1">
      <c r="A634" s="457" t="s">
        <v>1435</v>
      </c>
      <c r="B634" s="383">
        <v>46217.49454024306</v>
      </c>
      <c r="C634" s="384" t="s">
        <v>1437</v>
      </c>
      <c r="D634" s="116" t="s">
        <v>93</v>
      </c>
      <c r="E634" s="116" t="s">
        <v>156</v>
      </c>
      <c r="F634" s="388"/>
      <c r="G634" s="457" t="s">
        <v>205</v>
      </c>
      <c r="H634" s="385">
        <v>5.0</v>
      </c>
      <c r="I634" s="386">
        <f>IF(G634="", "", IFERROR(VLOOKUP(G634, Products!A:F, 4, FALSE), ""))
</f>
        <v>100</v>
      </c>
      <c r="J634" s="405">
        <v>0.0</v>
      </c>
      <c r="K634" s="54">
        <f t="shared" si="20"/>
        <v>500</v>
      </c>
      <c r="L634" s="387">
        <v>315.0</v>
      </c>
      <c r="M634" s="138" t="s">
        <v>73</v>
      </c>
      <c r="N634" s="46">
        <f t="shared" si="21"/>
        <v>185</v>
      </c>
      <c r="O634" s="369" t="b">
        <v>1</v>
      </c>
      <c r="P634" s="369" t="b">
        <v>1</v>
      </c>
      <c r="Q634" s="387"/>
      <c r="R634" s="388"/>
      <c r="S634" s="65">
        <f t="shared" si="22"/>
        <v>185</v>
      </c>
      <c r="T634" s="369" t="b">
        <v>0</v>
      </c>
      <c r="U634" s="388"/>
      <c r="V634" s="391" t="b">
        <v>0</v>
      </c>
      <c r="W634" s="391" t="b">
        <v>0</v>
      </c>
      <c r="X634" s="391" t="b">
        <v>0</v>
      </c>
    </row>
    <row r="635" ht="24.0" customHeight="1">
      <c r="A635" s="457" t="s">
        <v>1435</v>
      </c>
      <c r="B635" s="383">
        <v>46217.49454024306</v>
      </c>
      <c r="C635" s="384" t="s">
        <v>1437</v>
      </c>
      <c r="D635" s="116" t="s">
        <v>93</v>
      </c>
      <c r="E635" s="116" t="s">
        <v>156</v>
      </c>
      <c r="F635" s="388"/>
      <c r="G635" s="457" t="s">
        <v>201</v>
      </c>
      <c r="H635" s="385">
        <v>1.0</v>
      </c>
      <c r="I635" s="386">
        <f>IF(G635="", "", IFERROR(VLOOKUP(G635, Products!A:F, 4, FALSE), ""))
</f>
        <v>80</v>
      </c>
      <c r="J635" s="405"/>
      <c r="K635" s="54">
        <f t="shared" si="20"/>
        <v>80</v>
      </c>
      <c r="L635" s="387"/>
      <c r="M635" s="138"/>
      <c r="N635" s="46">
        <f t="shared" si="21"/>
        <v>80</v>
      </c>
      <c r="O635" s="369" t="b">
        <v>1</v>
      </c>
      <c r="P635" s="369" t="b">
        <v>1</v>
      </c>
      <c r="Q635" s="387"/>
      <c r="R635" s="388"/>
      <c r="S635" s="65">
        <f t="shared" si="22"/>
        <v>80</v>
      </c>
      <c r="T635" s="369" t="b">
        <v>0</v>
      </c>
      <c r="U635" s="388"/>
      <c r="V635" s="391" t="b">
        <v>0</v>
      </c>
      <c r="W635" s="391" t="b">
        <v>0</v>
      </c>
      <c r="X635" s="391" t="b">
        <v>0</v>
      </c>
    </row>
    <row r="636" ht="24.0" customHeight="1">
      <c r="A636" s="457" t="s">
        <v>1435</v>
      </c>
      <c r="B636" s="383">
        <v>46217.49454024306</v>
      </c>
      <c r="C636" s="384" t="s">
        <v>1437</v>
      </c>
      <c r="D636" s="116" t="s">
        <v>93</v>
      </c>
      <c r="E636" s="116" t="s">
        <v>156</v>
      </c>
      <c r="F636" s="388"/>
      <c r="G636" s="457" t="s">
        <v>210</v>
      </c>
      <c r="H636" s="385">
        <v>1.0</v>
      </c>
      <c r="I636" s="386">
        <f>IF(G636="", "", IFERROR(VLOOKUP(G636, Products!A:F, 4, FALSE), ""))
</f>
        <v>80</v>
      </c>
      <c r="J636" s="405">
        <v>0.0</v>
      </c>
      <c r="K636" s="54">
        <f t="shared" si="20"/>
        <v>80</v>
      </c>
      <c r="L636" s="387"/>
      <c r="M636" s="138"/>
      <c r="N636" s="46">
        <f t="shared" si="21"/>
        <v>80</v>
      </c>
      <c r="O636" s="369" t="b">
        <v>1</v>
      </c>
      <c r="P636" s="369" t="b">
        <v>1</v>
      </c>
      <c r="Q636" s="387"/>
      <c r="R636" s="388"/>
      <c r="S636" s="65">
        <f t="shared" si="22"/>
        <v>80</v>
      </c>
      <c r="T636" s="369" t="b">
        <v>0</v>
      </c>
      <c r="U636" s="388"/>
      <c r="V636" s="391" t="b">
        <v>0</v>
      </c>
      <c r="W636" s="391" t="b">
        <v>0</v>
      </c>
      <c r="X636" s="391" t="b">
        <v>0</v>
      </c>
    </row>
    <row r="637" ht="24.0" customHeight="1">
      <c r="A637" s="457" t="s">
        <v>1435</v>
      </c>
      <c r="B637" s="383">
        <v>46217.49454024306</v>
      </c>
      <c r="C637" s="384" t="s">
        <v>1437</v>
      </c>
      <c r="D637" s="116" t="s">
        <v>93</v>
      </c>
      <c r="E637" s="116" t="s">
        <v>156</v>
      </c>
      <c r="F637" s="388"/>
      <c r="G637" s="457" t="s">
        <v>122</v>
      </c>
      <c r="H637" s="385">
        <v>1.0</v>
      </c>
      <c r="I637" s="386">
        <f>IF(G637="", "", IFERROR(VLOOKUP(G637, Products!A:F, 4, FALSE), ""))
</f>
        <v>80</v>
      </c>
      <c r="J637" s="405">
        <v>0.0</v>
      </c>
      <c r="K637" s="54">
        <f t="shared" si="20"/>
        <v>80</v>
      </c>
      <c r="L637" s="387"/>
      <c r="M637" s="138"/>
      <c r="N637" s="46">
        <f t="shared" si="21"/>
        <v>80</v>
      </c>
      <c r="O637" s="369" t="b">
        <v>1</v>
      </c>
      <c r="P637" s="369" t="b">
        <v>1</v>
      </c>
      <c r="Q637" s="387"/>
      <c r="R637" s="388"/>
      <c r="S637" s="65">
        <f t="shared" si="22"/>
        <v>80</v>
      </c>
      <c r="T637" s="369" t="b">
        <v>0</v>
      </c>
      <c r="U637" s="388"/>
      <c r="V637" s="391" t="b">
        <v>0</v>
      </c>
      <c r="W637" s="391" t="b">
        <v>0</v>
      </c>
      <c r="X637" s="391" t="b">
        <v>0</v>
      </c>
    </row>
    <row r="638" ht="24.0" customHeight="1">
      <c r="A638" s="457" t="s">
        <v>1435</v>
      </c>
      <c r="B638" s="383">
        <v>46217.49454024306</v>
      </c>
      <c r="C638" s="384" t="s">
        <v>1437</v>
      </c>
      <c r="D638" s="116" t="s">
        <v>93</v>
      </c>
      <c r="E638" s="116" t="s">
        <v>156</v>
      </c>
      <c r="F638" s="388"/>
      <c r="G638" s="457" t="s">
        <v>207</v>
      </c>
      <c r="H638" s="385">
        <v>1.0</v>
      </c>
      <c r="I638" s="386">
        <f>IF(G638="", "", IFERROR(VLOOKUP(G638, Products!A:F, 4, FALSE), ""))
</f>
        <v>80</v>
      </c>
      <c r="J638" s="405">
        <v>0.0</v>
      </c>
      <c r="K638" s="54">
        <f t="shared" si="20"/>
        <v>80</v>
      </c>
      <c r="L638" s="387"/>
      <c r="M638" s="138"/>
      <c r="N638" s="46">
        <f t="shared" si="21"/>
        <v>80</v>
      </c>
      <c r="O638" s="369" t="b">
        <v>1</v>
      </c>
      <c r="P638" s="369" t="b">
        <v>1</v>
      </c>
      <c r="Q638" s="387"/>
      <c r="R638" s="388"/>
      <c r="S638" s="65">
        <f t="shared" si="22"/>
        <v>80</v>
      </c>
      <c r="T638" s="369" t="b">
        <v>0</v>
      </c>
      <c r="U638" s="388"/>
      <c r="V638" s="391" t="b">
        <v>0</v>
      </c>
      <c r="W638" s="391" t="b">
        <v>0</v>
      </c>
      <c r="X638" s="391" t="b">
        <v>0</v>
      </c>
    </row>
    <row r="639" ht="24.0" customHeight="1">
      <c r="A639" s="457" t="s">
        <v>1435</v>
      </c>
      <c r="B639" s="383">
        <v>46217.49454024306</v>
      </c>
      <c r="C639" s="384" t="s">
        <v>1437</v>
      </c>
      <c r="D639" s="116" t="s">
        <v>93</v>
      </c>
      <c r="E639" s="116" t="s">
        <v>156</v>
      </c>
      <c r="F639" s="388"/>
      <c r="G639" s="76" t="s">
        <v>222</v>
      </c>
      <c r="H639" s="385">
        <v>1.0</v>
      </c>
      <c r="I639" s="386">
        <f>IF(G639="", "", IFERROR(VLOOKUP(G639, Products!A:F, 4, FALSE), ""))
</f>
        <v>80</v>
      </c>
      <c r="J639" s="405">
        <v>0.0</v>
      </c>
      <c r="K639" s="54">
        <f t="shared" si="20"/>
        <v>80</v>
      </c>
      <c r="L639" s="387"/>
      <c r="M639" s="138"/>
      <c r="N639" s="46">
        <f t="shared" si="21"/>
        <v>80</v>
      </c>
      <c r="O639" s="369" t="b">
        <v>1</v>
      </c>
      <c r="P639" s="369" t="b">
        <v>1</v>
      </c>
      <c r="Q639" s="387"/>
      <c r="R639" s="388"/>
      <c r="S639" s="65">
        <f t="shared" si="22"/>
        <v>80</v>
      </c>
      <c r="T639" s="369" t="b">
        <v>0</v>
      </c>
      <c r="U639" s="388"/>
      <c r="V639" s="391" t="b">
        <v>0</v>
      </c>
      <c r="W639" s="391" t="b">
        <v>0</v>
      </c>
      <c r="X639" s="391" t="b">
        <v>0</v>
      </c>
    </row>
    <row r="640" ht="24.0" customHeight="1">
      <c r="A640" s="457" t="s">
        <v>1435</v>
      </c>
      <c r="B640" s="383">
        <v>46217.49454024306</v>
      </c>
      <c r="C640" s="384" t="s">
        <v>1437</v>
      </c>
      <c r="D640" s="116" t="s">
        <v>93</v>
      </c>
      <c r="E640" s="116" t="s">
        <v>156</v>
      </c>
      <c r="F640" s="388"/>
      <c r="G640" s="457" t="s">
        <v>217</v>
      </c>
      <c r="H640" s="385">
        <v>1.0</v>
      </c>
      <c r="I640" s="386">
        <f>IF(G640="", "", IFERROR(VLOOKUP(G640, Products!A:F, 4, FALSE), ""))
</f>
        <v>80</v>
      </c>
      <c r="J640" s="405">
        <v>0.0</v>
      </c>
      <c r="K640" s="54">
        <f t="shared" si="20"/>
        <v>80</v>
      </c>
      <c r="L640" s="387"/>
      <c r="M640" s="138"/>
      <c r="N640" s="46">
        <f t="shared" si="21"/>
        <v>80</v>
      </c>
      <c r="O640" s="369" t="b">
        <v>1</v>
      </c>
      <c r="P640" s="369" t="b">
        <v>1</v>
      </c>
      <c r="Q640" s="387"/>
      <c r="R640" s="388"/>
      <c r="S640" s="65">
        <f t="shared" si="22"/>
        <v>80</v>
      </c>
      <c r="T640" s="369" t="b">
        <v>0</v>
      </c>
      <c r="U640" s="388"/>
      <c r="V640" s="391" t="b">
        <v>0</v>
      </c>
      <c r="W640" s="391" t="b">
        <v>0</v>
      </c>
      <c r="X640" s="391" t="b">
        <v>0</v>
      </c>
    </row>
    <row r="641" ht="24.0" customHeight="1">
      <c r="A641" s="457" t="s">
        <v>1435</v>
      </c>
      <c r="B641" s="383">
        <v>46217.49454024306</v>
      </c>
      <c r="C641" s="384" t="s">
        <v>1437</v>
      </c>
      <c r="D641" s="116" t="s">
        <v>93</v>
      </c>
      <c r="E641" s="116" t="s">
        <v>156</v>
      </c>
      <c r="F641" s="388"/>
      <c r="G641" s="457" t="s">
        <v>226</v>
      </c>
      <c r="H641" s="385">
        <v>1.0</v>
      </c>
      <c r="I641" s="386">
        <f>IF(G641="", "", IFERROR(VLOOKUP(G641, Products!A:F, 4, FALSE), ""))
</f>
        <v>100</v>
      </c>
      <c r="J641" s="405">
        <v>0.0</v>
      </c>
      <c r="K641" s="54">
        <f t="shared" si="20"/>
        <v>100</v>
      </c>
      <c r="L641" s="387"/>
      <c r="M641" s="138"/>
      <c r="N641" s="46">
        <f t="shared" si="21"/>
        <v>100</v>
      </c>
      <c r="O641" s="369" t="b">
        <v>1</v>
      </c>
      <c r="P641" s="369" t="b">
        <v>1</v>
      </c>
      <c r="Q641" s="387"/>
      <c r="R641" s="388"/>
      <c r="S641" s="65">
        <f t="shared" si="22"/>
        <v>100</v>
      </c>
      <c r="T641" s="369" t="b">
        <v>0</v>
      </c>
      <c r="U641" s="388"/>
      <c r="V641" s="391" t="b">
        <v>0</v>
      </c>
      <c r="W641" s="391" t="b">
        <v>0</v>
      </c>
      <c r="X641" s="391" t="b">
        <v>0</v>
      </c>
    </row>
    <row r="642" ht="24.0" customHeight="1">
      <c r="A642" s="457" t="s">
        <v>1435</v>
      </c>
      <c r="B642" s="383">
        <v>46217.49454024306</v>
      </c>
      <c r="C642" s="384" t="s">
        <v>1437</v>
      </c>
      <c r="D642" s="116" t="s">
        <v>93</v>
      </c>
      <c r="E642" s="116" t="s">
        <v>156</v>
      </c>
      <c r="F642" s="388"/>
      <c r="G642" s="457" t="s">
        <v>214</v>
      </c>
      <c r="H642" s="385">
        <v>1.0</v>
      </c>
      <c r="I642" s="386">
        <f>IF(G642="", "", IFERROR(VLOOKUP(G642, Products!A:F, 4, FALSE), ""))
</f>
        <v>120</v>
      </c>
      <c r="J642" s="405">
        <v>0.0</v>
      </c>
      <c r="K642" s="54">
        <f t="shared" si="20"/>
        <v>120</v>
      </c>
      <c r="L642" s="387"/>
      <c r="M642" s="138"/>
      <c r="N642" s="46">
        <f t="shared" si="21"/>
        <v>120</v>
      </c>
      <c r="O642" s="369" t="b">
        <v>1</v>
      </c>
      <c r="P642" s="369" t="b">
        <v>1</v>
      </c>
      <c r="Q642" s="387"/>
      <c r="R642" s="388"/>
      <c r="S642" s="65">
        <f t="shared" si="22"/>
        <v>120</v>
      </c>
      <c r="T642" s="369" t="b">
        <v>0</v>
      </c>
      <c r="U642" s="388"/>
      <c r="V642" s="391" t="b">
        <v>0</v>
      </c>
      <c r="W642" s="391" t="b">
        <v>0</v>
      </c>
      <c r="X642" s="391" t="b">
        <v>0</v>
      </c>
    </row>
    <row r="643" ht="24.0" customHeight="1">
      <c r="A643" s="457" t="s">
        <v>1435</v>
      </c>
      <c r="B643" s="383">
        <v>46217.49454024306</v>
      </c>
      <c r="C643" s="384" t="s">
        <v>1437</v>
      </c>
      <c r="D643" s="116" t="s">
        <v>93</v>
      </c>
      <c r="E643" s="116" t="s">
        <v>156</v>
      </c>
      <c r="F643" s="388"/>
      <c r="G643" s="457" t="s">
        <v>212</v>
      </c>
      <c r="H643" s="385">
        <v>1.0</v>
      </c>
      <c r="I643" s="386">
        <f>IF(G643="", "", IFERROR(VLOOKUP(G643, Products!A:F, 4, FALSE), ""))
</f>
        <v>80</v>
      </c>
      <c r="J643" s="405">
        <v>0.0</v>
      </c>
      <c r="K643" s="54">
        <f t="shared" si="20"/>
        <v>80</v>
      </c>
      <c r="L643" s="387"/>
      <c r="M643" s="138"/>
      <c r="N643" s="46">
        <f t="shared" si="21"/>
        <v>80</v>
      </c>
      <c r="O643" s="369" t="b">
        <v>1</v>
      </c>
      <c r="P643" s="369" t="b">
        <v>1</v>
      </c>
      <c r="Q643" s="387"/>
      <c r="R643" s="388"/>
      <c r="S643" s="65">
        <f t="shared" si="22"/>
        <v>80</v>
      </c>
      <c r="T643" s="369" t="b">
        <v>0</v>
      </c>
      <c r="U643" s="388"/>
      <c r="V643" s="391" t="b">
        <v>0</v>
      </c>
      <c r="W643" s="391" t="b">
        <v>0</v>
      </c>
      <c r="X643" s="391" t="b">
        <v>0</v>
      </c>
    </row>
    <row r="644" ht="24.0" customHeight="1">
      <c r="A644" s="457" t="s">
        <v>1435</v>
      </c>
      <c r="B644" s="383">
        <v>46217.49454024306</v>
      </c>
      <c r="C644" s="384" t="s">
        <v>1437</v>
      </c>
      <c r="D644" s="116" t="s">
        <v>93</v>
      </c>
      <c r="E644" s="116" t="s">
        <v>156</v>
      </c>
      <c r="F644" s="388"/>
      <c r="G644" s="457" t="s">
        <v>63</v>
      </c>
      <c r="H644" s="385">
        <v>1.0</v>
      </c>
      <c r="I644" s="386">
        <f>IF(G644="", "", IFERROR(VLOOKUP(G644, Products!A:F, 4, FALSE), ""))
</f>
        <v>850</v>
      </c>
      <c r="J644" s="405">
        <v>0.0</v>
      </c>
      <c r="K644" s="54">
        <f t="shared" si="20"/>
        <v>850</v>
      </c>
      <c r="L644" s="387"/>
      <c r="M644" s="138"/>
      <c r="N644" s="46">
        <f t="shared" si="21"/>
        <v>850</v>
      </c>
      <c r="O644" s="369" t="b">
        <v>1</v>
      </c>
      <c r="P644" s="369" t="b">
        <v>1</v>
      </c>
      <c r="Q644" s="387"/>
      <c r="R644" s="388"/>
      <c r="S644" s="65">
        <f t="shared" si="22"/>
        <v>850</v>
      </c>
      <c r="T644" s="369" t="b">
        <v>0</v>
      </c>
      <c r="U644" s="388"/>
      <c r="V644" s="391" t="b">
        <v>0</v>
      </c>
      <c r="W644" s="391" t="b">
        <v>0</v>
      </c>
      <c r="X644" s="391" t="b">
        <v>0</v>
      </c>
    </row>
    <row r="645" ht="24.0" customHeight="1">
      <c r="A645" s="457" t="s">
        <v>1438</v>
      </c>
      <c r="B645" s="383">
        <v>46218.67887418982</v>
      </c>
      <c r="C645" s="384" t="s">
        <v>1439</v>
      </c>
      <c r="D645" s="116" t="s">
        <v>93</v>
      </c>
      <c r="E645" s="116" t="s">
        <v>568</v>
      </c>
      <c r="F645" s="388"/>
      <c r="G645" s="457" t="s">
        <v>190</v>
      </c>
      <c r="H645" s="385">
        <v>5.0</v>
      </c>
      <c r="I645" s="386">
        <f>IF(G645="", "", IFERROR(VLOOKUP(G645, Products!A:F, 4, FALSE), ""))
</f>
        <v>200</v>
      </c>
      <c r="J645" s="405">
        <v>100.0</v>
      </c>
      <c r="K645" s="54">
        <f t="shared" si="20"/>
        <v>900</v>
      </c>
      <c r="L645" s="387">
        <v>450.0</v>
      </c>
      <c r="M645" s="138" t="s">
        <v>73</v>
      </c>
      <c r="N645" s="46">
        <f t="shared" si="21"/>
        <v>450</v>
      </c>
      <c r="O645" s="369" t="b">
        <v>1</v>
      </c>
      <c r="P645" s="369" t="b">
        <v>1</v>
      </c>
      <c r="Q645" s="387"/>
      <c r="R645" s="388"/>
      <c r="S645" s="65">
        <f t="shared" si="22"/>
        <v>450</v>
      </c>
      <c r="T645" s="369" t="b">
        <v>0</v>
      </c>
      <c r="U645" s="388"/>
      <c r="V645" s="391" t="b">
        <v>0</v>
      </c>
      <c r="W645" s="391" t="b">
        <v>0</v>
      </c>
      <c r="X645" s="391" t="b">
        <v>0</v>
      </c>
    </row>
    <row r="646" ht="24.0" customHeight="1">
      <c r="A646" s="457" t="s">
        <v>1440</v>
      </c>
      <c r="B646" s="383">
        <v>46218.68012239583</v>
      </c>
      <c r="C646" s="384" t="s">
        <v>1441</v>
      </c>
      <c r="D646" s="116" t="s">
        <v>78</v>
      </c>
      <c r="E646" s="116" t="s">
        <v>79</v>
      </c>
      <c r="F646" s="388"/>
      <c r="G646" s="457" t="s">
        <v>122</v>
      </c>
      <c r="H646" s="385">
        <v>2.0</v>
      </c>
      <c r="I646" s="386">
        <f>IF(G646="", "", IFERROR(VLOOKUP(G646, Products!A:F, 4, FALSE), ""))
</f>
        <v>80</v>
      </c>
      <c r="J646" s="405">
        <v>0.0</v>
      </c>
      <c r="K646" s="54">
        <f t="shared" si="20"/>
        <v>160</v>
      </c>
      <c r="L646" s="387"/>
      <c r="M646" s="138"/>
      <c r="N646" s="46">
        <f t="shared" si="21"/>
        <v>160</v>
      </c>
      <c r="O646" s="369" t="b">
        <v>1</v>
      </c>
      <c r="P646" s="369" t="b">
        <v>1</v>
      </c>
      <c r="Q646" s="387"/>
      <c r="R646" s="388"/>
      <c r="S646" s="65">
        <f t="shared" si="22"/>
        <v>160</v>
      </c>
      <c r="T646" s="369" t="b">
        <v>0</v>
      </c>
      <c r="U646" s="388"/>
      <c r="V646" s="391" t="b">
        <v>0</v>
      </c>
      <c r="W646" s="391" t="b">
        <v>0</v>
      </c>
      <c r="X646" s="391" t="b">
        <v>0</v>
      </c>
    </row>
    <row r="647" ht="24.0" customHeight="1">
      <c r="A647" s="457" t="s">
        <v>1440</v>
      </c>
      <c r="B647" s="383">
        <v>46218.68012239583</v>
      </c>
      <c r="C647" s="384" t="s">
        <v>1442</v>
      </c>
      <c r="D647" s="116" t="s">
        <v>78</v>
      </c>
      <c r="E647" s="116" t="s">
        <v>79</v>
      </c>
      <c r="F647" s="388"/>
      <c r="G647" s="457" t="s">
        <v>190</v>
      </c>
      <c r="H647" s="385">
        <v>2.0</v>
      </c>
      <c r="I647" s="386">
        <f>IF(G647="", "", IFERROR(VLOOKUP(G647, Products!A:F, 4, FALSE), ""))
</f>
        <v>200</v>
      </c>
      <c r="J647" s="405">
        <v>0.0</v>
      </c>
      <c r="K647" s="54">
        <f t="shared" si="20"/>
        <v>400</v>
      </c>
      <c r="L647" s="387">
        <v>280.0</v>
      </c>
      <c r="M647" s="138" t="s">
        <v>73</v>
      </c>
      <c r="N647" s="46">
        <f t="shared" si="21"/>
        <v>120</v>
      </c>
      <c r="O647" s="369" t="b">
        <v>1</v>
      </c>
      <c r="P647" s="369" t="b">
        <v>1</v>
      </c>
      <c r="Q647" s="387"/>
      <c r="R647" s="388"/>
      <c r="S647" s="65">
        <f t="shared" si="22"/>
        <v>120</v>
      </c>
      <c r="T647" s="369" t="b">
        <v>0</v>
      </c>
      <c r="U647" s="388"/>
      <c r="V647" s="391" t="b">
        <v>0</v>
      </c>
      <c r="W647" s="391" t="b">
        <v>0</v>
      </c>
      <c r="X647" s="391" t="b">
        <v>0</v>
      </c>
    </row>
    <row r="648" ht="24.0" customHeight="1">
      <c r="A648" s="457" t="s">
        <v>1443</v>
      </c>
      <c r="B648" s="383">
        <v>46218.6817405787</v>
      </c>
      <c r="C648" s="384" t="s">
        <v>1444</v>
      </c>
      <c r="D648" s="116" t="s">
        <v>93</v>
      </c>
      <c r="E648" s="116" t="s">
        <v>148</v>
      </c>
      <c r="F648" s="388"/>
      <c r="G648" s="457" t="s">
        <v>124</v>
      </c>
      <c r="H648" s="385">
        <v>150.0</v>
      </c>
      <c r="I648" s="386">
        <f>IF(G648="", "", IFERROR(VLOOKUP(G648, Products!A:F, 4, FALSE), ""))
</f>
        <v>3</v>
      </c>
      <c r="J648" s="405">
        <v>0.0</v>
      </c>
      <c r="K648" s="54">
        <f t="shared" si="20"/>
        <v>450</v>
      </c>
      <c r="L648" s="387">
        <v>275.0</v>
      </c>
      <c r="M648" s="138" t="s">
        <v>73</v>
      </c>
      <c r="N648" s="46">
        <f t="shared" si="21"/>
        <v>175</v>
      </c>
      <c r="O648" s="369" t="b">
        <v>0</v>
      </c>
      <c r="P648" s="369" t="b">
        <v>1</v>
      </c>
      <c r="Q648" s="387"/>
      <c r="R648" s="388"/>
      <c r="S648" s="65">
        <f t="shared" si="22"/>
        <v>175</v>
      </c>
      <c r="T648" s="369" t="b">
        <v>0</v>
      </c>
      <c r="U648" s="388"/>
      <c r="V648" s="369" t="b">
        <v>1</v>
      </c>
      <c r="W648" s="369" t="b">
        <v>1</v>
      </c>
      <c r="X648" s="391" t="b">
        <v>0</v>
      </c>
    </row>
    <row r="649" ht="24.0" customHeight="1">
      <c r="A649" s="457" t="s">
        <v>1443</v>
      </c>
      <c r="B649" s="383">
        <v>46218.6817405787</v>
      </c>
      <c r="C649" s="384" t="s">
        <v>1444</v>
      </c>
      <c r="D649" s="116" t="s">
        <v>93</v>
      </c>
      <c r="E649" s="116" t="s">
        <v>148</v>
      </c>
      <c r="F649" s="388"/>
      <c r="G649" s="457" t="s">
        <v>138</v>
      </c>
      <c r="H649" s="385">
        <v>1.0</v>
      </c>
      <c r="I649" s="386">
        <f>IF(G649="", "", IFERROR(VLOOKUP(G649, Products!A:F, 4, FALSE), ""))
</f>
        <v>100</v>
      </c>
      <c r="J649" s="405">
        <v>0.0</v>
      </c>
      <c r="K649" s="54">
        <f t="shared" si="20"/>
        <v>100</v>
      </c>
      <c r="L649" s="387"/>
      <c r="M649" s="138"/>
      <c r="N649" s="46">
        <f t="shared" si="21"/>
        <v>100</v>
      </c>
      <c r="O649" s="369" t="b">
        <v>0</v>
      </c>
      <c r="P649" s="369" t="b">
        <v>1</v>
      </c>
      <c r="Q649" s="387"/>
      <c r="R649" s="388"/>
      <c r="S649" s="65">
        <f t="shared" si="22"/>
        <v>100</v>
      </c>
      <c r="T649" s="369" t="b">
        <v>0</v>
      </c>
      <c r="U649" s="388"/>
      <c r="V649" s="369" t="b">
        <v>1</v>
      </c>
      <c r="W649" s="391" t="b">
        <v>0</v>
      </c>
      <c r="X649" s="391" t="b">
        <v>0</v>
      </c>
    </row>
    <row r="650" ht="24.0" customHeight="1">
      <c r="A650" s="457" t="s">
        <v>1445</v>
      </c>
      <c r="B650" s="383">
        <v>46221.82303886574</v>
      </c>
      <c r="C650" s="384" t="s">
        <v>1446</v>
      </c>
      <c r="D650" s="116" t="s">
        <v>93</v>
      </c>
      <c r="E650" s="116" t="s">
        <v>250</v>
      </c>
      <c r="F650" s="388"/>
      <c r="G650" s="457" t="s">
        <v>201</v>
      </c>
      <c r="H650" s="385">
        <v>2.0</v>
      </c>
      <c r="I650" s="386">
        <f>IF(G650="", "", IFERROR(VLOOKUP(G650, Products!A:F, 4, FALSE), ""))
</f>
        <v>80</v>
      </c>
      <c r="J650" s="405">
        <v>0.0</v>
      </c>
      <c r="K650" s="54">
        <f t="shared" si="20"/>
        <v>160</v>
      </c>
      <c r="L650" s="387">
        <v>160.0</v>
      </c>
      <c r="M650" s="138" t="s">
        <v>73</v>
      </c>
      <c r="N650" s="46">
        <f t="shared" si="21"/>
        <v>0</v>
      </c>
      <c r="O650" s="369" t="b">
        <v>1</v>
      </c>
      <c r="P650" s="369" t="b">
        <v>1</v>
      </c>
      <c r="Q650" s="387"/>
      <c r="R650" s="388"/>
      <c r="S650" s="65">
        <f t="shared" si="22"/>
        <v>0</v>
      </c>
      <c r="T650" s="369" t="b">
        <v>0</v>
      </c>
      <c r="U650" s="388"/>
      <c r="V650" s="391" t="b">
        <v>0</v>
      </c>
      <c r="W650" s="391" t="b">
        <v>0</v>
      </c>
      <c r="X650" s="391" t="b">
        <v>0</v>
      </c>
    </row>
    <row r="651" ht="24.0" customHeight="1">
      <c r="A651" s="457" t="s">
        <v>1445</v>
      </c>
      <c r="B651" s="383">
        <v>46221.82303886574</v>
      </c>
      <c r="C651" s="384" t="s">
        <v>1447</v>
      </c>
      <c r="D651" s="116" t="s">
        <v>93</v>
      </c>
      <c r="E651" s="116" t="s">
        <v>250</v>
      </c>
      <c r="F651" s="388"/>
      <c r="G651" s="457" t="s">
        <v>210</v>
      </c>
      <c r="H651" s="385">
        <v>2.0</v>
      </c>
      <c r="I651" s="386">
        <f>IF(G651="", "", IFERROR(VLOOKUP(G651, Products!A:F, 4, FALSE), ""))
</f>
        <v>80</v>
      </c>
      <c r="J651" s="405">
        <v>0.0</v>
      </c>
      <c r="K651" s="54">
        <f t="shared" si="20"/>
        <v>160</v>
      </c>
      <c r="L651" s="387">
        <v>160.0</v>
      </c>
      <c r="M651" s="138" t="s">
        <v>73</v>
      </c>
      <c r="N651" s="46">
        <f t="shared" si="21"/>
        <v>0</v>
      </c>
      <c r="O651" s="369" t="b">
        <v>1</v>
      </c>
      <c r="P651" s="369" t="b">
        <v>1</v>
      </c>
      <c r="Q651" s="387"/>
      <c r="R651" s="388"/>
      <c r="S651" s="65">
        <f t="shared" si="22"/>
        <v>0</v>
      </c>
      <c r="T651" s="369" t="b">
        <v>0</v>
      </c>
      <c r="U651" s="388"/>
      <c r="V651" s="391" t="b">
        <v>0</v>
      </c>
      <c r="W651" s="391" t="b">
        <v>0</v>
      </c>
      <c r="X651" s="391" t="b">
        <v>0</v>
      </c>
    </row>
    <row r="652" ht="24.0" customHeight="1">
      <c r="A652" s="457" t="s">
        <v>1445</v>
      </c>
      <c r="B652" s="383">
        <v>46221.82303886574</v>
      </c>
      <c r="C652" s="384" t="s">
        <v>1447</v>
      </c>
      <c r="D652" s="116" t="s">
        <v>93</v>
      </c>
      <c r="E652" s="116" t="s">
        <v>250</v>
      </c>
      <c r="F652" s="388"/>
      <c r="G652" s="457" t="s">
        <v>212</v>
      </c>
      <c r="H652" s="385">
        <v>2.0</v>
      </c>
      <c r="I652" s="386">
        <f>IF(G652="", "", IFERROR(VLOOKUP(G652, Products!A:F, 4, FALSE), ""))
</f>
        <v>80</v>
      </c>
      <c r="J652" s="405">
        <v>0.0</v>
      </c>
      <c r="K652" s="54">
        <f t="shared" si="20"/>
        <v>160</v>
      </c>
      <c r="L652" s="387">
        <v>160.0</v>
      </c>
      <c r="M652" s="138" t="s">
        <v>73</v>
      </c>
      <c r="N652" s="46">
        <f t="shared" si="21"/>
        <v>0</v>
      </c>
      <c r="O652" s="369" t="b">
        <v>1</v>
      </c>
      <c r="P652" s="369" t="b">
        <v>1</v>
      </c>
      <c r="Q652" s="387"/>
      <c r="R652" s="388"/>
      <c r="S652" s="65">
        <f t="shared" si="22"/>
        <v>0</v>
      </c>
      <c r="T652" s="369" t="b">
        <v>0</v>
      </c>
      <c r="U652" s="388"/>
      <c r="V652" s="391" t="b">
        <v>0</v>
      </c>
      <c r="W652" s="391" t="b">
        <v>0</v>
      </c>
      <c r="X652" s="391" t="b">
        <v>0</v>
      </c>
    </row>
    <row r="653" ht="24.0" customHeight="1">
      <c r="A653" s="457" t="s">
        <v>1445</v>
      </c>
      <c r="B653" s="383">
        <v>46221.82303886574</v>
      </c>
      <c r="C653" s="384" t="s">
        <v>1447</v>
      </c>
      <c r="D653" s="116" t="s">
        <v>93</v>
      </c>
      <c r="E653" s="116" t="s">
        <v>250</v>
      </c>
      <c r="F653" s="388"/>
      <c r="G653" s="457" t="s">
        <v>122</v>
      </c>
      <c r="H653" s="385">
        <v>2.0</v>
      </c>
      <c r="I653" s="386">
        <f>IF(G653="", "", IFERROR(VLOOKUP(G653, Products!A:F, 4, FALSE), ""))
</f>
        <v>80</v>
      </c>
      <c r="J653" s="405">
        <v>0.0</v>
      </c>
      <c r="K653" s="54">
        <f t="shared" si="20"/>
        <v>160</v>
      </c>
      <c r="L653" s="387">
        <v>160.0</v>
      </c>
      <c r="M653" s="138" t="s">
        <v>73</v>
      </c>
      <c r="N653" s="46">
        <f t="shared" si="21"/>
        <v>0</v>
      </c>
      <c r="O653" s="369" t="b">
        <v>1</v>
      </c>
      <c r="P653" s="369" t="b">
        <v>1</v>
      </c>
      <c r="Q653" s="387"/>
      <c r="R653" s="388"/>
      <c r="S653" s="65">
        <f t="shared" si="22"/>
        <v>0</v>
      </c>
      <c r="T653" s="369" t="b">
        <v>0</v>
      </c>
      <c r="U653" s="388"/>
      <c r="V653" s="391" t="b">
        <v>0</v>
      </c>
      <c r="W653" s="391" t="b">
        <v>0</v>
      </c>
      <c r="X653" s="391" t="b">
        <v>0</v>
      </c>
    </row>
    <row r="654" ht="24.0" customHeight="1">
      <c r="A654" s="457" t="s">
        <v>1445</v>
      </c>
      <c r="B654" s="383">
        <v>46221.82303886574</v>
      </c>
      <c r="C654" s="384" t="s">
        <v>1447</v>
      </c>
      <c r="D654" s="116" t="s">
        <v>93</v>
      </c>
      <c r="E654" s="116" t="s">
        <v>250</v>
      </c>
      <c r="F654" s="388"/>
      <c r="G654" s="457" t="s">
        <v>187</v>
      </c>
      <c r="H654" s="385">
        <v>2.0</v>
      </c>
      <c r="I654" s="386">
        <f>IF(G654="", "", IFERROR(VLOOKUP(G654, Products!A:F, 4, FALSE), ""))
</f>
        <v>400</v>
      </c>
      <c r="J654" s="405">
        <v>0.0</v>
      </c>
      <c r="K654" s="54">
        <f t="shared" si="20"/>
        <v>800</v>
      </c>
      <c r="L654" s="387">
        <v>800.0</v>
      </c>
      <c r="M654" s="138" t="s">
        <v>73</v>
      </c>
      <c r="N654" s="46">
        <f t="shared" si="21"/>
        <v>0</v>
      </c>
      <c r="O654" s="369" t="b">
        <v>1</v>
      </c>
      <c r="P654" s="369" t="b">
        <v>1</v>
      </c>
      <c r="Q654" s="387"/>
      <c r="R654" s="388"/>
      <c r="S654" s="65">
        <f t="shared" si="22"/>
        <v>0</v>
      </c>
      <c r="T654" s="369" t="b">
        <v>0</v>
      </c>
      <c r="U654" s="388"/>
      <c r="V654" s="391" t="b">
        <v>0</v>
      </c>
      <c r="W654" s="391" t="b">
        <v>0</v>
      </c>
      <c r="X654" s="391" t="b">
        <v>0</v>
      </c>
    </row>
    <row r="655" ht="24.0" customHeight="1">
      <c r="A655" s="457" t="s">
        <v>1445</v>
      </c>
      <c r="B655" s="383">
        <v>46221.82303886574</v>
      </c>
      <c r="C655" s="384" t="s">
        <v>1447</v>
      </c>
      <c r="D655" s="116" t="s">
        <v>93</v>
      </c>
      <c r="E655" s="116" t="s">
        <v>250</v>
      </c>
      <c r="F655" s="388"/>
      <c r="G655" s="457" t="s">
        <v>190</v>
      </c>
      <c r="H655" s="385">
        <v>2.0</v>
      </c>
      <c r="I655" s="386">
        <f>IF(G655="", "", IFERROR(VLOOKUP(G655, Products!A:F, 4, FALSE), ""))
</f>
        <v>200</v>
      </c>
      <c r="J655" s="405">
        <v>0.0</v>
      </c>
      <c r="K655" s="54">
        <f t="shared" si="20"/>
        <v>400</v>
      </c>
      <c r="L655" s="387">
        <v>400.0</v>
      </c>
      <c r="M655" s="138" t="s">
        <v>73</v>
      </c>
      <c r="N655" s="46">
        <f t="shared" si="21"/>
        <v>0</v>
      </c>
      <c r="O655" s="369" t="b">
        <v>1</v>
      </c>
      <c r="P655" s="369" t="b">
        <v>1</v>
      </c>
      <c r="Q655" s="387"/>
      <c r="R655" s="388"/>
      <c r="S655" s="65">
        <f t="shared" si="22"/>
        <v>0</v>
      </c>
      <c r="T655" s="369" t="b">
        <v>0</v>
      </c>
      <c r="U655" s="388"/>
      <c r="V655" s="391" t="b">
        <v>0</v>
      </c>
      <c r="W655" s="391" t="b">
        <v>0</v>
      </c>
      <c r="X655" s="391" t="b">
        <v>0</v>
      </c>
    </row>
    <row r="656" ht="24.0" customHeight="1">
      <c r="A656" s="457" t="s">
        <v>1445</v>
      </c>
      <c r="B656" s="383">
        <v>46221.82303886574</v>
      </c>
      <c r="C656" s="384" t="s">
        <v>1447</v>
      </c>
      <c r="D656" s="116" t="s">
        <v>93</v>
      </c>
      <c r="E656" s="116" t="s">
        <v>250</v>
      </c>
      <c r="F656" s="388"/>
      <c r="G656" s="457" t="s">
        <v>207</v>
      </c>
      <c r="H656" s="385">
        <v>2.0</v>
      </c>
      <c r="I656" s="386">
        <f>IF(G656="", "", IFERROR(VLOOKUP(G656, Products!A:F, 4, FALSE), ""))
</f>
        <v>80</v>
      </c>
      <c r="J656" s="405">
        <v>0.0</v>
      </c>
      <c r="K656" s="54">
        <f t="shared" si="20"/>
        <v>160</v>
      </c>
      <c r="L656" s="387">
        <v>160.0</v>
      </c>
      <c r="M656" s="138" t="s">
        <v>73</v>
      </c>
      <c r="N656" s="46">
        <f t="shared" si="21"/>
        <v>0</v>
      </c>
      <c r="O656" s="369" t="b">
        <v>1</v>
      </c>
      <c r="P656" s="369" t="b">
        <v>1</v>
      </c>
      <c r="Q656" s="387"/>
      <c r="R656" s="388"/>
      <c r="S656" s="65">
        <f t="shared" si="22"/>
        <v>0</v>
      </c>
      <c r="T656" s="369" t="b">
        <v>0</v>
      </c>
      <c r="U656" s="388"/>
      <c r="V656" s="391" t="b">
        <v>0</v>
      </c>
      <c r="W656" s="391" t="b">
        <v>0</v>
      </c>
      <c r="X656" s="391" t="b">
        <v>0</v>
      </c>
    </row>
    <row r="657" ht="24.0" customHeight="1">
      <c r="A657" s="457" t="s">
        <v>1445</v>
      </c>
      <c r="B657" s="383">
        <v>46221.82303886574</v>
      </c>
      <c r="C657" s="384" t="s">
        <v>1447</v>
      </c>
      <c r="D657" s="116" t="s">
        <v>93</v>
      </c>
      <c r="E657" s="116" t="s">
        <v>250</v>
      </c>
      <c r="F657" s="388"/>
      <c r="G657" s="457" t="s">
        <v>205</v>
      </c>
      <c r="H657" s="385">
        <v>2.0</v>
      </c>
      <c r="I657" s="386">
        <f>IF(G657="", "", IFERROR(VLOOKUP(G657, Products!A:F, 4, FALSE), ""))
</f>
        <v>100</v>
      </c>
      <c r="J657" s="405">
        <v>0.0</v>
      </c>
      <c r="K657" s="54">
        <f t="shared" si="20"/>
        <v>200</v>
      </c>
      <c r="L657" s="387">
        <v>200.0</v>
      </c>
      <c r="M657" s="138" t="s">
        <v>73</v>
      </c>
      <c r="N657" s="46">
        <f t="shared" si="21"/>
        <v>0</v>
      </c>
      <c r="O657" s="369" t="b">
        <v>1</v>
      </c>
      <c r="P657" s="369" t="b">
        <v>1</v>
      </c>
      <c r="Q657" s="387"/>
      <c r="R657" s="388"/>
      <c r="S657" s="65">
        <f t="shared" si="22"/>
        <v>0</v>
      </c>
      <c r="T657" s="369" t="b">
        <v>0</v>
      </c>
      <c r="U657" s="388"/>
      <c r="V657" s="391" t="b">
        <v>0</v>
      </c>
      <c r="W657" s="391" t="b">
        <v>0</v>
      </c>
      <c r="X657" s="391" t="b">
        <v>0</v>
      </c>
    </row>
    <row r="658" ht="24.0" customHeight="1">
      <c r="A658" s="457" t="s">
        <v>1445</v>
      </c>
      <c r="B658" s="383">
        <v>46221.82303886574</v>
      </c>
      <c r="C658" s="384" t="s">
        <v>1447</v>
      </c>
      <c r="D658" s="116" t="s">
        <v>93</v>
      </c>
      <c r="E658" s="116" t="s">
        <v>250</v>
      </c>
      <c r="F658" s="388"/>
      <c r="G658" s="76" t="s">
        <v>222</v>
      </c>
      <c r="H658" s="385">
        <v>2.0</v>
      </c>
      <c r="I658" s="386">
        <f>IF(G658="", "", IFERROR(VLOOKUP(G658, Products!A:F, 4, FALSE), ""))
</f>
        <v>80</v>
      </c>
      <c r="J658" s="405">
        <v>0.0</v>
      </c>
      <c r="K658" s="54">
        <f t="shared" si="20"/>
        <v>160</v>
      </c>
      <c r="L658" s="387">
        <v>160.0</v>
      </c>
      <c r="M658" s="138" t="s">
        <v>73</v>
      </c>
      <c r="N658" s="46">
        <f t="shared" si="21"/>
        <v>0</v>
      </c>
      <c r="O658" s="369" t="b">
        <v>1</v>
      </c>
      <c r="P658" s="369" t="b">
        <v>1</v>
      </c>
      <c r="Q658" s="387"/>
      <c r="R658" s="388"/>
      <c r="S658" s="65">
        <f t="shared" si="22"/>
        <v>0</v>
      </c>
      <c r="T658" s="369" t="b">
        <v>0</v>
      </c>
      <c r="U658" s="388"/>
      <c r="V658" s="391" t="b">
        <v>0</v>
      </c>
      <c r="W658" s="391" t="b">
        <v>0</v>
      </c>
      <c r="X658" s="391" t="b">
        <v>0</v>
      </c>
    </row>
    <row r="659" ht="24.0" customHeight="1">
      <c r="A659" s="457" t="s">
        <v>1445</v>
      </c>
      <c r="B659" s="383">
        <v>46221.82303886574</v>
      </c>
      <c r="C659" s="384" t="s">
        <v>1447</v>
      </c>
      <c r="D659" s="116" t="s">
        <v>93</v>
      </c>
      <c r="E659" s="116" t="s">
        <v>250</v>
      </c>
      <c r="F659" s="388"/>
      <c r="G659" s="457" t="s">
        <v>217</v>
      </c>
      <c r="H659" s="385">
        <v>2.0</v>
      </c>
      <c r="I659" s="386">
        <f>IF(G659="", "", IFERROR(VLOOKUP(G659, Products!A:F, 4, FALSE), ""))
</f>
        <v>80</v>
      </c>
      <c r="J659" s="405">
        <v>0.0</v>
      </c>
      <c r="K659" s="54">
        <f t="shared" si="20"/>
        <v>160</v>
      </c>
      <c r="L659" s="387">
        <v>160.0</v>
      </c>
      <c r="M659" s="138" t="s">
        <v>73</v>
      </c>
      <c r="N659" s="46">
        <f t="shared" si="21"/>
        <v>0</v>
      </c>
      <c r="O659" s="369" t="b">
        <v>1</v>
      </c>
      <c r="P659" s="369" t="b">
        <v>1</v>
      </c>
      <c r="Q659" s="387"/>
      <c r="R659" s="388"/>
      <c r="S659" s="65">
        <f t="shared" si="22"/>
        <v>0</v>
      </c>
      <c r="T659" s="369" t="b">
        <v>0</v>
      </c>
      <c r="U659" s="388"/>
      <c r="V659" s="391" t="b">
        <v>0</v>
      </c>
      <c r="W659" s="391" t="b">
        <v>0</v>
      </c>
      <c r="X659" s="391" t="b">
        <v>0</v>
      </c>
    </row>
    <row r="660" ht="24.0" customHeight="1">
      <c r="A660" s="457" t="s">
        <v>1445</v>
      </c>
      <c r="B660" s="383">
        <v>46221.82303886574</v>
      </c>
      <c r="C660" s="384" t="s">
        <v>1447</v>
      </c>
      <c r="D660" s="116" t="s">
        <v>93</v>
      </c>
      <c r="E660" s="116" t="s">
        <v>250</v>
      </c>
      <c r="F660" s="388"/>
      <c r="G660" s="457" t="s">
        <v>226</v>
      </c>
      <c r="H660" s="385">
        <v>2.0</v>
      </c>
      <c r="I660" s="386">
        <f>IF(G660="", "", IFERROR(VLOOKUP(G660, Products!A:F, 4, FALSE), ""))
</f>
        <v>100</v>
      </c>
      <c r="J660" s="405">
        <v>0.0</v>
      </c>
      <c r="K660" s="54">
        <f t="shared" si="20"/>
        <v>200</v>
      </c>
      <c r="L660" s="387">
        <v>200.0</v>
      </c>
      <c r="M660" s="138" t="s">
        <v>73</v>
      </c>
      <c r="N660" s="46">
        <f t="shared" si="21"/>
        <v>0</v>
      </c>
      <c r="O660" s="369" t="b">
        <v>1</v>
      </c>
      <c r="P660" s="369" t="b">
        <v>1</v>
      </c>
      <c r="Q660" s="387"/>
      <c r="R660" s="388"/>
      <c r="S660" s="65">
        <f t="shared" si="22"/>
        <v>0</v>
      </c>
      <c r="T660" s="369" t="b">
        <v>0</v>
      </c>
      <c r="U660" s="388"/>
      <c r="V660" s="391" t="b">
        <v>0</v>
      </c>
      <c r="W660" s="391" t="b">
        <v>0</v>
      </c>
      <c r="X660" s="391" t="b">
        <v>0</v>
      </c>
    </row>
    <row r="661" ht="24.0" customHeight="1">
      <c r="A661" s="457" t="s">
        <v>1445</v>
      </c>
      <c r="B661" s="383">
        <v>46221.82303886574</v>
      </c>
      <c r="C661" s="384" t="s">
        <v>1447</v>
      </c>
      <c r="D661" s="116" t="s">
        <v>93</v>
      </c>
      <c r="E661" s="116" t="s">
        <v>250</v>
      </c>
      <c r="F661" s="388"/>
      <c r="G661" s="76" t="s">
        <v>237</v>
      </c>
      <c r="H661" s="385">
        <v>2.0</v>
      </c>
      <c r="I661" s="386">
        <f>IF(G661="", "", IFERROR(VLOOKUP(G661, Products!A:F, 4, FALSE), ""))
</f>
        <v>15</v>
      </c>
      <c r="J661" s="405">
        <v>0.0</v>
      </c>
      <c r="K661" s="54">
        <f t="shared" si="20"/>
        <v>30</v>
      </c>
      <c r="L661" s="387">
        <v>30.0</v>
      </c>
      <c r="M661" s="138" t="s">
        <v>73</v>
      </c>
      <c r="N661" s="46">
        <f t="shared" si="21"/>
        <v>0</v>
      </c>
      <c r="O661" s="369" t="b">
        <v>1</v>
      </c>
      <c r="P661" s="369" t="b">
        <v>1</v>
      </c>
      <c r="Q661" s="387"/>
      <c r="R661" s="388"/>
      <c r="S661" s="65">
        <f t="shared" si="22"/>
        <v>0</v>
      </c>
      <c r="T661" s="369" t="b">
        <v>0</v>
      </c>
      <c r="U661" s="388"/>
      <c r="V661" s="391" t="b">
        <v>0</v>
      </c>
      <c r="W661" s="391" t="b">
        <v>0</v>
      </c>
      <c r="X661" s="391" t="b">
        <v>0</v>
      </c>
    </row>
    <row r="662" ht="24.0" customHeight="1">
      <c r="A662" s="457" t="s">
        <v>1445</v>
      </c>
      <c r="B662" s="383">
        <v>46221.82303886574</v>
      </c>
      <c r="C662" s="384" t="s">
        <v>1447</v>
      </c>
      <c r="D662" s="116" t="s">
        <v>93</v>
      </c>
      <c r="E662" s="116" t="s">
        <v>250</v>
      </c>
      <c r="F662" s="388"/>
      <c r="G662" s="457" t="s">
        <v>214</v>
      </c>
      <c r="H662" s="385">
        <v>2.0</v>
      </c>
      <c r="I662" s="386">
        <f>IF(G662="", "", IFERROR(VLOOKUP(G662, Products!A:F, 4, FALSE), ""))
</f>
        <v>120</v>
      </c>
      <c r="J662" s="405">
        <v>0.0</v>
      </c>
      <c r="K662" s="54">
        <f t="shared" si="20"/>
        <v>240</v>
      </c>
      <c r="L662" s="387">
        <v>240.0</v>
      </c>
      <c r="M662" s="138" t="s">
        <v>73</v>
      </c>
      <c r="N662" s="46">
        <f t="shared" si="21"/>
        <v>0</v>
      </c>
      <c r="O662" s="369" t="b">
        <v>1</v>
      </c>
      <c r="P662" s="369" t="b">
        <v>1</v>
      </c>
      <c r="Q662" s="387"/>
      <c r="R662" s="388"/>
      <c r="S662" s="65">
        <f t="shared" si="22"/>
        <v>0</v>
      </c>
      <c r="T662" s="369" t="b">
        <v>0</v>
      </c>
      <c r="U662" s="388"/>
      <c r="V662" s="391" t="b">
        <v>0</v>
      </c>
      <c r="W662" s="391" t="b">
        <v>0</v>
      </c>
      <c r="X662" s="391" t="b">
        <v>0</v>
      </c>
    </row>
    <row r="663" ht="24.0" customHeight="1">
      <c r="A663" s="457" t="s">
        <v>1445</v>
      </c>
      <c r="B663" s="383">
        <v>46221.82303886574</v>
      </c>
      <c r="C663" s="384" t="s">
        <v>1447</v>
      </c>
      <c r="D663" s="116" t="s">
        <v>93</v>
      </c>
      <c r="E663" s="116" t="s">
        <v>250</v>
      </c>
      <c r="F663" s="388"/>
      <c r="G663" s="457" t="s">
        <v>24</v>
      </c>
      <c r="H663" s="385">
        <v>2.0</v>
      </c>
      <c r="I663" s="386">
        <f>IF(G663="", "", IFERROR(VLOOKUP(G663, Products!A:F, 4, FALSE), ""))
</f>
        <v>30</v>
      </c>
      <c r="J663" s="405">
        <v>0.0</v>
      </c>
      <c r="K663" s="54">
        <f t="shared" si="20"/>
        <v>60</v>
      </c>
      <c r="L663" s="387">
        <v>60.0</v>
      </c>
      <c r="M663" s="138" t="s">
        <v>73</v>
      </c>
      <c r="N663" s="46">
        <f t="shared" si="21"/>
        <v>0</v>
      </c>
      <c r="O663" s="369" t="b">
        <v>1</v>
      </c>
      <c r="P663" s="369" t="b">
        <v>1</v>
      </c>
      <c r="Q663" s="387"/>
      <c r="R663" s="388"/>
      <c r="S663" s="65">
        <f t="shared" si="22"/>
        <v>0</v>
      </c>
      <c r="T663" s="369" t="b">
        <v>0</v>
      </c>
      <c r="U663" s="388"/>
      <c r="V663" s="391" t="b">
        <v>0</v>
      </c>
      <c r="W663" s="391" t="b">
        <v>0</v>
      </c>
      <c r="X663" s="391" t="b">
        <v>0</v>
      </c>
    </row>
    <row r="664" ht="24.0" customHeight="1">
      <c r="A664" s="457" t="s">
        <v>1445</v>
      </c>
      <c r="B664" s="383">
        <v>46221.82303886574</v>
      </c>
      <c r="C664" s="384" t="s">
        <v>1447</v>
      </c>
      <c r="D664" s="116" t="s">
        <v>93</v>
      </c>
      <c r="E664" s="116" t="s">
        <v>250</v>
      </c>
      <c r="F664" s="388"/>
      <c r="G664" s="457" t="s">
        <v>61</v>
      </c>
      <c r="H664" s="385">
        <v>2.0</v>
      </c>
      <c r="I664" s="386">
        <f>IF(G664="", "", IFERROR(VLOOKUP(G664, Products!A:F, 4, FALSE), ""))
</f>
        <v>18</v>
      </c>
      <c r="J664" s="405">
        <v>0.0</v>
      </c>
      <c r="K664" s="54">
        <f t="shared" si="20"/>
        <v>36</v>
      </c>
      <c r="L664" s="387">
        <v>36.0</v>
      </c>
      <c r="M664" s="138" t="s">
        <v>73</v>
      </c>
      <c r="N664" s="46">
        <f t="shared" si="21"/>
        <v>0</v>
      </c>
      <c r="O664" s="369" t="b">
        <v>1</v>
      </c>
      <c r="P664" s="369" t="b">
        <v>1</v>
      </c>
      <c r="Q664" s="387"/>
      <c r="R664" s="388"/>
      <c r="S664" s="65">
        <f t="shared" si="22"/>
        <v>0</v>
      </c>
      <c r="T664" s="369" t="b">
        <v>0</v>
      </c>
      <c r="U664" s="388"/>
      <c r="V664" s="391" t="b">
        <v>0</v>
      </c>
      <c r="W664" s="391" t="b">
        <v>0</v>
      </c>
      <c r="X664" s="391" t="b">
        <v>0</v>
      </c>
    </row>
    <row r="665" ht="24.0" customHeight="1">
      <c r="A665" s="457" t="s">
        <v>1445</v>
      </c>
      <c r="B665" s="383">
        <v>46221.82303886574</v>
      </c>
      <c r="C665" s="384" t="s">
        <v>1447</v>
      </c>
      <c r="D665" s="116" t="s">
        <v>93</v>
      </c>
      <c r="E665" s="116" t="s">
        <v>250</v>
      </c>
      <c r="F665" s="388"/>
      <c r="G665" s="457" t="s">
        <v>72</v>
      </c>
      <c r="H665" s="385">
        <v>2.0</v>
      </c>
      <c r="I665" s="386">
        <f>IF(G665="", "", IFERROR(VLOOKUP(G665, Products!A:F, 4, FALSE), ""))
</f>
        <v>23</v>
      </c>
      <c r="J665" s="405">
        <v>0.0</v>
      </c>
      <c r="K665" s="54">
        <f t="shared" si="20"/>
        <v>46</v>
      </c>
      <c r="L665" s="387">
        <v>46.0</v>
      </c>
      <c r="M665" s="138" t="s">
        <v>73</v>
      </c>
      <c r="N665" s="46">
        <f t="shared" si="21"/>
        <v>0</v>
      </c>
      <c r="O665" s="369" t="b">
        <v>1</v>
      </c>
      <c r="P665" s="369" t="b">
        <v>1</v>
      </c>
      <c r="Q665" s="387"/>
      <c r="R665" s="388"/>
      <c r="S665" s="65">
        <f t="shared" si="22"/>
        <v>0</v>
      </c>
      <c r="T665" s="369" t="b">
        <v>0</v>
      </c>
      <c r="U665" s="388"/>
      <c r="V665" s="391" t="b">
        <v>0</v>
      </c>
      <c r="W665" s="391" t="b">
        <v>0</v>
      </c>
      <c r="X665" s="391" t="b">
        <v>0</v>
      </c>
    </row>
    <row r="666" ht="24.0" customHeight="1">
      <c r="A666" s="457" t="s">
        <v>1445</v>
      </c>
      <c r="B666" s="383">
        <v>46221.82303886574</v>
      </c>
      <c r="C666" s="384" t="s">
        <v>1447</v>
      </c>
      <c r="D666" s="116" t="s">
        <v>93</v>
      </c>
      <c r="E666" s="116" t="s">
        <v>250</v>
      </c>
      <c r="F666" s="388"/>
      <c r="G666" s="457" t="s">
        <v>85</v>
      </c>
      <c r="H666" s="385">
        <v>2.0</v>
      </c>
      <c r="I666" s="386">
        <f>IF(G666="", "", IFERROR(VLOOKUP(G666, Products!A:F, 4, FALSE), ""))
</f>
        <v>30</v>
      </c>
      <c r="J666" s="405">
        <v>0.0</v>
      </c>
      <c r="K666" s="54">
        <f t="shared" si="20"/>
        <v>60</v>
      </c>
      <c r="L666" s="387">
        <v>60.0</v>
      </c>
      <c r="M666" s="138" t="s">
        <v>73</v>
      </c>
      <c r="N666" s="46">
        <f t="shared" si="21"/>
        <v>0</v>
      </c>
      <c r="O666" s="369" t="b">
        <v>1</v>
      </c>
      <c r="P666" s="369" t="b">
        <v>1</v>
      </c>
      <c r="Q666" s="387"/>
      <c r="R666" s="388"/>
      <c r="S666" s="65">
        <f t="shared" si="22"/>
        <v>0</v>
      </c>
      <c r="T666" s="369" t="b">
        <v>0</v>
      </c>
      <c r="U666" s="388"/>
      <c r="V666" s="391" t="b">
        <v>0</v>
      </c>
      <c r="W666" s="391" t="b">
        <v>0</v>
      </c>
      <c r="X666" s="391" t="b">
        <v>0</v>
      </c>
    </row>
    <row r="667" ht="24.0" customHeight="1">
      <c r="A667" s="457" t="s">
        <v>1445</v>
      </c>
      <c r="B667" s="383">
        <v>46221.82303886574</v>
      </c>
      <c r="C667" s="384" t="s">
        <v>1447</v>
      </c>
      <c r="D667" s="116" t="s">
        <v>93</v>
      </c>
      <c r="E667" s="116" t="s">
        <v>250</v>
      </c>
      <c r="F667" s="388"/>
      <c r="G667" s="457" t="s">
        <v>168</v>
      </c>
      <c r="H667" s="385">
        <v>2.0</v>
      </c>
      <c r="I667" s="386">
        <f>IF(G667="", "", IFERROR(VLOOKUP(G667, Products!A:F, 4, FALSE), ""))
</f>
        <v>80</v>
      </c>
      <c r="J667" s="405">
        <v>0.0</v>
      </c>
      <c r="K667" s="54">
        <f t="shared" si="20"/>
        <v>160</v>
      </c>
      <c r="L667" s="387">
        <v>160.0</v>
      </c>
      <c r="M667" s="138" t="s">
        <v>73</v>
      </c>
      <c r="N667" s="46">
        <f t="shared" si="21"/>
        <v>0</v>
      </c>
      <c r="O667" s="369" t="b">
        <v>1</v>
      </c>
      <c r="P667" s="369" t="b">
        <v>1</v>
      </c>
      <c r="Q667" s="387"/>
      <c r="R667" s="388"/>
      <c r="S667" s="65">
        <f t="shared" si="22"/>
        <v>0</v>
      </c>
      <c r="T667" s="369" t="b">
        <v>0</v>
      </c>
      <c r="U667" s="388"/>
      <c r="V667" s="391" t="b">
        <v>0</v>
      </c>
      <c r="W667" s="391" t="b">
        <v>0</v>
      </c>
      <c r="X667" s="391" t="b">
        <v>0</v>
      </c>
    </row>
    <row r="668" ht="24.0" customHeight="1">
      <c r="A668" s="457" t="s">
        <v>1445</v>
      </c>
      <c r="B668" s="383">
        <v>46221.82303886574</v>
      </c>
      <c r="C668" s="384" t="s">
        <v>1447</v>
      </c>
      <c r="D668" s="116" t="s">
        <v>93</v>
      </c>
      <c r="E668" s="116" t="s">
        <v>250</v>
      </c>
      <c r="F668" s="388"/>
      <c r="G668" s="457" t="s">
        <v>153</v>
      </c>
      <c r="H668" s="385">
        <v>2.0</v>
      </c>
      <c r="I668" s="386">
        <f>IF(G668="", "", IFERROR(VLOOKUP(G668, Products!A:F, 4, FALSE), ""))
</f>
        <v>80</v>
      </c>
      <c r="J668" s="405">
        <v>0.0</v>
      </c>
      <c r="K668" s="54">
        <f t="shared" si="20"/>
        <v>160</v>
      </c>
      <c r="L668" s="387">
        <v>160.0</v>
      </c>
      <c r="M668" s="138" t="s">
        <v>73</v>
      </c>
      <c r="N668" s="46">
        <f t="shared" si="21"/>
        <v>0</v>
      </c>
      <c r="O668" s="369" t="b">
        <v>1</v>
      </c>
      <c r="P668" s="369" t="b">
        <v>1</v>
      </c>
      <c r="Q668" s="387"/>
      <c r="R668" s="388"/>
      <c r="S668" s="65">
        <f t="shared" si="22"/>
        <v>0</v>
      </c>
      <c r="T668" s="369" t="b">
        <v>0</v>
      </c>
      <c r="U668" s="388"/>
      <c r="V668" s="391" t="b">
        <v>0</v>
      </c>
      <c r="W668" s="391" t="b">
        <v>0</v>
      </c>
      <c r="X668" s="391" t="b">
        <v>0</v>
      </c>
    </row>
    <row r="669" ht="24.0" customHeight="1">
      <c r="A669" s="457" t="s">
        <v>1445</v>
      </c>
      <c r="B669" s="383">
        <v>46221.82303886574</v>
      </c>
      <c r="C669" s="384" t="s">
        <v>1447</v>
      </c>
      <c r="D669" s="116" t="s">
        <v>93</v>
      </c>
      <c r="E669" s="116" t="s">
        <v>250</v>
      </c>
      <c r="F669" s="388"/>
      <c r="G669" s="457" t="s">
        <v>161</v>
      </c>
      <c r="H669" s="385">
        <v>2.0</v>
      </c>
      <c r="I669" s="386">
        <f>IF(G669="", "", IFERROR(VLOOKUP(G669, Products!A:F, 4, FALSE), ""))
</f>
        <v>80</v>
      </c>
      <c r="J669" s="405">
        <v>0.0</v>
      </c>
      <c r="K669" s="54">
        <f t="shared" si="20"/>
        <v>160</v>
      </c>
      <c r="L669" s="387">
        <v>160.0</v>
      </c>
      <c r="M669" s="138" t="s">
        <v>73</v>
      </c>
      <c r="N669" s="46">
        <f t="shared" si="21"/>
        <v>0</v>
      </c>
      <c r="O669" s="369" t="b">
        <v>1</v>
      </c>
      <c r="P669" s="369" t="b">
        <v>1</v>
      </c>
      <c r="Q669" s="387"/>
      <c r="R669" s="388"/>
      <c r="S669" s="65">
        <f t="shared" si="22"/>
        <v>0</v>
      </c>
      <c r="T669" s="369" t="b">
        <v>0</v>
      </c>
      <c r="U669" s="388"/>
      <c r="V669" s="391" t="b">
        <v>0</v>
      </c>
      <c r="W669" s="391" t="b">
        <v>0</v>
      </c>
      <c r="X669" s="391" t="b">
        <v>0</v>
      </c>
    </row>
    <row r="670" ht="24.0" customHeight="1">
      <c r="A670" s="457" t="s">
        <v>1445</v>
      </c>
      <c r="B670" s="383">
        <v>46221.82303886574</v>
      </c>
      <c r="C670" s="384" t="s">
        <v>1447</v>
      </c>
      <c r="D670" s="116" t="s">
        <v>93</v>
      </c>
      <c r="E670" s="116" t="s">
        <v>250</v>
      </c>
      <c r="F670" s="388"/>
      <c r="G670" s="457" t="s">
        <v>185</v>
      </c>
      <c r="H670" s="385">
        <v>2.0</v>
      </c>
      <c r="I670" s="386">
        <f>IF(G670="", "", IFERROR(VLOOKUP(G670, Products!A:F, 4, FALSE), ""))
</f>
        <v>80</v>
      </c>
      <c r="J670" s="405">
        <v>0.0</v>
      </c>
      <c r="K670" s="54">
        <f t="shared" si="20"/>
        <v>160</v>
      </c>
      <c r="L670" s="387">
        <v>160.0</v>
      </c>
      <c r="M670" s="138" t="s">
        <v>73</v>
      </c>
      <c r="N670" s="46">
        <f t="shared" si="21"/>
        <v>0</v>
      </c>
      <c r="O670" s="369" t="b">
        <v>1</v>
      </c>
      <c r="P670" s="369" t="b">
        <v>1</v>
      </c>
      <c r="Q670" s="387"/>
      <c r="R670" s="388"/>
      <c r="S670" s="65">
        <f t="shared" si="22"/>
        <v>0</v>
      </c>
      <c r="T670" s="369" t="b">
        <v>0</v>
      </c>
      <c r="U670" s="388"/>
      <c r="V670" s="391" t="b">
        <v>0</v>
      </c>
      <c r="W670" s="391" t="b">
        <v>0</v>
      </c>
      <c r="X670" s="391" t="b">
        <v>0</v>
      </c>
    </row>
    <row r="671" ht="24.0" customHeight="1">
      <c r="A671" s="457" t="s">
        <v>1448</v>
      </c>
      <c r="B671" s="383">
        <v>46221.82798891204</v>
      </c>
      <c r="C671" s="384" t="s">
        <v>1449</v>
      </c>
      <c r="D671" s="116" t="s">
        <v>93</v>
      </c>
      <c r="E671" s="116" t="s">
        <v>470</v>
      </c>
      <c r="F671" s="388"/>
      <c r="G671" s="457" t="s">
        <v>24</v>
      </c>
      <c r="H671" s="385">
        <v>50.0</v>
      </c>
      <c r="I671" s="386">
        <f>IF(G671="", "", IFERROR(VLOOKUP(G671, Products!A:F, 4, FALSE), ""))
</f>
        <v>30</v>
      </c>
      <c r="J671" s="405">
        <v>150.0</v>
      </c>
      <c r="K671" s="54">
        <f t="shared" si="20"/>
        <v>1350</v>
      </c>
      <c r="L671" s="387">
        <v>700.0</v>
      </c>
      <c r="M671" s="138" t="s">
        <v>271</v>
      </c>
      <c r="N671" s="46">
        <f t="shared" si="21"/>
        <v>650</v>
      </c>
      <c r="O671" s="369" t="b">
        <v>1</v>
      </c>
      <c r="P671" s="369" t="b">
        <v>1</v>
      </c>
      <c r="Q671" s="387"/>
      <c r="R671" s="388"/>
      <c r="S671" s="65">
        <f t="shared" si="22"/>
        <v>650</v>
      </c>
      <c r="T671" s="369" t="b">
        <v>1</v>
      </c>
      <c r="U671" s="388"/>
      <c r="V671" s="391" t="b">
        <v>0</v>
      </c>
      <c r="W671" s="391" t="b">
        <v>0</v>
      </c>
      <c r="X671" s="391" t="b">
        <v>0</v>
      </c>
    </row>
    <row r="672" ht="24.0" customHeight="1">
      <c r="A672" s="457" t="s">
        <v>1450</v>
      </c>
      <c r="B672" s="383">
        <v>46221.82906953704</v>
      </c>
      <c r="C672" s="384" t="s">
        <v>1451</v>
      </c>
      <c r="D672" s="116" t="s">
        <v>243</v>
      </c>
      <c r="E672" s="399"/>
      <c r="F672" s="388"/>
      <c r="G672" s="457" t="s">
        <v>124</v>
      </c>
      <c r="H672" s="385">
        <v>300.0</v>
      </c>
      <c r="I672" s="386">
        <f>IF(G672="", "", IFERROR(VLOOKUP(G672, Products!A:F, 4, FALSE), ""))
</f>
        <v>3</v>
      </c>
      <c r="J672" s="405">
        <v>0.0</v>
      </c>
      <c r="K672" s="54">
        <f t="shared" si="20"/>
        <v>900</v>
      </c>
      <c r="L672" s="387">
        <v>500.0</v>
      </c>
      <c r="M672" s="138" t="s">
        <v>73</v>
      </c>
      <c r="N672" s="46">
        <f t="shared" si="21"/>
        <v>400</v>
      </c>
      <c r="O672" s="369" t="b">
        <v>1</v>
      </c>
      <c r="P672" s="369" t="b">
        <v>1</v>
      </c>
      <c r="Q672" s="387"/>
      <c r="R672" s="388"/>
      <c r="S672" s="65">
        <f t="shared" si="22"/>
        <v>400</v>
      </c>
      <c r="T672" s="369" t="b">
        <v>0</v>
      </c>
      <c r="U672" s="388"/>
      <c r="V672" s="391" t="b">
        <v>0</v>
      </c>
      <c r="W672" s="391" t="b">
        <v>0</v>
      </c>
      <c r="X672" s="391" t="b">
        <v>0</v>
      </c>
    </row>
    <row r="673" ht="24.0" customHeight="1">
      <c r="A673" s="457" t="s">
        <v>1450</v>
      </c>
      <c r="B673" s="383">
        <v>46221.82906953704</v>
      </c>
      <c r="C673" s="384" t="s">
        <v>1452</v>
      </c>
      <c r="D673" s="116" t="s">
        <v>243</v>
      </c>
      <c r="E673" s="458"/>
      <c r="F673" s="388"/>
      <c r="G673" s="457" t="s">
        <v>138</v>
      </c>
      <c r="H673" s="385">
        <v>1.0</v>
      </c>
      <c r="I673" s="386">
        <f>IF(G673="", "", IFERROR(VLOOKUP(G673, Products!A:F, 4, FALSE), ""))
</f>
        <v>100</v>
      </c>
      <c r="J673" s="405">
        <v>0.0</v>
      </c>
      <c r="K673" s="54">
        <f t="shared" si="20"/>
        <v>100</v>
      </c>
      <c r="L673" s="387"/>
      <c r="M673" s="138"/>
      <c r="N673" s="46">
        <f t="shared" si="21"/>
        <v>100</v>
      </c>
      <c r="O673" s="369" t="b">
        <v>1</v>
      </c>
      <c r="P673" s="369" t="b">
        <v>1</v>
      </c>
      <c r="Q673" s="387"/>
      <c r="R673" s="388"/>
      <c r="S673" s="65">
        <f t="shared" si="22"/>
        <v>100</v>
      </c>
      <c r="T673" s="369" t="b">
        <v>0</v>
      </c>
      <c r="U673" s="388"/>
      <c r="V673" s="391" t="b">
        <v>0</v>
      </c>
      <c r="W673" s="391" t="b">
        <v>0</v>
      </c>
      <c r="X673" s="391" t="b">
        <v>0</v>
      </c>
    </row>
    <row r="674" ht="24.0" customHeight="1">
      <c r="A674" s="457" t="s">
        <v>1453</v>
      </c>
      <c r="B674" s="383">
        <v>46221.83022790509</v>
      </c>
      <c r="C674" s="384" t="s">
        <v>1454</v>
      </c>
      <c r="D674" s="116" t="s">
        <v>164</v>
      </c>
      <c r="E674" s="458"/>
      <c r="F674" s="388"/>
      <c r="G674" s="457" t="s">
        <v>138</v>
      </c>
      <c r="H674" s="385">
        <v>2.0</v>
      </c>
      <c r="I674" s="386">
        <f>IF(G674="", "", IFERROR(VLOOKUP(G674, Products!A:F, 4, FALSE), ""))
</f>
        <v>100</v>
      </c>
      <c r="J674" s="405">
        <v>0.0</v>
      </c>
      <c r="K674" s="54">
        <f t="shared" si="20"/>
        <v>200</v>
      </c>
      <c r="L674" s="387">
        <v>100.0</v>
      </c>
      <c r="M674" s="138" t="s">
        <v>73</v>
      </c>
      <c r="N674" s="46">
        <f t="shared" si="21"/>
        <v>100</v>
      </c>
      <c r="O674" s="369" t="b">
        <v>1</v>
      </c>
      <c r="P674" s="369" t="b">
        <v>1</v>
      </c>
      <c r="Q674" s="387"/>
      <c r="R674" s="388"/>
      <c r="S674" s="65">
        <f t="shared" si="22"/>
        <v>100</v>
      </c>
      <c r="T674" s="369" t="b">
        <v>0</v>
      </c>
      <c r="U674" s="388"/>
      <c r="V674" s="391" t="b">
        <v>0</v>
      </c>
      <c r="W674" s="391" t="b">
        <v>0</v>
      </c>
      <c r="X674" s="391" t="b">
        <v>0</v>
      </c>
    </row>
    <row r="675" ht="24.0" customHeight="1">
      <c r="A675" s="457" t="s">
        <v>1455</v>
      </c>
      <c r="B675" s="383">
        <v>46221.83092221065</v>
      </c>
      <c r="C675" s="384" t="s">
        <v>1456</v>
      </c>
      <c r="D675" s="116" t="s">
        <v>204</v>
      </c>
      <c r="E675" s="399"/>
      <c r="F675" s="388"/>
      <c r="G675" s="457" t="s">
        <v>124</v>
      </c>
      <c r="H675" s="385">
        <v>150.0</v>
      </c>
      <c r="I675" s="386">
        <f>IF(G675="", "", IFERROR(VLOOKUP(G675, Products!A:F, 4, FALSE), ""))
</f>
        <v>3</v>
      </c>
      <c r="J675" s="405">
        <v>0.0</v>
      </c>
      <c r="K675" s="54">
        <f t="shared" si="20"/>
        <v>450</v>
      </c>
      <c r="L675" s="387">
        <v>300.0</v>
      </c>
      <c r="M675" s="138" t="s">
        <v>271</v>
      </c>
      <c r="N675" s="46">
        <f t="shared" si="21"/>
        <v>150</v>
      </c>
      <c r="O675" s="369" t="b">
        <v>1</v>
      </c>
      <c r="P675" s="369" t="b">
        <v>0</v>
      </c>
      <c r="Q675" s="387"/>
      <c r="R675" s="388"/>
      <c r="S675" s="65">
        <f t="shared" si="22"/>
        <v>150</v>
      </c>
      <c r="T675" s="369" t="b">
        <v>0</v>
      </c>
      <c r="U675" s="388"/>
      <c r="V675" s="391" t="b">
        <v>0</v>
      </c>
      <c r="W675" s="391" t="b">
        <v>0</v>
      </c>
      <c r="X675" s="391" t="b">
        <v>0</v>
      </c>
    </row>
    <row r="676" ht="24.0" customHeight="1">
      <c r="A676" s="457" t="s">
        <v>1455</v>
      </c>
      <c r="B676" s="383">
        <v>46221.83092221065</v>
      </c>
      <c r="C676" s="384" t="s">
        <v>1457</v>
      </c>
      <c r="D676" s="116" t="s">
        <v>204</v>
      </c>
      <c r="E676" s="458"/>
      <c r="F676" s="388"/>
      <c r="G676" s="457" t="s">
        <v>138</v>
      </c>
      <c r="H676" s="385">
        <v>1.0</v>
      </c>
      <c r="I676" s="386">
        <f>IF(G676="", "", IFERROR(VLOOKUP(G676, Products!A:F, 4, FALSE), ""))
</f>
        <v>100</v>
      </c>
      <c r="J676" s="405">
        <v>0.0</v>
      </c>
      <c r="K676" s="54">
        <f t="shared" si="20"/>
        <v>100</v>
      </c>
      <c r="L676" s="387"/>
      <c r="M676" s="138"/>
      <c r="N676" s="46">
        <f t="shared" si="21"/>
        <v>100</v>
      </c>
      <c r="O676" s="369" t="b">
        <v>1</v>
      </c>
      <c r="P676" s="369" t="b">
        <v>0</v>
      </c>
      <c r="Q676" s="387"/>
      <c r="R676" s="388"/>
      <c r="S676" s="65">
        <f t="shared" si="22"/>
        <v>100</v>
      </c>
      <c r="T676" s="369" t="b">
        <v>0</v>
      </c>
      <c r="U676" s="388"/>
      <c r="V676" s="391" t="b">
        <v>0</v>
      </c>
      <c r="W676" s="391" t="b">
        <v>0</v>
      </c>
      <c r="X676" s="391" t="b">
        <v>0</v>
      </c>
    </row>
    <row r="677" ht="24.0" customHeight="1">
      <c r="A677" s="457" t="s">
        <v>1458</v>
      </c>
      <c r="B677" s="383">
        <v>46221.831809490744</v>
      </c>
      <c r="C677" s="384" t="s">
        <v>1459</v>
      </c>
      <c r="D677" s="91" t="s">
        <v>188</v>
      </c>
      <c r="E677" s="92"/>
      <c r="F677" s="388"/>
      <c r="G677" s="457" t="s">
        <v>187</v>
      </c>
      <c r="H677" s="385">
        <v>1.0</v>
      </c>
      <c r="I677" s="386">
        <f>IF(G677="", "", IFERROR(VLOOKUP(G677, Products!A:F, 4, FALSE), ""))
</f>
        <v>400</v>
      </c>
      <c r="J677" s="405">
        <v>0.0</v>
      </c>
      <c r="K677" s="54">
        <f t="shared" si="20"/>
        <v>400</v>
      </c>
      <c r="L677" s="387">
        <v>200.0</v>
      </c>
      <c r="M677" s="138" t="s">
        <v>73</v>
      </c>
      <c r="N677" s="46">
        <f t="shared" si="21"/>
        <v>200</v>
      </c>
      <c r="O677" s="369" t="b">
        <v>1</v>
      </c>
      <c r="P677" s="369" t="b">
        <v>1</v>
      </c>
      <c r="Q677" s="387"/>
      <c r="R677" s="388"/>
      <c r="S677" s="65">
        <f t="shared" si="22"/>
        <v>200</v>
      </c>
      <c r="T677" s="369" t="b">
        <v>1</v>
      </c>
      <c r="U677" s="388"/>
      <c r="V677" s="391" t="b">
        <v>0</v>
      </c>
      <c r="W677" s="391" t="b">
        <v>0</v>
      </c>
      <c r="X677" s="391" t="b">
        <v>0</v>
      </c>
    </row>
    <row r="678" ht="24.0" customHeight="1">
      <c r="A678" s="457" t="s">
        <v>1460</v>
      </c>
      <c r="B678" s="383">
        <v>46221.83249512731</v>
      </c>
      <c r="C678" s="384" t="s">
        <v>1461</v>
      </c>
      <c r="D678" s="116" t="s">
        <v>93</v>
      </c>
      <c r="E678" s="458"/>
      <c r="F678" s="388"/>
      <c r="G678" s="457" t="s">
        <v>187</v>
      </c>
      <c r="H678" s="385">
        <v>4.0</v>
      </c>
      <c r="I678" s="386">
        <f>IF(G678="", "", IFERROR(VLOOKUP(G678, Products!A:F, 4, FALSE), ""))
</f>
        <v>400</v>
      </c>
      <c r="J678" s="405">
        <v>200.0</v>
      </c>
      <c r="K678" s="54">
        <f t="shared" si="20"/>
        <v>1400</v>
      </c>
      <c r="L678" s="387">
        <v>700.0</v>
      </c>
      <c r="M678" s="138" t="s">
        <v>73</v>
      </c>
      <c r="N678" s="46">
        <f t="shared" si="21"/>
        <v>700</v>
      </c>
      <c r="O678" s="369" t="b">
        <v>1</v>
      </c>
      <c r="P678" s="369" t="b">
        <v>1</v>
      </c>
      <c r="Q678" s="387"/>
      <c r="R678" s="388"/>
      <c r="S678" s="65">
        <f t="shared" si="22"/>
        <v>700</v>
      </c>
      <c r="T678" s="369" t="b">
        <v>1</v>
      </c>
      <c r="U678" s="388"/>
      <c r="V678" s="391" t="b">
        <v>0</v>
      </c>
      <c r="W678" s="391" t="b">
        <v>0</v>
      </c>
      <c r="X678" s="391" t="b">
        <v>0</v>
      </c>
    </row>
    <row r="679" ht="24.0" customHeight="1">
      <c r="A679" s="457" t="s">
        <v>1462</v>
      </c>
      <c r="B679" s="383">
        <v>46221.83342018518</v>
      </c>
      <c r="C679" s="384" t="s">
        <v>1463</v>
      </c>
      <c r="D679" s="116" t="s">
        <v>93</v>
      </c>
      <c r="E679" s="458"/>
      <c r="F679" s="388"/>
      <c r="G679" s="457" t="s">
        <v>210</v>
      </c>
      <c r="H679" s="385">
        <v>4.0</v>
      </c>
      <c r="I679" s="386">
        <f>IF(G679="", "", IFERROR(VLOOKUP(G679, Products!A:F, 4, FALSE), ""))
</f>
        <v>80</v>
      </c>
      <c r="J679" s="405">
        <v>0.0</v>
      </c>
      <c r="K679" s="54">
        <f t="shared" si="20"/>
        <v>320</v>
      </c>
      <c r="L679" s="387">
        <v>160.0</v>
      </c>
      <c r="M679" s="138" t="s">
        <v>73</v>
      </c>
      <c r="N679" s="46">
        <f t="shared" si="21"/>
        <v>160</v>
      </c>
      <c r="O679" s="369" t="b">
        <v>1</v>
      </c>
      <c r="P679" s="369" t="b">
        <v>1</v>
      </c>
      <c r="Q679" s="387"/>
      <c r="R679" s="388"/>
      <c r="S679" s="65">
        <f t="shared" si="22"/>
        <v>160</v>
      </c>
      <c r="T679" s="369" t="b">
        <v>1</v>
      </c>
      <c r="U679" s="388"/>
      <c r="V679" s="391" t="b">
        <v>0</v>
      </c>
      <c r="W679" s="391" t="b">
        <v>0</v>
      </c>
      <c r="X679" s="391" t="b">
        <v>0</v>
      </c>
    </row>
    <row r="680" ht="24.0" customHeight="1">
      <c r="A680" s="457" t="s">
        <v>839</v>
      </c>
      <c r="B680" s="383">
        <v>46221.83449003472</v>
      </c>
      <c r="C680" s="384" t="s">
        <v>1464</v>
      </c>
      <c r="D680" s="116" t="s">
        <v>78</v>
      </c>
      <c r="E680" s="116" t="s">
        <v>616</v>
      </c>
      <c r="F680" s="388"/>
      <c r="G680" s="457" t="s">
        <v>244</v>
      </c>
      <c r="H680" s="385">
        <v>2.0</v>
      </c>
      <c r="I680" s="386">
        <f>IF(G680="", "", IFERROR(VLOOKUP(G680, Products!A:F, 4, FALSE), ""))
</f>
        <v>120</v>
      </c>
      <c r="J680" s="405">
        <v>0.0</v>
      </c>
      <c r="K680" s="54">
        <f t="shared" si="20"/>
        <v>240</v>
      </c>
      <c r="L680" s="387">
        <v>120.0</v>
      </c>
      <c r="M680" s="138" t="s">
        <v>73</v>
      </c>
      <c r="N680" s="46">
        <f t="shared" si="21"/>
        <v>120</v>
      </c>
      <c r="O680" s="369" t="b">
        <v>1</v>
      </c>
      <c r="P680" s="369" t="b">
        <v>1</v>
      </c>
      <c r="Q680" s="387"/>
      <c r="R680" s="388"/>
      <c r="S680" s="65">
        <f t="shared" si="22"/>
        <v>120</v>
      </c>
      <c r="T680" s="369" t="b">
        <v>0</v>
      </c>
      <c r="U680" s="388"/>
      <c r="V680" s="391" t="b">
        <v>0</v>
      </c>
      <c r="W680" s="391" t="b">
        <v>0</v>
      </c>
      <c r="X680" s="391" t="b">
        <v>0</v>
      </c>
    </row>
    <row r="681" ht="24.0" customHeight="1">
      <c r="A681" s="457" t="s">
        <v>1465</v>
      </c>
      <c r="B681" s="383">
        <v>46221.83539137732</v>
      </c>
      <c r="C681" s="384" t="s">
        <v>1466</v>
      </c>
      <c r="D681" s="116" t="s">
        <v>78</v>
      </c>
      <c r="E681" s="116" t="s">
        <v>607</v>
      </c>
      <c r="F681" s="388"/>
      <c r="G681" s="457" t="s">
        <v>207</v>
      </c>
      <c r="H681" s="385">
        <v>8.0</v>
      </c>
      <c r="I681" s="386">
        <f>IF(G681="", "", IFERROR(VLOOKUP(G681, Products!A:F, 4, FALSE), ""))
</f>
        <v>80</v>
      </c>
      <c r="J681" s="405">
        <v>0.0</v>
      </c>
      <c r="K681" s="54">
        <f t="shared" si="20"/>
        <v>640</v>
      </c>
      <c r="L681" s="387">
        <v>320.0</v>
      </c>
      <c r="M681" s="138" t="s">
        <v>73</v>
      </c>
      <c r="N681" s="46">
        <f t="shared" si="21"/>
        <v>320</v>
      </c>
      <c r="O681" s="369" t="b">
        <v>1</v>
      </c>
      <c r="P681" s="369" t="b">
        <v>1</v>
      </c>
      <c r="Q681" s="387"/>
      <c r="R681" s="388"/>
      <c r="S681" s="65">
        <f t="shared" si="22"/>
        <v>320</v>
      </c>
      <c r="T681" s="369" t="b">
        <v>1</v>
      </c>
      <c r="U681" s="388"/>
      <c r="V681" s="391" t="b">
        <v>0</v>
      </c>
      <c r="W681" s="391" t="b">
        <v>0</v>
      </c>
      <c r="X681" s="391" t="b">
        <v>0</v>
      </c>
    </row>
    <row r="682" ht="24.0" customHeight="1">
      <c r="A682" s="457" t="s">
        <v>1467</v>
      </c>
      <c r="B682" s="383">
        <v>46221.83651796296</v>
      </c>
      <c r="C682" s="384" t="s">
        <v>1468</v>
      </c>
      <c r="D682" s="116" t="s">
        <v>53</v>
      </c>
      <c r="E682" s="116" t="s">
        <v>220</v>
      </c>
      <c r="F682" s="388"/>
      <c r="G682" s="457" t="s">
        <v>244</v>
      </c>
      <c r="H682" s="385">
        <v>1.0</v>
      </c>
      <c r="I682" s="386">
        <f>IF(G682="", "", IFERROR(VLOOKUP(G682, Products!A:F, 4, FALSE), ""))
</f>
        <v>120</v>
      </c>
      <c r="J682" s="405">
        <v>0.0</v>
      </c>
      <c r="K682" s="54">
        <f t="shared" si="20"/>
        <v>120</v>
      </c>
      <c r="L682" s="387">
        <v>60.0</v>
      </c>
      <c r="M682" s="138" t="s">
        <v>73</v>
      </c>
      <c r="N682" s="46">
        <f t="shared" si="21"/>
        <v>60</v>
      </c>
      <c r="O682" s="369" t="b">
        <v>1</v>
      </c>
      <c r="P682" s="369" t="b">
        <v>1</v>
      </c>
      <c r="Q682" s="387"/>
      <c r="R682" s="388"/>
      <c r="S682" s="65">
        <f t="shared" si="22"/>
        <v>60</v>
      </c>
      <c r="T682" s="369" t="b">
        <v>0</v>
      </c>
      <c r="U682" s="388"/>
      <c r="V682" s="391" t="b">
        <v>0</v>
      </c>
      <c r="W682" s="391" t="b">
        <v>0</v>
      </c>
      <c r="X682" s="391" t="b">
        <v>0</v>
      </c>
    </row>
    <row r="683" ht="24.0" customHeight="1">
      <c r="A683" s="457" t="s">
        <v>1469</v>
      </c>
      <c r="B683" s="383">
        <v>46221.83765035879</v>
      </c>
      <c r="C683" s="384" t="s">
        <v>1470</v>
      </c>
      <c r="D683" s="116" t="s">
        <v>93</v>
      </c>
      <c r="E683" s="116" t="s">
        <v>646</v>
      </c>
      <c r="F683" s="388"/>
      <c r="G683" s="457" t="s">
        <v>244</v>
      </c>
      <c r="H683" s="385">
        <v>1.0</v>
      </c>
      <c r="I683" s="386">
        <f>IF(G683="", "", IFERROR(VLOOKUP(G683, Products!A:F, 4, FALSE), ""))
</f>
        <v>120</v>
      </c>
      <c r="J683" s="405">
        <v>0.0</v>
      </c>
      <c r="K683" s="54">
        <f t="shared" si="20"/>
        <v>120</v>
      </c>
      <c r="L683" s="387">
        <v>100.0</v>
      </c>
      <c r="M683" s="138" t="s">
        <v>73</v>
      </c>
      <c r="N683" s="46">
        <f t="shared" si="21"/>
        <v>20</v>
      </c>
      <c r="O683" s="369" t="b">
        <v>0</v>
      </c>
      <c r="P683" s="369" t="b">
        <v>1</v>
      </c>
      <c r="Q683" s="387"/>
      <c r="R683" s="388"/>
      <c r="S683" s="65">
        <f t="shared" si="22"/>
        <v>20</v>
      </c>
      <c r="T683" s="369" t="b">
        <v>0</v>
      </c>
      <c r="U683" s="388"/>
      <c r="V683" s="391" t="b">
        <v>0</v>
      </c>
      <c r="W683" s="391" t="b">
        <v>0</v>
      </c>
      <c r="X683" s="391" t="b">
        <v>0</v>
      </c>
    </row>
    <row r="684" ht="24.0" customHeight="1">
      <c r="A684" s="457" t="s">
        <v>1469</v>
      </c>
      <c r="B684" s="383">
        <v>46221.83765035879</v>
      </c>
      <c r="C684" s="384" t="s">
        <v>1471</v>
      </c>
      <c r="D684" s="116" t="s">
        <v>93</v>
      </c>
      <c r="E684" s="116" t="s">
        <v>646</v>
      </c>
      <c r="F684" s="388"/>
      <c r="G684" s="457" t="s">
        <v>207</v>
      </c>
      <c r="H684" s="385">
        <v>1.0</v>
      </c>
      <c r="I684" s="386">
        <f>IF(G684="", "", IFERROR(VLOOKUP(G684, Products!A:F, 4, FALSE), ""))
</f>
        <v>80</v>
      </c>
      <c r="J684" s="405">
        <v>0.0</v>
      </c>
      <c r="K684" s="54">
        <f t="shared" si="20"/>
        <v>80</v>
      </c>
      <c r="L684" s="387">
        <v>80.0</v>
      </c>
      <c r="M684" s="138" t="s">
        <v>73</v>
      </c>
      <c r="N684" s="46">
        <f t="shared" si="21"/>
        <v>0</v>
      </c>
      <c r="O684" s="369" t="b">
        <v>0</v>
      </c>
      <c r="P684" s="369" t="b">
        <v>1</v>
      </c>
      <c r="Q684" s="387"/>
      <c r="R684" s="388"/>
      <c r="S684" s="65">
        <f t="shared" si="22"/>
        <v>0</v>
      </c>
      <c r="T684" s="369" t="b">
        <v>0</v>
      </c>
      <c r="U684" s="388"/>
      <c r="V684" s="391" t="b">
        <v>0</v>
      </c>
      <c r="W684" s="391" t="b">
        <v>0</v>
      </c>
      <c r="X684" s="391" t="b">
        <v>0</v>
      </c>
    </row>
    <row r="685" ht="24.0" customHeight="1">
      <c r="A685" s="457" t="s">
        <v>1469</v>
      </c>
      <c r="B685" s="383">
        <v>46221.83765035879</v>
      </c>
      <c r="C685" s="384" t="s">
        <v>1471</v>
      </c>
      <c r="D685" s="116" t="s">
        <v>93</v>
      </c>
      <c r="E685" s="116" t="s">
        <v>646</v>
      </c>
      <c r="F685" s="388"/>
      <c r="G685" s="76" t="s">
        <v>222</v>
      </c>
      <c r="H685" s="385">
        <v>1.0</v>
      </c>
      <c r="I685" s="386">
        <f>IF(G685="", "", IFERROR(VLOOKUP(G685, Products!A:F, 4, FALSE), ""))
</f>
        <v>80</v>
      </c>
      <c r="J685" s="405">
        <v>0.0</v>
      </c>
      <c r="K685" s="54">
        <f t="shared" si="20"/>
        <v>80</v>
      </c>
      <c r="L685" s="387">
        <v>20.0</v>
      </c>
      <c r="M685" s="138" t="s">
        <v>73</v>
      </c>
      <c r="N685" s="46">
        <f t="shared" si="21"/>
        <v>60</v>
      </c>
      <c r="O685" s="369" t="b">
        <v>0</v>
      </c>
      <c r="P685" s="369" t="b">
        <v>1</v>
      </c>
      <c r="Q685" s="387"/>
      <c r="R685" s="388"/>
      <c r="S685" s="65">
        <f t="shared" si="22"/>
        <v>60</v>
      </c>
      <c r="T685" s="369" t="b">
        <v>0</v>
      </c>
      <c r="U685" s="388"/>
      <c r="V685" s="391" t="b">
        <v>0</v>
      </c>
      <c r="W685" s="391" t="b">
        <v>0</v>
      </c>
      <c r="X685" s="391" t="b">
        <v>0</v>
      </c>
    </row>
    <row r="686" ht="24.0" customHeight="1">
      <c r="A686" s="457" t="s">
        <v>1472</v>
      </c>
      <c r="B686" s="383">
        <v>46221.839270752316</v>
      </c>
      <c r="C686" s="384" t="s">
        <v>1473</v>
      </c>
      <c r="D686" s="116" t="s">
        <v>93</v>
      </c>
      <c r="E686" s="116" t="s">
        <v>323</v>
      </c>
      <c r="F686" s="388"/>
      <c r="G686" s="457" t="s">
        <v>138</v>
      </c>
      <c r="H686" s="385">
        <v>1.0</v>
      </c>
      <c r="I686" s="386">
        <f>IF(G686="", "", IFERROR(VLOOKUP(G686, Products!A:F, 4, FALSE), ""))
</f>
        <v>100</v>
      </c>
      <c r="J686" s="405">
        <v>0.0</v>
      </c>
      <c r="K686" s="54">
        <f t="shared" si="20"/>
        <v>100</v>
      </c>
      <c r="L686" s="387"/>
      <c r="M686" s="138"/>
      <c r="N686" s="46">
        <f t="shared" si="21"/>
        <v>100</v>
      </c>
      <c r="O686" s="369" t="b">
        <v>0</v>
      </c>
      <c r="P686" s="369" t="b">
        <v>1</v>
      </c>
      <c r="Q686" s="387"/>
      <c r="R686" s="388"/>
      <c r="S686" s="65">
        <f t="shared" si="22"/>
        <v>100</v>
      </c>
      <c r="T686" s="369" t="b">
        <v>0</v>
      </c>
      <c r="U686" s="388"/>
      <c r="V686" s="391" t="b">
        <v>0</v>
      </c>
      <c r="W686" s="391" t="b">
        <v>0</v>
      </c>
      <c r="X686" s="391" t="b">
        <v>0</v>
      </c>
    </row>
    <row r="687" ht="24.0" customHeight="1">
      <c r="A687" s="457" t="s">
        <v>1472</v>
      </c>
      <c r="B687" s="383">
        <v>46221.839270752316</v>
      </c>
      <c r="C687" s="384" t="s">
        <v>1474</v>
      </c>
      <c r="D687" s="116" t="s">
        <v>93</v>
      </c>
      <c r="E687" s="116" t="s">
        <v>323</v>
      </c>
      <c r="F687" s="388"/>
      <c r="G687" s="457" t="s">
        <v>124</v>
      </c>
      <c r="H687" s="385">
        <v>60.0</v>
      </c>
      <c r="I687" s="386">
        <f>IF(G687="", "", IFERROR(VLOOKUP(G687, Products!A:F, 4, FALSE), ""))
</f>
        <v>3</v>
      </c>
      <c r="J687" s="405">
        <v>0.0</v>
      </c>
      <c r="K687" s="54">
        <f t="shared" si="20"/>
        <v>180</v>
      </c>
      <c r="L687" s="387">
        <v>180.0</v>
      </c>
      <c r="M687" s="138" t="s">
        <v>73</v>
      </c>
      <c r="N687" s="46">
        <f t="shared" si="21"/>
        <v>0</v>
      </c>
      <c r="O687" s="369" t="b">
        <v>0</v>
      </c>
      <c r="P687" s="369" t="b">
        <v>1</v>
      </c>
      <c r="Q687" s="387"/>
      <c r="R687" s="388"/>
      <c r="S687" s="65">
        <f t="shared" si="22"/>
        <v>0</v>
      </c>
      <c r="T687" s="369" t="b">
        <v>0</v>
      </c>
      <c r="U687" s="388"/>
      <c r="V687" s="391" t="b">
        <v>0</v>
      </c>
      <c r="W687" s="391" t="b">
        <v>0</v>
      </c>
      <c r="X687" s="391" t="b">
        <v>0</v>
      </c>
    </row>
    <row r="688" ht="24.0" customHeight="1">
      <c r="A688" s="457" t="s">
        <v>1475</v>
      </c>
      <c r="B688" s="383">
        <v>46223.65234905093</v>
      </c>
      <c r="C688" s="384" t="s">
        <v>1476</v>
      </c>
      <c r="D688" s="385" t="s">
        <v>945</v>
      </c>
      <c r="E688" s="385" t="s">
        <v>1477</v>
      </c>
      <c r="F688" s="388"/>
      <c r="G688" s="457" t="s">
        <v>244</v>
      </c>
      <c r="H688" s="385">
        <v>1.0</v>
      </c>
      <c r="I688" s="386">
        <f>IF(G688="", "", IFERROR(VLOOKUP(G688, Products!A:F, 4, FALSE), ""))
</f>
        <v>120</v>
      </c>
      <c r="J688" s="405"/>
      <c r="K688" s="54">
        <f t="shared" si="20"/>
        <v>120</v>
      </c>
      <c r="L688" s="387">
        <v>60.0</v>
      </c>
      <c r="M688" s="138" t="s">
        <v>73</v>
      </c>
      <c r="N688" s="46">
        <f t="shared" si="21"/>
        <v>60</v>
      </c>
      <c r="O688" s="369" t="b">
        <v>0</v>
      </c>
      <c r="P688" s="369" t="b">
        <v>1</v>
      </c>
      <c r="Q688" s="387"/>
      <c r="R688" s="388"/>
      <c r="S688" s="65">
        <f t="shared" si="22"/>
        <v>60</v>
      </c>
      <c r="T688" s="369" t="b">
        <v>0</v>
      </c>
      <c r="U688" s="388"/>
      <c r="V688" s="391" t="b">
        <v>0</v>
      </c>
      <c r="W688" s="391" t="b">
        <v>0</v>
      </c>
      <c r="X688" s="391" t="b">
        <v>0</v>
      </c>
    </row>
    <row r="689" ht="24.0" customHeight="1">
      <c r="A689" s="457" t="s">
        <v>1478</v>
      </c>
      <c r="B689" s="383">
        <v>46223.653550717594</v>
      </c>
      <c r="C689" s="384" t="s">
        <v>1479</v>
      </c>
      <c r="D689" s="116" t="s">
        <v>945</v>
      </c>
      <c r="E689" s="385" t="s">
        <v>1480</v>
      </c>
      <c r="F689" s="388"/>
      <c r="G689" s="457" t="s">
        <v>124</v>
      </c>
      <c r="H689" s="385">
        <v>25.0</v>
      </c>
      <c r="I689" s="386">
        <f>IF(G689="", "", IFERROR(VLOOKUP(G689, Products!A:F, 4, FALSE), ""))
</f>
        <v>3</v>
      </c>
      <c r="J689" s="405"/>
      <c r="K689" s="54">
        <f t="shared" si="20"/>
        <v>75</v>
      </c>
      <c r="L689" s="387">
        <v>50.0</v>
      </c>
      <c r="M689" s="138" t="s">
        <v>73</v>
      </c>
      <c r="N689" s="46">
        <f t="shared" si="21"/>
        <v>25</v>
      </c>
      <c r="O689" s="369" t="b">
        <v>1</v>
      </c>
      <c r="P689" s="369" t="b">
        <v>1</v>
      </c>
      <c r="Q689" s="387"/>
      <c r="R689" s="388"/>
      <c r="S689" s="65">
        <f t="shared" si="22"/>
        <v>25</v>
      </c>
      <c r="T689" s="369" t="b">
        <v>1</v>
      </c>
      <c r="U689" s="138" t="s">
        <v>1014</v>
      </c>
      <c r="V689" s="369" t="b">
        <v>0</v>
      </c>
      <c r="W689" s="369" t="b">
        <v>0</v>
      </c>
      <c r="X689" s="369" t="b">
        <v>0</v>
      </c>
    </row>
    <row r="690" ht="24.0" customHeight="1">
      <c r="A690" s="457" t="s">
        <v>1478</v>
      </c>
      <c r="B690" s="383">
        <v>46223.653550717594</v>
      </c>
      <c r="C690" s="384" t="s">
        <v>1481</v>
      </c>
      <c r="D690" s="385" t="s">
        <v>945</v>
      </c>
      <c r="E690" s="385" t="s">
        <v>1480</v>
      </c>
      <c r="F690" s="388"/>
      <c r="G690" s="457" t="s">
        <v>138</v>
      </c>
      <c r="H690" s="385">
        <v>1.0</v>
      </c>
      <c r="I690" s="386">
        <f>IF(G690="", "", IFERROR(VLOOKUP(G690, Products!A:F, 4, FALSE), ""))
</f>
        <v>100</v>
      </c>
      <c r="J690" s="405"/>
      <c r="K690" s="54">
        <f t="shared" si="20"/>
        <v>100</v>
      </c>
      <c r="L690" s="387">
        <v>100.0</v>
      </c>
      <c r="M690" s="138" t="s">
        <v>73</v>
      </c>
      <c r="N690" s="46">
        <f t="shared" si="21"/>
        <v>0</v>
      </c>
      <c r="O690" s="369" t="b">
        <v>1</v>
      </c>
      <c r="P690" s="369" t="b">
        <v>1</v>
      </c>
      <c r="Q690" s="387"/>
      <c r="R690" s="388"/>
      <c r="S690" s="65">
        <f t="shared" si="22"/>
        <v>0</v>
      </c>
      <c r="T690" s="369" t="b">
        <v>1</v>
      </c>
      <c r="U690" s="138" t="s">
        <v>1014</v>
      </c>
      <c r="V690" s="369" t="b">
        <v>0</v>
      </c>
      <c r="W690" s="369" t="b">
        <v>0</v>
      </c>
      <c r="X690" s="369" t="b">
        <v>0</v>
      </c>
    </row>
    <row r="691" ht="24.0" customHeight="1">
      <c r="A691" s="457" t="s">
        <v>1482</v>
      </c>
      <c r="B691" s="383">
        <v>46223.65643185185</v>
      </c>
      <c r="C691" s="384" t="s">
        <v>1483</v>
      </c>
      <c r="D691" s="116" t="s">
        <v>978</v>
      </c>
      <c r="E691" s="399"/>
      <c r="F691" s="388"/>
      <c r="G691" s="457" t="s">
        <v>138</v>
      </c>
      <c r="H691" s="385">
        <v>2.0</v>
      </c>
      <c r="I691" s="386">
        <f>IF(G691="", "", IFERROR(VLOOKUP(G691, Products!A:F, 4, FALSE), ""))
</f>
        <v>100</v>
      </c>
      <c r="J691" s="405"/>
      <c r="K691" s="54">
        <f t="shared" si="20"/>
        <v>200</v>
      </c>
      <c r="L691" s="387"/>
      <c r="M691" s="138"/>
      <c r="N691" s="46">
        <f t="shared" si="21"/>
        <v>200</v>
      </c>
      <c r="O691" s="369" t="b">
        <v>0</v>
      </c>
      <c r="P691" s="369" t="b">
        <v>0</v>
      </c>
      <c r="Q691" s="387"/>
      <c r="R691" s="388"/>
      <c r="S691" s="65">
        <f t="shared" si="22"/>
        <v>200</v>
      </c>
      <c r="T691" s="369" t="b">
        <v>0</v>
      </c>
      <c r="U691" s="388"/>
      <c r="V691" s="369" t="b">
        <v>1</v>
      </c>
      <c r="W691" s="369" t="b">
        <v>1</v>
      </c>
      <c r="X691" s="391" t="b">
        <v>0</v>
      </c>
    </row>
    <row r="692" ht="24.0" customHeight="1">
      <c r="A692" s="457" t="s">
        <v>1482</v>
      </c>
      <c r="B692" s="383">
        <v>46223.65643185185</v>
      </c>
      <c r="C692" s="384" t="s">
        <v>1483</v>
      </c>
      <c r="D692" s="116" t="s">
        <v>978</v>
      </c>
      <c r="E692" s="399"/>
      <c r="F692" s="388"/>
      <c r="G692" s="457" t="s">
        <v>124</v>
      </c>
      <c r="H692" s="385">
        <v>100.0</v>
      </c>
      <c r="I692" s="386">
        <f>IF(G692="", "", IFERROR(VLOOKUP(G692, Products!A:F, 4, FALSE), ""))
</f>
        <v>3</v>
      </c>
      <c r="J692" s="405"/>
      <c r="K692" s="54">
        <f t="shared" si="20"/>
        <v>300</v>
      </c>
      <c r="L692" s="387">
        <v>300.0</v>
      </c>
      <c r="M692" s="138" t="s">
        <v>73</v>
      </c>
      <c r="N692" s="46">
        <f t="shared" si="21"/>
        <v>0</v>
      </c>
      <c r="O692" s="369" t="b">
        <v>0</v>
      </c>
      <c r="P692" s="369" t="b">
        <v>0</v>
      </c>
      <c r="Q692" s="387"/>
      <c r="R692" s="388"/>
      <c r="S692" s="65">
        <f t="shared" si="22"/>
        <v>0</v>
      </c>
      <c r="T692" s="369" t="b">
        <v>0</v>
      </c>
      <c r="U692" s="388"/>
      <c r="V692" s="369" t="b">
        <v>1</v>
      </c>
      <c r="W692" s="369" t="b">
        <v>1</v>
      </c>
      <c r="X692" s="391" t="b">
        <v>0</v>
      </c>
    </row>
    <row r="693" ht="24.0" customHeight="1">
      <c r="A693" s="457" t="s">
        <v>1482</v>
      </c>
      <c r="B693" s="383">
        <v>46223.65643185185</v>
      </c>
      <c r="C693" s="384" t="s">
        <v>1483</v>
      </c>
      <c r="D693" s="116" t="s">
        <v>978</v>
      </c>
      <c r="E693" s="399"/>
      <c r="F693" s="388"/>
      <c r="G693" s="457" t="s">
        <v>244</v>
      </c>
      <c r="H693" s="385">
        <v>1.0</v>
      </c>
      <c r="I693" s="386">
        <f>IF(G693="", "", IFERROR(VLOOKUP(G693, Products!A:F, 4, FALSE), ""))
</f>
        <v>120</v>
      </c>
      <c r="J693" s="405"/>
      <c r="K693" s="54">
        <f t="shared" si="20"/>
        <v>120</v>
      </c>
      <c r="L693" s="387">
        <v>10.0</v>
      </c>
      <c r="M693" s="138" t="s">
        <v>73</v>
      </c>
      <c r="N693" s="46">
        <f t="shared" si="21"/>
        <v>110</v>
      </c>
      <c r="O693" s="369" t="b">
        <v>0</v>
      </c>
      <c r="P693" s="369" t="b">
        <v>0</v>
      </c>
      <c r="Q693" s="387"/>
      <c r="R693" s="388"/>
      <c r="S693" s="65">
        <f t="shared" si="22"/>
        <v>110</v>
      </c>
      <c r="T693" s="369" t="b">
        <v>0</v>
      </c>
      <c r="U693" s="388"/>
      <c r="V693" s="369" t="b">
        <v>1</v>
      </c>
      <c r="W693" s="369" t="b">
        <v>1</v>
      </c>
      <c r="X693" s="391" t="b">
        <v>0</v>
      </c>
    </row>
    <row r="694" ht="24.0" customHeight="1">
      <c r="A694" s="457" t="s">
        <v>1484</v>
      </c>
      <c r="B694" s="383">
        <v>46223.65781153935</v>
      </c>
      <c r="C694" s="384" t="s">
        <v>1380</v>
      </c>
      <c r="D694" s="116" t="s">
        <v>1097</v>
      </c>
      <c r="E694" s="385" t="s">
        <v>1381</v>
      </c>
      <c r="F694" s="388"/>
      <c r="G694" s="457" t="s">
        <v>124</v>
      </c>
      <c r="H694" s="385">
        <v>500.0</v>
      </c>
      <c r="I694" s="386">
        <f>IF(G694="", "", IFERROR(VLOOKUP(G694, Products!A:F, 4, FALSE), ""))
</f>
        <v>3</v>
      </c>
      <c r="J694" s="405"/>
      <c r="K694" s="54">
        <f t="shared" si="20"/>
        <v>1500</v>
      </c>
      <c r="L694" s="387">
        <v>800.0</v>
      </c>
      <c r="M694" s="138" t="s">
        <v>73</v>
      </c>
      <c r="N694" s="46">
        <f t="shared" si="21"/>
        <v>700</v>
      </c>
      <c r="O694" s="369" t="b">
        <v>0</v>
      </c>
      <c r="P694" s="369" t="b">
        <v>1</v>
      </c>
      <c r="Q694" s="387"/>
      <c r="R694" s="388"/>
      <c r="S694" s="65">
        <f t="shared" si="22"/>
        <v>700</v>
      </c>
      <c r="T694" s="369" t="b">
        <v>0</v>
      </c>
      <c r="U694" s="388"/>
      <c r="V694" s="369" t="b">
        <v>1</v>
      </c>
      <c r="W694" s="391" t="b">
        <v>0</v>
      </c>
      <c r="X694" s="391" t="b">
        <v>0</v>
      </c>
    </row>
    <row r="695" ht="24.0" customHeight="1">
      <c r="A695" s="457" t="s">
        <v>1484</v>
      </c>
      <c r="B695" s="383">
        <v>46223.65781153935</v>
      </c>
      <c r="C695" s="384" t="s">
        <v>1485</v>
      </c>
      <c r="D695" s="385" t="s">
        <v>1097</v>
      </c>
      <c r="E695" s="385" t="s">
        <v>1381</v>
      </c>
      <c r="F695" s="388"/>
      <c r="G695" s="457" t="s">
        <v>138</v>
      </c>
      <c r="H695" s="385">
        <v>1.0</v>
      </c>
      <c r="I695" s="386">
        <f>IF(G695="", "", IFERROR(VLOOKUP(G695, Products!A:F, 4, FALSE), ""))
</f>
        <v>100</v>
      </c>
      <c r="J695" s="405"/>
      <c r="K695" s="54">
        <f t="shared" si="20"/>
        <v>100</v>
      </c>
      <c r="L695" s="387"/>
      <c r="M695" s="138"/>
      <c r="N695" s="46">
        <f t="shared" si="21"/>
        <v>100</v>
      </c>
      <c r="O695" s="369" t="b">
        <v>0</v>
      </c>
      <c r="P695" s="369" t="b">
        <v>1</v>
      </c>
      <c r="Q695" s="387"/>
      <c r="R695" s="388"/>
      <c r="S695" s="65">
        <f t="shared" si="22"/>
        <v>100</v>
      </c>
      <c r="T695" s="369" t="b">
        <v>0</v>
      </c>
      <c r="U695" s="388"/>
      <c r="V695" s="369" t="b">
        <v>1</v>
      </c>
      <c r="W695" s="369" t="b">
        <v>1</v>
      </c>
      <c r="X695" s="369" t="b">
        <v>0</v>
      </c>
    </row>
    <row r="696" ht="24.0" customHeight="1">
      <c r="A696" s="457" t="s">
        <v>1486</v>
      </c>
      <c r="B696" s="383">
        <v>46223.661597314815</v>
      </c>
      <c r="C696" s="384" t="s">
        <v>1487</v>
      </c>
      <c r="D696" s="385" t="s">
        <v>945</v>
      </c>
      <c r="E696" s="385" t="s">
        <v>1488</v>
      </c>
      <c r="F696" s="388"/>
      <c r="G696" s="457" t="s">
        <v>190</v>
      </c>
      <c r="H696" s="385">
        <v>1.0</v>
      </c>
      <c r="I696" s="386">
        <f>IF(G696="", "", IFERROR(VLOOKUP(G696, Products!A:F, 4, FALSE), ""))
</f>
        <v>200</v>
      </c>
      <c r="J696" s="405"/>
      <c r="K696" s="54">
        <f t="shared" si="20"/>
        <v>200</v>
      </c>
      <c r="L696" s="387">
        <v>200.0</v>
      </c>
      <c r="M696" s="138" t="s">
        <v>73</v>
      </c>
      <c r="N696" s="46">
        <f t="shared" si="21"/>
        <v>0</v>
      </c>
      <c r="O696" s="369" t="b">
        <v>0</v>
      </c>
      <c r="P696" s="369" t="b">
        <v>1</v>
      </c>
      <c r="Q696" s="387"/>
      <c r="R696" s="388"/>
      <c r="S696" s="65">
        <f t="shared" si="22"/>
        <v>0</v>
      </c>
      <c r="T696" s="369" t="b">
        <v>1</v>
      </c>
      <c r="U696" s="388"/>
      <c r="V696" s="391" t="b">
        <v>0</v>
      </c>
      <c r="W696" s="391" t="b">
        <v>0</v>
      </c>
      <c r="X696" s="391" t="b">
        <v>0</v>
      </c>
    </row>
    <row r="697" ht="24.0" customHeight="1">
      <c r="A697" s="457" t="s">
        <v>1489</v>
      </c>
      <c r="B697" s="383">
        <v>46223.66589920138</v>
      </c>
      <c r="C697" s="384" t="s">
        <v>1490</v>
      </c>
      <c r="D697" s="385" t="s">
        <v>888</v>
      </c>
      <c r="E697" s="385" t="s">
        <v>1491</v>
      </c>
      <c r="F697" s="388"/>
      <c r="G697" s="457" t="s">
        <v>122</v>
      </c>
      <c r="H697" s="385">
        <v>3.0</v>
      </c>
      <c r="I697" s="386">
        <f>IF(G697="", "", IFERROR(VLOOKUP(G697, Products!A:F, 4, FALSE), ""))
</f>
        <v>80</v>
      </c>
      <c r="J697" s="405"/>
      <c r="K697" s="54">
        <f t="shared" si="20"/>
        <v>240</v>
      </c>
      <c r="L697" s="387">
        <v>240.0</v>
      </c>
      <c r="M697" s="138" t="s">
        <v>73</v>
      </c>
      <c r="N697" s="46">
        <f t="shared" si="21"/>
        <v>0</v>
      </c>
      <c r="O697" s="369" t="b">
        <v>1</v>
      </c>
      <c r="P697" s="369" t="b">
        <v>1</v>
      </c>
      <c r="Q697" s="387"/>
      <c r="R697" s="388"/>
      <c r="S697" s="65">
        <f t="shared" si="22"/>
        <v>0</v>
      </c>
      <c r="T697" s="369" t="b">
        <v>1</v>
      </c>
      <c r="U697" s="388"/>
      <c r="V697" s="391" t="b">
        <v>0</v>
      </c>
      <c r="W697" s="391" t="b">
        <v>0</v>
      </c>
      <c r="X697" s="391" t="b">
        <v>0</v>
      </c>
    </row>
    <row r="698" ht="24.0" customHeight="1">
      <c r="A698" s="457" t="s">
        <v>1492</v>
      </c>
      <c r="B698" s="383">
        <v>46223.67299143519</v>
      </c>
      <c r="C698" s="384" t="s">
        <v>1493</v>
      </c>
      <c r="D698" s="385" t="s">
        <v>953</v>
      </c>
      <c r="E698" s="399"/>
      <c r="F698" s="388"/>
      <c r="G698" s="457" t="s">
        <v>244</v>
      </c>
      <c r="H698" s="385">
        <v>1.0</v>
      </c>
      <c r="I698" s="386">
        <f>IF(G698="", "", IFERROR(VLOOKUP(G698, Products!A:F, 4, FALSE), ""))
</f>
        <v>120</v>
      </c>
      <c r="J698" s="405"/>
      <c r="K698" s="54">
        <f t="shared" si="20"/>
        <v>120</v>
      </c>
      <c r="L698" s="387">
        <v>100.0</v>
      </c>
      <c r="M698" s="138" t="s">
        <v>73</v>
      </c>
      <c r="N698" s="46">
        <f>K724-L698</f>
        <v>300</v>
      </c>
      <c r="O698" s="369" t="b">
        <v>0</v>
      </c>
      <c r="P698" s="369" t="b">
        <v>1</v>
      </c>
      <c r="Q698" s="387"/>
      <c r="R698" s="388"/>
      <c r="S698" s="65">
        <f t="shared" si="22"/>
        <v>300</v>
      </c>
      <c r="T698" s="369" t="b">
        <v>0</v>
      </c>
      <c r="U698" s="388"/>
      <c r="V698" s="391" t="b">
        <v>0</v>
      </c>
      <c r="W698" s="391" t="b">
        <v>0</v>
      </c>
      <c r="X698" s="391" t="b">
        <v>0</v>
      </c>
    </row>
    <row r="699" ht="24.0" customHeight="1">
      <c r="A699" s="457" t="s">
        <v>1494</v>
      </c>
      <c r="B699" s="383">
        <v>46223.67433193287</v>
      </c>
      <c r="C699" s="384"/>
      <c r="D699" s="455" t="s">
        <v>53</v>
      </c>
      <c r="E699" s="456" t="s">
        <v>620</v>
      </c>
      <c r="F699" s="388"/>
      <c r="G699" s="457" t="s">
        <v>244</v>
      </c>
      <c r="H699" s="385">
        <v>1.0</v>
      </c>
      <c r="I699" s="386">
        <f>IF(G699="", "", IFERROR(VLOOKUP(G699, Products!A:F, 4, FALSE), ""))
</f>
        <v>120</v>
      </c>
      <c r="J699" s="405"/>
      <c r="K699" s="54">
        <f t="shared" si="20"/>
        <v>120</v>
      </c>
      <c r="L699" s="387"/>
      <c r="M699" s="138"/>
      <c r="N699" s="46">
        <f t="shared" ref="N699:N748" si="23">K699-L699</f>
        <v>120</v>
      </c>
      <c r="O699" s="369" t="b">
        <v>1</v>
      </c>
      <c r="P699" s="369" t="b">
        <v>0</v>
      </c>
      <c r="Q699" s="387"/>
      <c r="R699" s="388"/>
      <c r="S699" s="65">
        <f t="shared" si="22"/>
        <v>120</v>
      </c>
      <c r="T699" s="369" t="b">
        <v>0</v>
      </c>
      <c r="U699" s="388"/>
      <c r="V699" s="391" t="b">
        <v>0</v>
      </c>
      <c r="W699" s="391" t="b">
        <v>0</v>
      </c>
      <c r="X699" s="391" t="b">
        <v>0</v>
      </c>
    </row>
    <row r="700" ht="24.0" customHeight="1">
      <c r="A700" s="457" t="s">
        <v>1495</v>
      </c>
      <c r="B700" s="383">
        <v>46225.57085109953</v>
      </c>
      <c r="C700" s="384" t="s">
        <v>1496</v>
      </c>
      <c r="D700" s="91" t="s">
        <v>263</v>
      </c>
      <c r="E700" s="385" t="s">
        <v>988</v>
      </c>
      <c r="F700" s="388"/>
      <c r="G700" s="457" t="s">
        <v>124</v>
      </c>
      <c r="H700" s="385">
        <v>100.0</v>
      </c>
      <c r="I700" s="386">
        <f>IF(G700="", "", IFERROR(VLOOKUP(G700, Products!A:F, 4, FALSE), ""))
</f>
        <v>3</v>
      </c>
      <c r="J700" s="405"/>
      <c r="K700" s="54">
        <f t="shared" si="20"/>
        <v>300</v>
      </c>
      <c r="L700" s="387">
        <v>200.0</v>
      </c>
      <c r="M700" s="138" t="s">
        <v>73</v>
      </c>
      <c r="N700" s="46">
        <f t="shared" si="23"/>
        <v>100</v>
      </c>
      <c r="O700" s="369" t="b">
        <v>0</v>
      </c>
      <c r="P700" s="369" t="b">
        <v>0</v>
      </c>
      <c r="Q700" s="387"/>
      <c r="R700" s="388"/>
      <c r="S700" s="65">
        <f t="shared" si="22"/>
        <v>100</v>
      </c>
      <c r="T700" s="369" t="b">
        <v>0</v>
      </c>
      <c r="U700" s="388"/>
      <c r="V700" s="369" t="b">
        <v>1</v>
      </c>
      <c r="W700" s="369" t="b">
        <v>1</v>
      </c>
      <c r="X700" s="391" t="b">
        <v>0</v>
      </c>
    </row>
    <row r="701" ht="24.0" customHeight="1">
      <c r="A701" s="457" t="s">
        <v>1495</v>
      </c>
      <c r="B701" s="383">
        <v>46225.57085109953</v>
      </c>
      <c r="C701" s="384" t="s">
        <v>1497</v>
      </c>
      <c r="D701" s="91" t="s">
        <v>263</v>
      </c>
      <c r="E701" s="385" t="s">
        <v>988</v>
      </c>
      <c r="F701" s="388"/>
      <c r="G701" s="457" t="s">
        <v>138</v>
      </c>
      <c r="H701" s="385">
        <v>2.0</v>
      </c>
      <c r="I701" s="386">
        <f>IF(G701="", "", IFERROR(VLOOKUP(G701, Products!A:F, 4, FALSE), ""))
</f>
        <v>100</v>
      </c>
      <c r="J701" s="405"/>
      <c r="K701" s="54">
        <f t="shared" si="20"/>
        <v>200</v>
      </c>
      <c r="L701" s="387">
        <v>50.0</v>
      </c>
      <c r="M701" s="138" t="s">
        <v>73</v>
      </c>
      <c r="N701" s="46">
        <f t="shared" si="23"/>
        <v>150</v>
      </c>
      <c r="O701" s="369" t="b">
        <v>0</v>
      </c>
      <c r="P701" s="369" t="b">
        <v>0</v>
      </c>
      <c r="Q701" s="387"/>
      <c r="R701" s="388"/>
      <c r="S701" s="65">
        <f t="shared" si="22"/>
        <v>150</v>
      </c>
      <c r="T701" s="369" t="b">
        <v>0</v>
      </c>
      <c r="U701" s="388"/>
      <c r="V701" s="369" t="b">
        <v>1</v>
      </c>
      <c r="W701" s="369" t="b">
        <v>1</v>
      </c>
      <c r="X701" s="391" t="b">
        <v>0</v>
      </c>
    </row>
    <row r="702" ht="24.0" customHeight="1">
      <c r="A702" s="457" t="s">
        <v>1498</v>
      </c>
      <c r="B702" s="383">
        <v>46225.57304190972</v>
      </c>
      <c r="C702" s="384" t="s">
        <v>1499</v>
      </c>
      <c r="D702" s="385" t="s">
        <v>953</v>
      </c>
      <c r="E702" s="399"/>
      <c r="F702" s="388"/>
      <c r="G702" s="76" t="s">
        <v>248</v>
      </c>
      <c r="H702" s="385">
        <v>20.0</v>
      </c>
      <c r="I702" s="386">
        <v>25.0</v>
      </c>
      <c r="J702" s="405"/>
      <c r="K702" s="54">
        <f t="shared" si="20"/>
        <v>500</v>
      </c>
      <c r="L702" s="387">
        <v>200.0</v>
      </c>
      <c r="M702" s="138" t="s">
        <v>73</v>
      </c>
      <c r="N702" s="46">
        <f t="shared" si="23"/>
        <v>300</v>
      </c>
      <c r="O702" s="369" t="b">
        <v>0</v>
      </c>
      <c r="P702" s="369" t="b">
        <v>1</v>
      </c>
      <c r="Q702" s="387"/>
      <c r="R702" s="388"/>
      <c r="S702" s="65">
        <f t="shared" si="22"/>
        <v>300</v>
      </c>
      <c r="T702" s="369" t="b">
        <v>0</v>
      </c>
      <c r="U702" s="388"/>
      <c r="V702" s="391" t="b">
        <v>0</v>
      </c>
      <c r="W702" s="391" t="b">
        <v>0</v>
      </c>
      <c r="X702" s="391" t="b">
        <v>0</v>
      </c>
    </row>
    <row r="703" ht="24.0" customHeight="1">
      <c r="A703" s="457" t="s">
        <v>1500</v>
      </c>
      <c r="B703" s="383">
        <v>46225.57939395834</v>
      </c>
      <c r="C703" s="384" t="s">
        <v>1501</v>
      </c>
      <c r="D703" s="385" t="s">
        <v>945</v>
      </c>
      <c r="E703" s="385" t="s">
        <v>1502</v>
      </c>
      <c r="F703" s="388"/>
      <c r="G703" s="457" t="s">
        <v>244</v>
      </c>
      <c r="H703" s="385">
        <v>1.0</v>
      </c>
      <c r="I703" s="386">
        <f>IF(G703="", "", IFERROR(VLOOKUP(G703, Products!A:F, 4, FALSE), ""))
</f>
        <v>120</v>
      </c>
      <c r="J703" s="405"/>
      <c r="K703" s="54">
        <f t="shared" si="20"/>
        <v>120</v>
      </c>
      <c r="L703" s="387">
        <v>120.0</v>
      </c>
      <c r="M703" s="138" t="s">
        <v>73</v>
      </c>
      <c r="N703" s="46">
        <f t="shared" si="23"/>
        <v>0</v>
      </c>
      <c r="O703" s="369" t="b">
        <v>0</v>
      </c>
      <c r="P703" s="369" t="b">
        <v>1</v>
      </c>
      <c r="Q703" s="387"/>
      <c r="R703" s="388"/>
      <c r="S703" s="65">
        <f t="shared" si="22"/>
        <v>0</v>
      </c>
      <c r="T703" s="369" t="b">
        <v>0</v>
      </c>
      <c r="U703" s="388"/>
      <c r="V703" s="391" t="b">
        <v>0</v>
      </c>
      <c r="W703" s="391" t="b">
        <v>0</v>
      </c>
      <c r="X703" s="391" t="b">
        <v>0</v>
      </c>
    </row>
    <row r="704" ht="24.0" customHeight="1">
      <c r="A704" s="457" t="s">
        <v>1093</v>
      </c>
      <c r="B704" s="383">
        <v>46225.58040179398</v>
      </c>
      <c r="C704" s="384" t="s">
        <v>1479</v>
      </c>
      <c r="D704" s="116" t="s">
        <v>945</v>
      </c>
      <c r="E704" s="399"/>
      <c r="F704" s="388"/>
      <c r="G704" s="457" t="s">
        <v>246</v>
      </c>
      <c r="H704" s="385">
        <v>30.0</v>
      </c>
      <c r="I704" s="386">
        <f>IF(G704="", "", IFERROR(VLOOKUP(G704, Products!A:F, 4, FALSE), ""))
</f>
        <v>7</v>
      </c>
      <c r="J704" s="405"/>
      <c r="K704" s="54">
        <f t="shared" si="20"/>
        <v>210</v>
      </c>
      <c r="L704" s="387">
        <v>210.0</v>
      </c>
      <c r="M704" s="138" t="s">
        <v>73</v>
      </c>
      <c r="N704" s="46">
        <f t="shared" si="23"/>
        <v>0</v>
      </c>
      <c r="O704" s="369" t="b">
        <v>0</v>
      </c>
      <c r="P704" s="369" t="b">
        <v>1</v>
      </c>
      <c r="Q704" s="387"/>
      <c r="R704" s="388"/>
      <c r="S704" s="65">
        <f t="shared" si="22"/>
        <v>0</v>
      </c>
      <c r="T704" s="369" t="b">
        <v>1</v>
      </c>
      <c r="U704" s="138" t="s">
        <v>1014</v>
      </c>
      <c r="V704" s="369" t="b">
        <v>0</v>
      </c>
      <c r="W704" s="369" t="b">
        <v>0</v>
      </c>
      <c r="X704" s="369" t="b">
        <v>0</v>
      </c>
    </row>
    <row r="705" ht="24.0" customHeight="1">
      <c r="A705" s="457" t="s">
        <v>1111</v>
      </c>
      <c r="B705" s="383">
        <v>46225.581447442135</v>
      </c>
      <c r="C705" s="384" t="s">
        <v>1503</v>
      </c>
      <c r="D705" s="116" t="s">
        <v>1071</v>
      </c>
      <c r="E705" s="385" t="s">
        <v>1058</v>
      </c>
      <c r="F705" s="388"/>
      <c r="G705" s="457" t="s">
        <v>244</v>
      </c>
      <c r="H705" s="385">
        <v>2.0</v>
      </c>
      <c r="I705" s="386">
        <f>IF(G705="", "", IFERROR(VLOOKUP(G705, Products!A:F, 4, FALSE), ""))
</f>
        <v>120</v>
      </c>
      <c r="J705" s="405"/>
      <c r="K705" s="54">
        <f t="shared" si="20"/>
        <v>240</v>
      </c>
      <c r="L705" s="387">
        <v>60.0</v>
      </c>
      <c r="M705" s="138" t="s">
        <v>73</v>
      </c>
      <c r="N705" s="46">
        <f t="shared" si="23"/>
        <v>180</v>
      </c>
      <c r="O705" s="369" t="b">
        <v>0</v>
      </c>
      <c r="P705" s="369" t="b">
        <v>1</v>
      </c>
      <c r="Q705" s="387"/>
      <c r="R705" s="388"/>
      <c r="S705" s="65">
        <f t="shared" si="22"/>
        <v>180</v>
      </c>
      <c r="T705" s="369" t="b">
        <v>0</v>
      </c>
      <c r="U705" s="388"/>
      <c r="V705" s="391" t="b">
        <v>0</v>
      </c>
      <c r="W705" s="391" t="b">
        <v>0</v>
      </c>
      <c r="X705" s="391" t="b">
        <v>0</v>
      </c>
    </row>
    <row r="706" ht="24.0" customHeight="1">
      <c r="A706" s="457" t="s">
        <v>1111</v>
      </c>
      <c r="B706" s="383">
        <v>46225.581447442135</v>
      </c>
      <c r="C706" s="384" t="s">
        <v>1504</v>
      </c>
      <c r="D706" s="385" t="s">
        <v>1071</v>
      </c>
      <c r="E706" s="385" t="s">
        <v>1058</v>
      </c>
      <c r="F706" s="388"/>
      <c r="G706" s="457" t="s">
        <v>138</v>
      </c>
      <c r="H706" s="385">
        <v>1.0</v>
      </c>
      <c r="I706" s="386">
        <v>100.0</v>
      </c>
      <c r="J706" s="405"/>
      <c r="K706" s="54">
        <f t="shared" si="20"/>
        <v>100</v>
      </c>
      <c r="L706" s="387"/>
      <c r="M706" s="388"/>
      <c r="N706" s="46">
        <f t="shared" si="23"/>
        <v>100</v>
      </c>
      <c r="O706" s="369" t="b">
        <v>0</v>
      </c>
      <c r="P706" s="369" t="b">
        <v>1</v>
      </c>
      <c r="Q706" s="387"/>
      <c r="R706" s="388"/>
      <c r="S706" s="65">
        <f t="shared" si="22"/>
        <v>100</v>
      </c>
      <c r="T706" s="369" t="b">
        <v>0</v>
      </c>
      <c r="U706" s="388"/>
      <c r="V706" s="391" t="b">
        <v>0</v>
      </c>
      <c r="W706" s="391" t="b">
        <v>0</v>
      </c>
      <c r="X706" s="391" t="b">
        <v>0</v>
      </c>
    </row>
    <row r="707" ht="24.0" customHeight="1">
      <c r="A707" s="457" t="s">
        <v>1111</v>
      </c>
      <c r="B707" s="383">
        <v>46225.581447442135</v>
      </c>
      <c r="C707" s="384" t="s">
        <v>1504</v>
      </c>
      <c r="D707" s="385" t="s">
        <v>1071</v>
      </c>
      <c r="E707" s="385" t="s">
        <v>1058</v>
      </c>
      <c r="F707" s="388"/>
      <c r="G707" s="457" t="s">
        <v>124</v>
      </c>
      <c r="H707" s="385">
        <v>80.0</v>
      </c>
      <c r="I707" s="386">
        <v>3.0</v>
      </c>
      <c r="J707" s="405"/>
      <c r="K707" s="54">
        <f t="shared" si="20"/>
        <v>240</v>
      </c>
      <c r="L707" s="387"/>
      <c r="M707" s="388"/>
      <c r="N707" s="46">
        <f t="shared" si="23"/>
        <v>240</v>
      </c>
      <c r="O707" s="369" t="b">
        <v>0</v>
      </c>
      <c r="P707" s="369" t="b">
        <v>1</v>
      </c>
      <c r="Q707" s="387"/>
      <c r="R707" s="388"/>
      <c r="S707" s="65">
        <f t="shared" si="22"/>
        <v>240</v>
      </c>
      <c r="T707" s="369" t="b">
        <v>0</v>
      </c>
      <c r="U707" s="388"/>
      <c r="V707" s="391" t="b">
        <v>0</v>
      </c>
      <c r="W707" s="391" t="b">
        <v>0</v>
      </c>
      <c r="X707" s="391" t="b">
        <v>0</v>
      </c>
    </row>
    <row r="708" ht="24.0" customHeight="1">
      <c r="A708" s="457" t="s">
        <v>1505</v>
      </c>
      <c r="B708" s="383">
        <v>46225.58252820602</v>
      </c>
      <c r="C708" s="384" t="s">
        <v>1506</v>
      </c>
      <c r="D708" s="385" t="s">
        <v>1071</v>
      </c>
      <c r="E708" s="385" t="s">
        <v>1507</v>
      </c>
      <c r="F708" s="388"/>
      <c r="G708" s="457" t="s">
        <v>244</v>
      </c>
      <c r="H708" s="385">
        <v>1.0</v>
      </c>
      <c r="I708" s="386">
        <f>IF(G708="", "", IFERROR(VLOOKUP(G708, Products!A:F, 4, FALSE), ""))
</f>
        <v>120</v>
      </c>
      <c r="J708" s="405"/>
      <c r="K708" s="54">
        <f t="shared" si="20"/>
        <v>120</v>
      </c>
      <c r="L708" s="387">
        <v>100.0</v>
      </c>
      <c r="M708" s="138" t="s">
        <v>73</v>
      </c>
      <c r="N708" s="46">
        <f t="shared" si="23"/>
        <v>20</v>
      </c>
      <c r="O708" s="369" t="b">
        <v>0</v>
      </c>
      <c r="P708" s="369" t="b">
        <v>1</v>
      </c>
      <c r="Q708" s="387"/>
      <c r="R708" s="388"/>
      <c r="S708" s="65">
        <f t="shared" si="22"/>
        <v>20</v>
      </c>
      <c r="T708" s="369" t="b">
        <v>0</v>
      </c>
      <c r="U708" s="388"/>
      <c r="V708" s="391" t="b">
        <v>0</v>
      </c>
      <c r="W708" s="391" t="b">
        <v>0</v>
      </c>
      <c r="X708" s="391" t="b">
        <v>0</v>
      </c>
    </row>
    <row r="709" ht="24.0" customHeight="1">
      <c r="A709" s="457" t="s">
        <v>1508</v>
      </c>
      <c r="B709" s="383">
        <v>46225.65073807871</v>
      </c>
      <c r="C709" s="384" t="s">
        <v>1509</v>
      </c>
      <c r="D709" s="116" t="s">
        <v>888</v>
      </c>
      <c r="E709" s="385" t="s">
        <v>1510</v>
      </c>
      <c r="F709" s="388"/>
      <c r="G709" s="76" t="s">
        <v>124</v>
      </c>
      <c r="H709" s="385">
        <v>100.0</v>
      </c>
      <c r="I709" s="386">
        <v>3.0</v>
      </c>
      <c r="J709" s="405"/>
      <c r="K709" s="54">
        <f t="shared" si="20"/>
        <v>300</v>
      </c>
      <c r="L709" s="387">
        <v>300.0</v>
      </c>
      <c r="M709" s="138" t="s">
        <v>73</v>
      </c>
      <c r="N709" s="46">
        <f t="shared" si="23"/>
        <v>0</v>
      </c>
      <c r="O709" s="369" t="b">
        <v>1</v>
      </c>
      <c r="P709" s="369" t="b">
        <v>1</v>
      </c>
      <c r="Q709" s="387"/>
      <c r="R709" s="388"/>
      <c r="S709" s="65">
        <f t="shared" si="22"/>
        <v>0</v>
      </c>
      <c r="T709" s="369" t="b">
        <v>0</v>
      </c>
      <c r="U709" s="388"/>
      <c r="V709" s="391" t="b">
        <v>0</v>
      </c>
      <c r="W709" s="391" t="b">
        <v>0</v>
      </c>
      <c r="X709" s="391" t="b">
        <v>0</v>
      </c>
    </row>
    <row r="710" ht="24.0" customHeight="1">
      <c r="A710" s="457" t="s">
        <v>1508</v>
      </c>
      <c r="B710" s="383">
        <v>46225.65073807871</v>
      </c>
      <c r="C710" s="384" t="s">
        <v>1509</v>
      </c>
      <c r="D710" s="116" t="s">
        <v>888</v>
      </c>
      <c r="E710" s="385" t="s">
        <v>1510</v>
      </c>
      <c r="F710" s="388"/>
      <c r="G710" s="457" t="s">
        <v>138</v>
      </c>
      <c r="H710" s="385">
        <v>1.0</v>
      </c>
      <c r="I710" s="386">
        <f>IF(G710="", "", IFERROR(VLOOKUP(G710, Products!A:F, 4, FALSE), ""))
</f>
        <v>100</v>
      </c>
      <c r="J710" s="405"/>
      <c r="K710" s="54">
        <f t="shared" si="20"/>
        <v>100</v>
      </c>
      <c r="L710" s="387">
        <v>100.0</v>
      </c>
      <c r="M710" s="138" t="s">
        <v>73</v>
      </c>
      <c r="N710" s="46">
        <f t="shared" si="23"/>
        <v>0</v>
      </c>
      <c r="O710" s="369" t="b">
        <v>0</v>
      </c>
      <c r="P710" s="369" t="b">
        <v>1</v>
      </c>
      <c r="Q710" s="387"/>
      <c r="R710" s="388"/>
      <c r="S710" s="65">
        <f t="shared" si="22"/>
        <v>0</v>
      </c>
      <c r="T710" s="369" t="b">
        <v>0</v>
      </c>
      <c r="U710" s="388"/>
      <c r="V710" s="391" t="b">
        <v>0</v>
      </c>
      <c r="W710" s="391" t="b">
        <v>0</v>
      </c>
      <c r="X710" s="391" t="b">
        <v>0</v>
      </c>
    </row>
    <row r="711" ht="24.0" customHeight="1">
      <c r="A711" s="457" t="s">
        <v>1508</v>
      </c>
      <c r="B711" s="383">
        <v>46225.65073807871</v>
      </c>
      <c r="C711" s="384" t="s">
        <v>1509</v>
      </c>
      <c r="D711" s="116" t="s">
        <v>888</v>
      </c>
      <c r="E711" s="385" t="s">
        <v>1510</v>
      </c>
      <c r="F711" s="388"/>
      <c r="G711" s="457" t="s">
        <v>187</v>
      </c>
      <c r="H711" s="385">
        <v>1.0</v>
      </c>
      <c r="I711" s="386">
        <f>IF(G711="", "", IFERROR(VLOOKUP(G711, Products!A:F, 4, FALSE), ""))
</f>
        <v>400</v>
      </c>
      <c r="J711" s="405"/>
      <c r="K711" s="54">
        <f t="shared" si="20"/>
        <v>400</v>
      </c>
      <c r="L711" s="387">
        <v>400.0</v>
      </c>
      <c r="M711" s="138" t="s">
        <v>73</v>
      </c>
      <c r="N711" s="46">
        <f t="shared" si="23"/>
        <v>0</v>
      </c>
      <c r="O711" s="369" t="b">
        <v>0</v>
      </c>
      <c r="P711" s="369" t="b">
        <v>1</v>
      </c>
      <c r="Q711" s="387"/>
      <c r="R711" s="388"/>
      <c r="S711" s="65">
        <f t="shared" si="22"/>
        <v>0</v>
      </c>
      <c r="T711" s="369" t="b">
        <v>0</v>
      </c>
      <c r="U711" s="388"/>
      <c r="V711" s="391" t="b">
        <v>0</v>
      </c>
      <c r="W711" s="391" t="b">
        <v>0</v>
      </c>
      <c r="X711" s="391" t="b">
        <v>0</v>
      </c>
    </row>
    <row r="712" ht="24.0" customHeight="1">
      <c r="A712" s="457" t="s">
        <v>1511</v>
      </c>
      <c r="B712" s="383">
        <v>46225.65222938657</v>
      </c>
      <c r="C712" s="384" t="s">
        <v>1512</v>
      </c>
      <c r="D712" s="385" t="s">
        <v>1071</v>
      </c>
      <c r="E712" s="385" t="s">
        <v>1051</v>
      </c>
      <c r="F712" s="388"/>
      <c r="G712" s="457" t="s">
        <v>187</v>
      </c>
      <c r="H712" s="385">
        <v>1.0</v>
      </c>
      <c r="I712" s="386">
        <f>IF(G712="", "", IFERROR(VLOOKUP(G712, Products!A:F, 4, FALSE), ""))
</f>
        <v>400</v>
      </c>
      <c r="J712" s="405"/>
      <c r="K712" s="54">
        <f t="shared" si="20"/>
        <v>400</v>
      </c>
      <c r="L712" s="387">
        <v>200.0</v>
      </c>
      <c r="M712" s="138" t="s">
        <v>73</v>
      </c>
      <c r="N712" s="46">
        <f t="shared" si="23"/>
        <v>200</v>
      </c>
      <c r="O712" s="369" t="b">
        <v>0</v>
      </c>
      <c r="P712" s="369" t="b">
        <v>1</v>
      </c>
      <c r="Q712" s="387"/>
      <c r="R712" s="388"/>
      <c r="S712" s="65">
        <f t="shared" si="22"/>
        <v>200</v>
      </c>
      <c r="T712" s="369" t="b">
        <v>0</v>
      </c>
      <c r="U712" s="388"/>
      <c r="V712" s="391" t="b">
        <v>0</v>
      </c>
      <c r="W712" s="391" t="b">
        <v>0</v>
      </c>
      <c r="X712" s="391" t="b">
        <v>0</v>
      </c>
    </row>
    <row r="713" ht="24.0" customHeight="1">
      <c r="A713" s="457" t="s">
        <v>1513</v>
      </c>
      <c r="B713" s="383">
        <v>46226.52248667824</v>
      </c>
      <c r="C713" s="384" t="s">
        <v>1120</v>
      </c>
      <c r="D713" s="116" t="s">
        <v>1071</v>
      </c>
      <c r="E713" s="385" t="s">
        <v>948</v>
      </c>
      <c r="F713" s="138"/>
      <c r="G713" s="457" t="s">
        <v>212</v>
      </c>
      <c r="H713" s="385">
        <v>1.0</v>
      </c>
      <c r="I713" s="386">
        <v>80.0</v>
      </c>
      <c r="J713" s="405"/>
      <c r="K713" s="54">
        <f t="shared" si="20"/>
        <v>80</v>
      </c>
      <c r="L713" s="387"/>
      <c r="M713" s="138"/>
      <c r="N713" s="46">
        <f t="shared" si="23"/>
        <v>80</v>
      </c>
      <c r="O713" s="369" t="b">
        <v>1</v>
      </c>
      <c r="P713" s="369" t="b">
        <v>0</v>
      </c>
      <c r="Q713" s="387"/>
      <c r="R713" s="388"/>
      <c r="S713" s="65">
        <f t="shared" si="22"/>
        <v>80</v>
      </c>
      <c r="T713" s="369" t="b">
        <v>0</v>
      </c>
      <c r="U713" s="388"/>
      <c r="V713" s="369" t="b">
        <v>1</v>
      </c>
      <c r="W713" s="391" t="b">
        <v>0</v>
      </c>
      <c r="X713" s="391" t="b">
        <v>0</v>
      </c>
    </row>
    <row r="714" ht="24.0" customHeight="1">
      <c r="A714" s="457" t="s">
        <v>1513</v>
      </c>
      <c r="B714" s="383">
        <v>46226.52248667824</v>
      </c>
      <c r="C714" s="384" t="s">
        <v>1120</v>
      </c>
      <c r="D714" s="385" t="s">
        <v>1071</v>
      </c>
      <c r="E714" s="385" t="s">
        <v>948</v>
      </c>
      <c r="F714" s="388"/>
      <c r="G714" s="457" t="s">
        <v>122</v>
      </c>
      <c r="H714" s="385">
        <v>1.0</v>
      </c>
      <c r="I714" s="386">
        <v>80.0</v>
      </c>
      <c r="J714" s="405"/>
      <c r="K714" s="54">
        <f t="shared" si="20"/>
        <v>80</v>
      </c>
      <c r="L714" s="387">
        <v>80.0</v>
      </c>
      <c r="M714" s="138" t="s">
        <v>73</v>
      </c>
      <c r="N714" s="46">
        <f t="shared" si="23"/>
        <v>0</v>
      </c>
      <c r="O714" s="369" t="b">
        <v>1</v>
      </c>
      <c r="P714" s="369" t="b">
        <v>0</v>
      </c>
      <c r="Q714" s="387"/>
      <c r="R714" s="388"/>
      <c r="S714" s="65">
        <f t="shared" si="22"/>
        <v>0</v>
      </c>
      <c r="T714" s="369" t="b">
        <v>0</v>
      </c>
      <c r="U714" s="388"/>
      <c r="V714" s="369" t="b">
        <v>1</v>
      </c>
      <c r="W714" s="391" t="b">
        <v>0</v>
      </c>
      <c r="X714" s="391" t="b">
        <v>0</v>
      </c>
    </row>
    <row r="715" ht="24.0" customHeight="1">
      <c r="A715" s="457" t="s">
        <v>1513</v>
      </c>
      <c r="B715" s="383">
        <v>46226.52248667824</v>
      </c>
      <c r="C715" s="384" t="s">
        <v>1120</v>
      </c>
      <c r="D715" s="385" t="s">
        <v>1071</v>
      </c>
      <c r="E715" s="385" t="s">
        <v>948</v>
      </c>
      <c r="F715" s="388"/>
      <c r="G715" s="457" t="s">
        <v>244</v>
      </c>
      <c r="H715" s="385">
        <v>1.0</v>
      </c>
      <c r="I715" s="386">
        <v>120.0</v>
      </c>
      <c r="J715" s="405"/>
      <c r="K715" s="54">
        <f t="shared" si="20"/>
        <v>120</v>
      </c>
      <c r="L715" s="387">
        <v>120.0</v>
      </c>
      <c r="M715" s="138" t="s">
        <v>73</v>
      </c>
      <c r="N715" s="46">
        <f t="shared" si="23"/>
        <v>0</v>
      </c>
      <c r="O715" s="369" t="b">
        <v>1</v>
      </c>
      <c r="P715" s="369" t="b">
        <v>0</v>
      </c>
      <c r="Q715" s="387"/>
      <c r="R715" s="388"/>
      <c r="S715" s="65">
        <f t="shared" si="22"/>
        <v>0</v>
      </c>
      <c r="T715" s="369" t="b">
        <v>0</v>
      </c>
      <c r="U715" s="388"/>
      <c r="V715" s="369" t="b">
        <v>1</v>
      </c>
      <c r="W715" s="391" t="b">
        <v>0</v>
      </c>
      <c r="X715" s="391" t="b">
        <v>0</v>
      </c>
    </row>
    <row r="716" ht="24.0" customHeight="1">
      <c r="A716" s="457" t="s">
        <v>1513</v>
      </c>
      <c r="B716" s="383">
        <v>46226.52248667824</v>
      </c>
      <c r="C716" s="384" t="s">
        <v>1120</v>
      </c>
      <c r="D716" s="385" t="s">
        <v>1071</v>
      </c>
      <c r="E716" s="385" t="s">
        <v>948</v>
      </c>
      <c r="F716" s="388"/>
      <c r="G716" s="457" t="s">
        <v>214</v>
      </c>
      <c r="H716" s="385">
        <v>4.0</v>
      </c>
      <c r="I716" s="386">
        <v>120.0</v>
      </c>
      <c r="J716" s="405"/>
      <c r="K716" s="54">
        <f t="shared" si="20"/>
        <v>480</v>
      </c>
      <c r="L716" s="387"/>
      <c r="M716" s="138"/>
      <c r="N716" s="46">
        <f t="shared" si="23"/>
        <v>480</v>
      </c>
      <c r="O716" s="369" t="b">
        <v>1</v>
      </c>
      <c r="P716" s="369" t="b">
        <v>0</v>
      </c>
      <c r="Q716" s="387"/>
      <c r="R716" s="388"/>
      <c r="S716" s="65">
        <f t="shared" si="22"/>
        <v>480</v>
      </c>
      <c r="T716" s="369" t="b">
        <v>0</v>
      </c>
      <c r="U716" s="388"/>
      <c r="V716" s="369" t="b">
        <v>1</v>
      </c>
      <c r="W716" s="391" t="b">
        <v>0</v>
      </c>
      <c r="X716" s="391" t="b">
        <v>0</v>
      </c>
    </row>
    <row r="717" ht="24.0" customHeight="1">
      <c r="A717" s="457" t="s">
        <v>1513</v>
      </c>
      <c r="B717" s="383">
        <v>46226.52248667824</v>
      </c>
      <c r="C717" s="384" t="s">
        <v>1120</v>
      </c>
      <c r="D717" s="385" t="s">
        <v>1071</v>
      </c>
      <c r="E717" s="385" t="s">
        <v>948</v>
      </c>
      <c r="F717" s="388"/>
      <c r="G717" s="76" t="s">
        <v>128</v>
      </c>
      <c r="H717" s="385">
        <v>200.0</v>
      </c>
      <c r="I717" s="386">
        <v>4.0</v>
      </c>
      <c r="J717" s="405"/>
      <c r="K717" s="54">
        <f t="shared" si="20"/>
        <v>800</v>
      </c>
      <c r="L717" s="387">
        <v>700.0</v>
      </c>
      <c r="M717" s="138" t="s">
        <v>73</v>
      </c>
      <c r="N717" s="46">
        <f t="shared" si="23"/>
        <v>100</v>
      </c>
      <c r="O717" s="369" t="b">
        <v>1</v>
      </c>
      <c r="P717" s="369" t="b">
        <v>0</v>
      </c>
      <c r="Q717" s="387"/>
      <c r="R717" s="388"/>
      <c r="S717" s="65">
        <f t="shared" si="22"/>
        <v>100</v>
      </c>
      <c r="T717" s="369" t="b">
        <v>0</v>
      </c>
      <c r="U717" s="388"/>
      <c r="V717" s="369" t="b">
        <v>1</v>
      </c>
      <c r="W717" s="391" t="b">
        <v>0</v>
      </c>
      <c r="X717" s="391" t="b">
        <v>0</v>
      </c>
    </row>
    <row r="718" ht="24.0" customHeight="1">
      <c r="A718" s="457" t="s">
        <v>1513</v>
      </c>
      <c r="B718" s="383">
        <v>46226.52248667824</v>
      </c>
      <c r="C718" s="384" t="s">
        <v>1120</v>
      </c>
      <c r="D718" s="385" t="s">
        <v>1071</v>
      </c>
      <c r="E718" s="385" t="s">
        <v>948</v>
      </c>
      <c r="F718" s="388"/>
      <c r="G718" s="457" t="s">
        <v>138</v>
      </c>
      <c r="H718" s="385">
        <v>1.0</v>
      </c>
      <c r="I718" s="386">
        <v>100.0</v>
      </c>
      <c r="J718" s="405"/>
      <c r="K718" s="54">
        <f t="shared" si="20"/>
        <v>100</v>
      </c>
      <c r="L718" s="387">
        <v>100.0</v>
      </c>
      <c r="M718" s="138" t="s">
        <v>73</v>
      </c>
      <c r="N718" s="46">
        <f t="shared" si="23"/>
        <v>0</v>
      </c>
      <c r="O718" s="369" t="b">
        <v>1</v>
      </c>
      <c r="P718" s="369" t="b">
        <v>0</v>
      </c>
      <c r="Q718" s="387"/>
      <c r="R718" s="388"/>
      <c r="S718" s="65">
        <f t="shared" si="22"/>
        <v>0</v>
      </c>
      <c r="T718" s="369" t="b">
        <v>0</v>
      </c>
      <c r="U718" s="388"/>
      <c r="V718" s="369" t="b">
        <v>1</v>
      </c>
      <c r="W718" s="391" t="b">
        <v>0</v>
      </c>
      <c r="X718" s="391" t="b">
        <v>0</v>
      </c>
    </row>
    <row r="719" ht="24.0" customHeight="1">
      <c r="A719" s="457" t="s">
        <v>1514</v>
      </c>
      <c r="B719" s="383">
        <v>46226.5277828588</v>
      </c>
      <c r="C719" s="384" t="s">
        <v>1515</v>
      </c>
      <c r="D719" s="385" t="s">
        <v>1127</v>
      </c>
      <c r="E719" s="385" t="s">
        <v>1516</v>
      </c>
      <c r="F719" s="388"/>
      <c r="G719" s="457" t="s">
        <v>244</v>
      </c>
      <c r="H719" s="385">
        <v>1.0</v>
      </c>
      <c r="I719" s="386">
        <v>120.0</v>
      </c>
      <c r="J719" s="405"/>
      <c r="K719" s="54">
        <f t="shared" si="20"/>
        <v>120</v>
      </c>
      <c r="L719" s="387">
        <v>100.0</v>
      </c>
      <c r="M719" s="138"/>
      <c r="N719" s="46">
        <f t="shared" si="23"/>
        <v>20</v>
      </c>
      <c r="O719" s="369" t="b">
        <v>0</v>
      </c>
      <c r="P719" s="369" t="b">
        <v>1</v>
      </c>
      <c r="Q719" s="387"/>
      <c r="R719" s="388"/>
      <c r="S719" s="65">
        <f t="shared" si="22"/>
        <v>20</v>
      </c>
      <c r="T719" s="369" t="b">
        <v>0</v>
      </c>
      <c r="U719" s="388"/>
      <c r="V719" s="391" t="b">
        <v>0</v>
      </c>
      <c r="W719" s="391" t="b">
        <v>0</v>
      </c>
      <c r="X719" s="391" t="b">
        <v>0</v>
      </c>
    </row>
    <row r="720" ht="24.0" customHeight="1">
      <c r="A720" s="457" t="s">
        <v>1129</v>
      </c>
      <c r="B720" s="383">
        <v>46227.51968533565</v>
      </c>
      <c r="C720" s="384" t="s">
        <v>1517</v>
      </c>
      <c r="D720" s="116" t="s">
        <v>204</v>
      </c>
      <c r="E720" s="399"/>
      <c r="F720" s="388"/>
      <c r="G720" s="457" t="s">
        <v>138</v>
      </c>
      <c r="H720" s="385">
        <v>1.0</v>
      </c>
      <c r="I720" s="386">
        <v>100.0</v>
      </c>
      <c r="J720" s="405"/>
      <c r="K720" s="54">
        <f t="shared" si="20"/>
        <v>100</v>
      </c>
      <c r="L720" s="387"/>
      <c r="M720" s="138" t="s">
        <v>73</v>
      </c>
      <c r="N720" s="46">
        <f t="shared" si="23"/>
        <v>100</v>
      </c>
      <c r="O720" s="369" t="b">
        <v>0</v>
      </c>
      <c r="P720" s="369" t="b">
        <v>0</v>
      </c>
      <c r="Q720" s="387"/>
      <c r="R720" s="388"/>
      <c r="S720" s="65">
        <f t="shared" si="22"/>
        <v>100</v>
      </c>
      <c r="T720" s="369" t="b">
        <v>0</v>
      </c>
      <c r="U720" s="388"/>
      <c r="V720" s="369" t="b">
        <v>1</v>
      </c>
      <c r="W720" s="369" t="b">
        <v>1</v>
      </c>
      <c r="X720" s="391" t="b">
        <v>0</v>
      </c>
    </row>
    <row r="721" ht="24.0" customHeight="1">
      <c r="A721" s="457" t="s">
        <v>1129</v>
      </c>
      <c r="B721" s="383">
        <v>46227.51968533565</v>
      </c>
      <c r="C721" s="384" t="s">
        <v>1518</v>
      </c>
      <c r="D721" s="385" t="s">
        <v>204</v>
      </c>
      <c r="E721" s="399"/>
      <c r="F721" s="388"/>
      <c r="G721" s="457" t="s">
        <v>124</v>
      </c>
      <c r="H721" s="385">
        <v>100.0</v>
      </c>
      <c r="I721" s="386">
        <v>3.0</v>
      </c>
      <c r="J721" s="405"/>
      <c r="K721" s="54">
        <f t="shared" si="20"/>
        <v>300</v>
      </c>
      <c r="L721" s="387">
        <v>150.0</v>
      </c>
      <c r="M721" s="138" t="s">
        <v>73</v>
      </c>
      <c r="N721" s="46">
        <f t="shared" si="23"/>
        <v>150</v>
      </c>
      <c r="O721" s="369" t="b">
        <v>0</v>
      </c>
      <c r="P721" s="369" t="b">
        <v>0</v>
      </c>
      <c r="Q721" s="387"/>
      <c r="R721" s="388"/>
      <c r="S721" s="65">
        <f t="shared" si="22"/>
        <v>150</v>
      </c>
      <c r="T721" s="369" t="b">
        <v>0</v>
      </c>
      <c r="U721" s="388"/>
      <c r="V721" s="369" t="b">
        <v>1</v>
      </c>
      <c r="W721" s="369" t="b">
        <v>1</v>
      </c>
      <c r="X721" s="391" t="b">
        <v>0</v>
      </c>
    </row>
    <row r="722" ht="24.0" customHeight="1">
      <c r="A722" s="457" t="s">
        <v>356</v>
      </c>
      <c r="B722" s="383">
        <v>46227.52089413194</v>
      </c>
      <c r="C722" s="384" t="s">
        <v>1519</v>
      </c>
      <c r="D722" s="116" t="s">
        <v>93</v>
      </c>
      <c r="E722" s="116" t="s">
        <v>99</v>
      </c>
      <c r="F722" s="388"/>
      <c r="G722" s="457" t="s">
        <v>138</v>
      </c>
      <c r="H722" s="385">
        <v>1.0</v>
      </c>
      <c r="I722" s="386">
        <v>100.0</v>
      </c>
      <c r="J722" s="405"/>
      <c r="K722" s="54">
        <f t="shared" si="20"/>
        <v>100</v>
      </c>
      <c r="L722" s="387"/>
      <c r="M722" s="138"/>
      <c r="N722" s="46">
        <f t="shared" si="23"/>
        <v>100</v>
      </c>
      <c r="O722" s="369" t="b">
        <v>0</v>
      </c>
      <c r="P722" s="369" t="b">
        <v>0</v>
      </c>
      <c r="Q722" s="387"/>
      <c r="R722" s="388"/>
      <c r="S722" s="65">
        <f t="shared" si="22"/>
        <v>100</v>
      </c>
      <c r="T722" s="369" t="b">
        <v>0</v>
      </c>
      <c r="U722" s="388"/>
      <c r="V722" s="369" t="b">
        <v>1</v>
      </c>
      <c r="W722" s="369" t="b">
        <v>1</v>
      </c>
      <c r="X722" s="391" t="b">
        <v>0</v>
      </c>
    </row>
    <row r="723" ht="24.0" customHeight="1">
      <c r="A723" s="457" t="s">
        <v>356</v>
      </c>
      <c r="B723" s="383">
        <v>46227.521337893515</v>
      </c>
      <c r="C723" s="384" t="s">
        <v>1519</v>
      </c>
      <c r="D723" s="116" t="s">
        <v>93</v>
      </c>
      <c r="E723" s="116" t="s">
        <v>99</v>
      </c>
      <c r="F723" s="388"/>
      <c r="G723" s="457" t="s">
        <v>124</v>
      </c>
      <c r="H723" s="385">
        <v>100.0</v>
      </c>
      <c r="I723" s="386">
        <v>3.0</v>
      </c>
      <c r="J723" s="405"/>
      <c r="K723" s="54">
        <f t="shared" si="20"/>
        <v>300</v>
      </c>
      <c r="L723" s="387">
        <v>200.0</v>
      </c>
      <c r="M723" s="138" t="s">
        <v>73</v>
      </c>
      <c r="N723" s="46">
        <f t="shared" si="23"/>
        <v>100</v>
      </c>
      <c r="O723" s="369" t="b">
        <v>0</v>
      </c>
      <c r="P723" s="369" t="b">
        <v>0</v>
      </c>
      <c r="Q723" s="387"/>
      <c r="R723" s="388"/>
      <c r="S723" s="65">
        <f t="shared" si="22"/>
        <v>100</v>
      </c>
      <c r="T723" s="369" t="b">
        <v>0</v>
      </c>
      <c r="U723" s="388"/>
      <c r="V723" s="369" t="b">
        <v>1</v>
      </c>
      <c r="W723" s="369" t="b">
        <v>1</v>
      </c>
      <c r="X723" s="391" t="b">
        <v>0</v>
      </c>
    </row>
    <row r="724" ht="24.0" customHeight="1">
      <c r="A724" s="457" t="s">
        <v>1520</v>
      </c>
      <c r="B724" s="383">
        <v>46227.74858950231</v>
      </c>
      <c r="C724" s="384" t="s">
        <v>1521</v>
      </c>
      <c r="D724" s="385" t="s">
        <v>78</v>
      </c>
      <c r="E724" s="385" t="s">
        <v>1522</v>
      </c>
      <c r="F724" s="388"/>
      <c r="G724" s="457" t="s">
        <v>136</v>
      </c>
      <c r="H724" s="385">
        <v>50.0</v>
      </c>
      <c r="I724" s="386">
        <v>8.0</v>
      </c>
      <c r="J724" s="405"/>
      <c r="K724" s="54">
        <f t="shared" si="20"/>
        <v>400</v>
      </c>
      <c r="L724" s="387">
        <v>400.0</v>
      </c>
      <c r="M724" s="138" t="s">
        <v>73</v>
      </c>
      <c r="N724" s="46">
        <f t="shared" si="23"/>
        <v>0</v>
      </c>
      <c r="O724" s="369" t="b">
        <v>0</v>
      </c>
      <c r="P724" s="369" t="b">
        <v>0</v>
      </c>
      <c r="Q724" s="387"/>
      <c r="R724" s="388"/>
      <c r="S724" s="65">
        <f t="shared" si="22"/>
        <v>0</v>
      </c>
      <c r="T724" s="369" t="b">
        <v>0</v>
      </c>
      <c r="U724" s="388"/>
      <c r="V724" s="391" t="b">
        <v>0</v>
      </c>
      <c r="W724" s="369" t="b">
        <v>1</v>
      </c>
      <c r="X724" s="391" t="b">
        <v>0</v>
      </c>
    </row>
    <row r="725" ht="24.0" customHeight="1">
      <c r="A725" s="457" t="s">
        <v>1523</v>
      </c>
      <c r="B725" s="383">
        <v>46228.55764543981</v>
      </c>
      <c r="C725" s="384" t="s">
        <v>1524</v>
      </c>
      <c r="D725" s="385" t="s">
        <v>93</v>
      </c>
      <c r="E725" s="385" t="s">
        <v>1525</v>
      </c>
      <c r="F725" s="388"/>
      <c r="G725" s="457" t="s">
        <v>210</v>
      </c>
      <c r="H725" s="385">
        <v>4.0</v>
      </c>
      <c r="I725" s="386">
        <v>80.0</v>
      </c>
      <c r="J725" s="405"/>
      <c r="K725" s="54">
        <f t="shared" si="20"/>
        <v>320</v>
      </c>
      <c r="L725" s="387">
        <v>320.0</v>
      </c>
      <c r="M725" s="138" t="s">
        <v>73</v>
      </c>
      <c r="N725" s="46">
        <f t="shared" si="23"/>
        <v>0</v>
      </c>
      <c r="O725" s="369" t="b">
        <v>1</v>
      </c>
      <c r="P725" s="369" t="b">
        <v>1</v>
      </c>
      <c r="Q725" s="387"/>
      <c r="R725" s="388"/>
      <c r="S725" s="65">
        <f t="shared" si="22"/>
        <v>0</v>
      </c>
      <c r="T725" s="369" t="b">
        <v>0</v>
      </c>
      <c r="U725" s="388"/>
      <c r="V725" s="391" t="b">
        <v>0</v>
      </c>
      <c r="W725" s="391" t="b">
        <v>0</v>
      </c>
      <c r="X725" s="391" t="b">
        <v>0</v>
      </c>
    </row>
    <row r="726" ht="24.0" customHeight="1">
      <c r="A726" s="457" t="s">
        <v>920</v>
      </c>
      <c r="B726" s="383">
        <v>46228.5586609375</v>
      </c>
      <c r="C726" s="384" t="s">
        <v>1365</v>
      </c>
      <c r="D726" s="385" t="s">
        <v>921</v>
      </c>
      <c r="E726" s="385" t="s">
        <v>586</v>
      </c>
      <c r="F726" s="388"/>
      <c r="G726" s="457" t="s">
        <v>187</v>
      </c>
      <c r="H726" s="385">
        <v>2.0</v>
      </c>
      <c r="I726" s="386">
        <v>400.0</v>
      </c>
      <c r="J726" s="405">
        <v>100.0</v>
      </c>
      <c r="K726" s="54">
        <f t="shared" si="20"/>
        <v>700</v>
      </c>
      <c r="L726" s="387">
        <v>400.0</v>
      </c>
      <c r="M726" s="138" t="s">
        <v>73</v>
      </c>
      <c r="N726" s="46">
        <f t="shared" si="23"/>
        <v>300</v>
      </c>
      <c r="O726" s="369" t="b">
        <v>0</v>
      </c>
      <c r="P726" s="369" t="b">
        <v>1</v>
      </c>
      <c r="Q726" s="387"/>
      <c r="R726" s="388"/>
      <c r="S726" s="65">
        <f t="shared" si="22"/>
        <v>300</v>
      </c>
      <c r="T726" s="369" t="b">
        <v>0</v>
      </c>
      <c r="U726" s="388"/>
      <c r="V726" s="391" t="b">
        <v>0</v>
      </c>
      <c r="W726" s="391" t="b">
        <v>0</v>
      </c>
      <c r="X726" s="391" t="b">
        <v>0</v>
      </c>
    </row>
    <row r="727" ht="24.0" customHeight="1">
      <c r="A727" s="457" t="s">
        <v>1526</v>
      </c>
      <c r="B727" s="383">
        <v>46228.582413553246</v>
      </c>
      <c r="C727" s="384" t="s">
        <v>1527</v>
      </c>
      <c r="D727" s="385" t="s">
        <v>1144</v>
      </c>
      <c r="E727" s="385" t="s">
        <v>1528</v>
      </c>
      <c r="F727" s="388"/>
      <c r="G727" s="457" t="s">
        <v>133</v>
      </c>
      <c r="H727" s="385">
        <v>40.0</v>
      </c>
      <c r="I727" s="386">
        <v>8.0</v>
      </c>
      <c r="J727" s="405"/>
      <c r="K727" s="54">
        <f t="shared" si="20"/>
        <v>320</v>
      </c>
      <c r="L727" s="387"/>
      <c r="M727" s="138"/>
      <c r="N727" s="46">
        <f t="shared" si="23"/>
        <v>320</v>
      </c>
      <c r="O727" s="369" t="b">
        <v>0</v>
      </c>
      <c r="P727" s="369" t="b">
        <v>0</v>
      </c>
      <c r="Q727" s="387"/>
      <c r="R727" s="388"/>
      <c r="S727" s="65">
        <f t="shared" si="22"/>
        <v>320</v>
      </c>
      <c r="T727" s="369" t="b">
        <v>0</v>
      </c>
      <c r="U727" s="388"/>
      <c r="V727" s="369" t="b">
        <v>1</v>
      </c>
      <c r="W727" s="369" t="b">
        <v>1</v>
      </c>
      <c r="X727" s="391" t="b">
        <v>0</v>
      </c>
    </row>
    <row r="728" ht="24.0" customHeight="1">
      <c r="A728" s="457" t="s">
        <v>1529</v>
      </c>
      <c r="B728" s="383">
        <v>46228.585489652774</v>
      </c>
      <c r="C728" s="384" t="s">
        <v>1530</v>
      </c>
      <c r="D728" s="385" t="s">
        <v>921</v>
      </c>
      <c r="E728" s="385" t="s">
        <v>1531</v>
      </c>
      <c r="F728" s="388"/>
      <c r="G728" s="457" t="s">
        <v>138</v>
      </c>
      <c r="H728" s="385">
        <v>1.0</v>
      </c>
      <c r="I728" s="386">
        <f>IF(G728="", "", IFERROR(VLOOKUP(G728, Products!A:F, 4, FALSE), ""))
</f>
        <v>100</v>
      </c>
      <c r="J728" s="405"/>
      <c r="K728" s="54">
        <f t="shared" si="20"/>
        <v>100</v>
      </c>
      <c r="L728" s="387">
        <v>100.0</v>
      </c>
      <c r="M728" s="138" t="s">
        <v>73</v>
      </c>
      <c r="N728" s="46">
        <f t="shared" si="23"/>
        <v>0</v>
      </c>
      <c r="O728" s="369" t="b">
        <v>0</v>
      </c>
      <c r="P728" s="369" t="b">
        <v>0</v>
      </c>
      <c r="Q728" s="387"/>
      <c r="R728" s="388"/>
      <c r="S728" s="65">
        <f t="shared" si="22"/>
        <v>0</v>
      </c>
      <c r="T728" s="369" t="b">
        <v>0</v>
      </c>
      <c r="U728" s="388"/>
      <c r="V728" s="369" t="b">
        <v>1</v>
      </c>
      <c r="W728" s="369" t="b">
        <v>1</v>
      </c>
      <c r="X728" s="391" t="b">
        <v>0</v>
      </c>
    </row>
    <row r="729" ht="24.0" customHeight="1">
      <c r="A729" s="457" t="s">
        <v>1532</v>
      </c>
      <c r="B729" s="383">
        <v>46229.0</v>
      </c>
      <c r="C729" s="384" t="s">
        <v>1533</v>
      </c>
      <c r="D729" s="385" t="s">
        <v>1071</v>
      </c>
      <c r="E729" s="385" t="s">
        <v>948</v>
      </c>
      <c r="F729" s="388"/>
      <c r="G729" s="457" t="s">
        <v>201</v>
      </c>
      <c r="H729" s="385">
        <v>7.0</v>
      </c>
      <c r="I729" s="386">
        <f>IF(G729="", "", IFERROR(VLOOKUP(G729, Products!A:F, 4, FALSE), ""))
</f>
        <v>80</v>
      </c>
      <c r="J729" s="405"/>
      <c r="K729" s="54">
        <f t="shared" si="20"/>
        <v>560</v>
      </c>
      <c r="L729" s="387">
        <v>500.0</v>
      </c>
      <c r="M729" s="138" t="s">
        <v>73</v>
      </c>
      <c r="N729" s="46">
        <f t="shared" si="23"/>
        <v>60</v>
      </c>
      <c r="O729" s="369" t="b">
        <v>0</v>
      </c>
      <c r="P729" s="369" t="b">
        <v>1</v>
      </c>
      <c r="Q729" s="387"/>
      <c r="R729" s="388"/>
      <c r="S729" s="65">
        <f t="shared" si="22"/>
        <v>60</v>
      </c>
      <c r="T729" s="369" t="b">
        <v>0</v>
      </c>
      <c r="U729" s="388"/>
      <c r="V729" s="391" t="b">
        <v>0</v>
      </c>
      <c r="W729" s="391" t="b">
        <v>0</v>
      </c>
      <c r="X729" s="391" t="b">
        <v>0</v>
      </c>
    </row>
    <row r="730" ht="24.0" customHeight="1">
      <c r="A730" s="457" t="s">
        <v>1532</v>
      </c>
      <c r="B730" s="383">
        <v>46229.0</v>
      </c>
      <c r="C730" s="384" t="s">
        <v>1533</v>
      </c>
      <c r="D730" s="385" t="s">
        <v>1071</v>
      </c>
      <c r="E730" s="385" t="s">
        <v>948</v>
      </c>
      <c r="F730" s="388"/>
      <c r="G730" s="457" t="s">
        <v>122</v>
      </c>
      <c r="H730" s="385">
        <v>7.0</v>
      </c>
      <c r="I730" s="386">
        <f>IF(G730="", "", IFERROR(VLOOKUP(G730, Products!A:F, 4, FALSE), ""))
</f>
        <v>80</v>
      </c>
      <c r="J730" s="405"/>
      <c r="K730" s="54">
        <f t="shared" si="20"/>
        <v>560</v>
      </c>
      <c r="L730" s="387">
        <v>100.0</v>
      </c>
      <c r="M730" s="138" t="s">
        <v>73</v>
      </c>
      <c r="N730" s="46">
        <f t="shared" si="23"/>
        <v>460</v>
      </c>
      <c r="O730" s="369" t="b">
        <v>0</v>
      </c>
      <c r="P730" s="369" t="b">
        <v>1</v>
      </c>
      <c r="Q730" s="387"/>
      <c r="R730" s="388"/>
      <c r="S730" s="65">
        <f t="shared" si="22"/>
        <v>460</v>
      </c>
      <c r="T730" s="369" t="b">
        <v>0</v>
      </c>
      <c r="U730" s="388"/>
      <c r="V730" s="391" t="b">
        <v>0</v>
      </c>
      <c r="W730" s="391" t="b">
        <v>0</v>
      </c>
      <c r="X730" s="391" t="b">
        <v>0</v>
      </c>
    </row>
    <row r="731" ht="24.0" customHeight="1">
      <c r="A731" s="457" t="s">
        <v>1534</v>
      </c>
      <c r="B731" s="383">
        <v>46229.0</v>
      </c>
      <c r="C731" s="384" t="s">
        <v>1535</v>
      </c>
      <c r="D731" s="385" t="s">
        <v>1071</v>
      </c>
      <c r="E731" s="385" t="s">
        <v>948</v>
      </c>
      <c r="F731" s="388"/>
      <c r="G731" s="457" t="s">
        <v>122</v>
      </c>
      <c r="H731" s="385">
        <v>5.0</v>
      </c>
      <c r="I731" s="386">
        <f>IF(G731="", "", IFERROR(VLOOKUP(G731, Products!A:F, 4, FALSE), ""))
</f>
        <v>80</v>
      </c>
      <c r="J731" s="405"/>
      <c r="K731" s="54">
        <f t="shared" si="20"/>
        <v>400</v>
      </c>
      <c r="L731" s="387">
        <v>200.0</v>
      </c>
      <c r="M731" s="138" t="s">
        <v>73</v>
      </c>
      <c r="N731" s="46">
        <f t="shared" si="23"/>
        <v>200</v>
      </c>
      <c r="O731" s="369" t="b">
        <v>1</v>
      </c>
      <c r="P731" s="369" t="b">
        <v>0</v>
      </c>
      <c r="Q731" s="387"/>
      <c r="R731" s="388"/>
      <c r="S731" s="65">
        <f t="shared" si="22"/>
        <v>200</v>
      </c>
      <c r="T731" s="369" t="b">
        <v>0</v>
      </c>
      <c r="U731" s="388"/>
      <c r="V731" s="391" t="b">
        <v>0</v>
      </c>
      <c r="W731" s="391" t="b">
        <v>0</v>
      </c>
      <c r="X731" s="391" t="b">
        <v>0</v>
      </c>
    </row>
    <row r="732" ht="24.0" customHeight="1">
      <c r="A732" s="457" t="s">
        <v>994</v>
      </c>
      <c r="B732" s="383">
        <v>46229.0</v>
      </c>
      <c r="C732" s="384" t="s">
        <v>1407</v>
      </c>
      <c r="D732" s="116"/>
      <c r="E732" s="399"/>
      <c r="F732" s="388"/>
      <c r="G732" s="457" t="s">
        <v>244</v>
      </c>
      <c r="H732" s="385">
        <v>1.0</v>
      </c>
      <c r="I732" s="386">
        <f>IF(G732="", "", IFERROR(VLOOKUP(G732, Products!A:F, 4, FALSE), ""))
</f>
        <v>120</v>
      </c>
      <c r="J732" s="405"/>
      <c r="K732" s="54">
        <f t="shared" si="20"/>
        <v>120</v>
      </c>
      <c r="L732" s="387">
        <v>120.0</v>
      </c>
      <c r="M732" s="138" t="s">
        <v>73</v>
      </c>
      <c r="N732" s="46">
        <f t="shared" si="23"/>
        <v>0</v>
      </c>
      <c r="O732" s="369" t="b">
        <v>0</v>
      </c>
      <c r="P732" s="369" t="b">
        <v>1</v>
      </c>
      <c r="Q732" s="387"/>
      <c r="R732" s="388"/>
      <c r="S732" s="65">
        <f t="shared" si="22"/>
        <v>0</v>
      </c>
      <c r="T732" s="369" t="b">
        <v>0</v>
      </c>
      <c r="U732" s="388"/>
      <c r="V732" s="391" t="b">
        <v>0</v>
      </c>
      <c r="W732" s="391" t="b">
        <v>0</v>
      </c>
      <c r="X732" s="391" t="b">
        <v>0</v>
      </c>
    </row>
    <row r="733" ht="24.0" customHeight="1">
      <c r="A733" s="457" t="s">
        <v>1536</v>
      </c>
      <c r="B733" s="383">
        <v>46230.0</v>
      </c>
      <c r="C733" s="384" t="s">
        <v>1537</v>
      </c>
      <c r="D733" s="385" t="s">
        <v>1538</v>
      </c>
      <c r="E733" s="385" t="s">
        <v>1539</v>
      </c>
      <c r="F733" s="388"/>
      <c r="G733" s="457" t="s">
        <v>136</v>
      </c>
      <c r="H733" s="385">
        <v>100.0</v>
      </c>
      <c r="I733" s="386">
        <v>5.0</v>
      </c>
      <c r="J733" s="405"/>
      <c r="K733" s="54">
        <f t="shared" si="20"/>
        <v>500</v>
      </c>
      <c r="L733" s="387">
        <v>300.0</v>
      </c>
      <c r="M733" s="138" t="s">
        <v>73</v>
      </c>
      <c r="N733" s="46">
        <f t="shared" si="23"/>
        <v>200</v>
      </c>
      <c r="O733" s="369" t="b">
        <v>0</v>
      </c>
      <c r="P733" s="369" t="b">
        <v>0</v>
      </c>
      <c r="Q733" s="387"/>
      <c r="R733" s="388"/>
      <c r="S733" s="65">
        <f t="shared" si="22"/>
        <v>200</v>
      </c>
      <c r="T733" s="369" t="b">
        <v>0</v>
      </c>
      <c r="U733" s="388"/>
      <c r="V733" s="369" t="b">
        <v>1</v>
      </c>
      <c r="W733" s="369" t="b">
        <v>1</v>
      </c>
      <c r="X733" s="391" t="b">
        <v>0</v>
      </c>
    </row>
    <row r="734" ht="24.0" customHeight="1">
      <c r="A734" s="457" t="s">
        <v>1536</v>
      </c>
      <c r="B734" s="383">
        <v>46230.0</v>
      </c>
      <c r="C734" s="384" t="s">
        <v>1537</v>
      </c>
      <c r="D734" s="385" t="s">
        <v>1538</v>
      </c>
      <c r="E734" s="385" t="s">
        <v>1539</v>
      </c>
      <c r="F734" s="388"/>
      <c r="G734" s="457" t="s">
        <v>138</v>
      </c>
      <c r="H734" s="385">
        <v>1.0</v>
      </c>
      <c r="I734" s="386">
        <f>IF(G734="", "", IFERROR(VLOOKUP(G734, Products!A:F, 4, FALSE), ""))
</f>
        <v>100</v>
      </c>
      <c r="J734" s="405"/>
      <c r="K734" s="54">
        <f t="shared" si="20"/>
        <v>100</v>
      </c>
      <c r="L734" s="387"/>
      <c r="M734" s="138"/>
      <c r="N734" s="46">
        <f t="shared" si="23"/>
        <v>100</v>
      </c>
      <c r="O734" s="369" t="b">
        <v>0</v>
      </c>
      <c r="P734" s="369" t="b">
        <v>0</v>
      </c>
      <c r="Q734" s="387"/>
      <c r="R734" s="388"/>
      <c r="S734" s="65">
        <f t="shared" si="22"/>
        <v>100</v>
      </c>
      <c r="T734" s="369" t="b">
        <v>0</v>
      </c>
      <c r="U734" s="388"/>
      <c r="V734" s="369" t="b">
        <v>1</v>
      </c>
      <c r="W734" s="369" t="b">
        <v>1</v>
      </c>
      <c r="X734" s="391" t="b">
        <v>0</v>
      </c>
    </row>
    <row r="735" ht="24.0" customHeight="1">
      <c r="A735" s="457" t="s">
        <v>1540</v>
      </c>
      <c r="B735" s="383">
        <v>46230.0</v>
      </c>
      <c r="C735" s="384" t="s">
        <v>1541</v>
      </c>
      <c r="D735" s="385" t="s">
        <v>945</v>
      </c>
      <c r="E735" s="385" t="s">
        <v>988</v>
      </c>
      <c r="F735" s="388"/>
      <c r="G735" s="457" t="s">
        <v>244</v>
      </c>
      <c r="H735" s="385">
        <v>1.0</v>
      </c>
      <c r="I735" s="386">
        <f>IF(G735="", "", IFERROR(VLOOKUP(G735, Products!A:F, 4, FALSE), ""))
</f>
        <v>120</v>
      </c>
      <c r="J735" s="405"/>
      <c r="K735" s="54">
        <f t="shared" si="20"/>
        <v>120</v>
      </c>
      <c r="L735" s="387">
        <v>120.0</v>
      </c>
      <c r="M735" s="138" t="s">
        <v>73</v>
      </c>
      <c r="N735" s="46">
        <f t="shared" si="23"/>
        <v>0</v>
      </c>
      <c r="O735" s="369" t="b">
        <v>0</v>
      </c>
      <c r="P735" s="369" t="b">
        <v>1</v>
      </c>
      <c r="Q735" s="387"/>
      <c r="R735" s="388"/>
      <c r="S735" s="65">
        <f t="shared" si="22"/>
        <v>0</v>
      </c>
      <c r="T735" s="369" t="b">
        <v>0</v>
      </c>
      <c r="U735" s="388"/>
      <c r="V735" s="391" t="b">
        <v>0</v>
      </c>
      <c r="W735" s="391" t="b">
        <v>0</v>
      </c>
      <c r="X735" s="391" t="b">
        <v>0</v>
      </c>
    </row>
    <row r="736" ht="24.0" customHeight="1">
      <c r="A736" s="457" t="s">
        <v>1540</v>
      </c>
      <c r="B736" s="383">
        <v>46230.0</v>
      </c>
      <c r="C736" s="384" t="s">
        <v>1541</v>
      </c>
      <c r="D736" s="385" t="s">
        <v>945</v>
      </c>
      <c r="E736" s="385" t="s">
        <v>988</v>
      </c>
      <c r="F736" s="388"/>
      <c r="G736" s="457" t="s">
        <v>207</v>
      </c>
      <c r="H736" s="385">
        <v>1.0</v>
      </c>
      <c r="I736" s="386">
        <f>IF(G736="", "", IFERROR(VLOOKUP(G736, Products!A:F, 4, FALSE), ""))
</f>
        <v>80</v>
      </c>
      <c r="J736" s="405"/>
      <c r="K736" s="54">
        <f t="shared" si="20"/>
        <v>80</v>
      </c>
      <c r="L736" s="387">
        <v>5.0</v>
      </c>
      <c r="M736" s="138" t="s">
        <v>73</v>
      </c>
      <c r="N736" s="46">
        <f t="shared" si="23"/>
        <v>75</v>
      </c>
      <c r="O736" s="369" t="b">
        <v>0</v>
      </c>
      <c r="P736" s="369" t="b">
        <v>1</v>
      </c>
      <c r="Q736" s="387"/>
      <c r="R736" s="388"/>
      <c r="S736" s="65">
        <f t="shared" si="22"/>
        <v>75</v>
      </c>
      <c r="T736" s="369" t="b">
        <v>0</v>
      </c>
      <c r="U736" s="388"/>
      <c r="V736" s="391" t="b">
        <v>0</v>
      </c>
      <c r="W736" s="391" t="b">
        <v>0</v>
      </c>
      <c r="X736" s="391" t="b">
        <v>0</v>
      </c>
    </row>
    <row r="737" ht="24.0" customHeight="1">
      <c r="A737" s="457" t="s">
        <v>1542</v>
      </c>
      <c r="B737" s="383">
        <v>46231.0</v>
      </c>
      <c r="C737" s="384" t="s">
        <v>1543</v>
      </c>
      <c r="D737" s="385" t="s">
        <v>1544</v>
      </c>
      <c r="E737" s="399"/>
      <c r="F737" s="388"/>
      <c r="G737" s="457" t="s">
        <v>136</v>
      </c>
      <c r="H737" s="385">
        <v>100.0</v>
      </c>
      <c r="I737" s="386">
        <v>7.0</v>
      </c>
      <c r="J737" s="405"/>
      <c r="K737" s="54">
        <f t="shared" si="20"/>
        <v>700</v>
      </c>
      <c r="L737" s="387">
        <v>350.0</v>
      </c>
      <c r="M737" s="138" t="s">
        <v>73</v>
      </c>
      <c r="N737" s="46">
        <f t="shared" si="23"/>
        <v>350</v>
      </c>
      <c r="O737" s="369" t="b">
        <v>0</v>
      </c>
      <c r="P737" s="369" t="b">
        <v>0</v>
      </c>
      <c r="Q737" s="387"/>
      <c r="R737" s="388"/>
      <c r="S737" s="65">
        <f t="shared" si="22"/>
        <v>350</v>
      </c>
      <c r="T737" s="369" t="b">
        <v>0</v>
      </c>
      <c r="U737" s="388"/>
      <c r="V737" s="391" t="b">
        <v>0</v>
      </c>
      <c r="W737" s="369" t="b">
        <v>1</v>
      </c>
      <c r="X737" s="391" t="b">
        <v>0</v>
      </c>
    </row>
    <row r="738" ht="24.0" customHeight="1">
      <c r="A738" s="457" t="s">
        <v>1545</v>
      </c>
      <c r="B738" s="383">
        <v>46231.0</v>
      </c>
      <c r="C738" s="384" t="s">
        <v>1546</v>
      </c>
      <c r="D738" s="385" t="s">
        <v>1071</v>
      </c>
      <c r="E738" s="385" t="s">
        <v>942</v>
      </c>
      <c r="F738" s="388"/>
      <c r="G738" s="457" t="s">
        <v>136</v>
      </c>
      <c r="H738" s="385">
        <v>30.0</v>
      </c>
      <c r="I738" s="386">
        <v>7.0</v>
      </c>
      <c r="J738" s="405"/>
      <c r="K738" s="54">
        <f t="shared" si="20"/>
        <v>210</v>
      </c>
      <c r="L738" s="387">
        <v>210.0</v>
      </c>
      <c r="M738" s="138" t="s">
        <v>73</v>
      </c>
      <c r="N738" s="46">
        <f t="shared" si="23"/>
        <v>0</v>
      </c>
      <c r="O738" s="369" t="b">
        <v>0</v>
      </c>
      <c r="P738" s="369" t="b">
        <v>0</v>
      </c>
      <c r="Q738" s="387"/>
      <c r="R738" s="388"/>
      <c r="S738" s="65">
        <f t="shared" si="22"/>
        <v>0</v>
      </c>
      <c r="T738" s="369" t="b">
        <v>0</v>
      </c>
      <c r="U738" s="388"/>
      <c r="V738" s="391" t="b">
        <v>0</v>
      </c>
      <c r="W738" s="369" t="b">
        <v>1</v>
      </c>
      <c r="X738" s="391" t="b">
        <v>0</v>
      </c>
    </row>
    <row r="739" ht="24.0" customHeight="1">
      <c r="A739" s="457" t="s">
        <v>1547</v>
      </c>
      <c r="B739" s="383">
        <v>46231.0</v>
      </c>
      <c r="C739" s="384" t="s">
        <v>1548</v>
      </c>
      <c r="D739" s="385" t="s">
        <v>921</v>
      </c>
      <c r="E739" s="385" t="s">
        <v>1549</v>
      </c>
      <c r="F739" s="388"/>
      <c r="G739" s="457" t="s">
        <v>244</v>
      </c>
      <c r="H739" s="385">
        <v>1.0</v>
      </c>
      <c r="I739" s="386">
        <f>IF(G739="", "", IFERROR(VLOOKUP(G739, Products!A:F, 4, FALSE), ""))
</f>
        <v>120</v>
      </c>
      <c r="J739" s="405"/>
      <c r="K739" s="54">
        <f t="shared" si="20"/>
        <v>120</v>
      </c>
      <c r="L739" s="387"/>
      <c r="M739" s="138"/>
      <c r="N739" s="46">
        <f t="shared" si="23"/>
        <v>120</v>
      </c>
      <c r="O739" s="369" t="b">
        <v>1</v>
      </c>
      <c r="P739" s="369" t="b">
        <v>0</v>
      </c>
      <c r="Q739" s="387"/>
      <c r="R739" s="388"/>
      <c r="S739" s="65">
        <f t="shared" si="22"/>
        <v>120</v>
      </c>
      <c r="T739" s="369" t="b">
        <v>0</v>
      </c>
      <c r="U739" s="388"/>
      <c r="V739" s="391" t="b">
        <v>0</v>
      </c>
      <c r="W739" s="391" t="b">
        <v>0</v>
      </c>
      <c r="X739" s="391" t="b">
        <v>0</v>
      </c>
    </row>
    <row r="740" ht="24.0" customHeight="1">
      <c r="A740" s="457" t="s">
        <v>1547</v>
      </c>
      <c r="B740" s="383">
        <v>46231.0</v>
      </c>
      <c r="C740" s="384" t="s">
        <v>1548</v>
      </c>
      <c r="D740" s="385" t="s">
        <v>921</v>
      </c>
      <c r="E740" s="385" t="s">
        <v>1549</v>
      </c>
      <c r="F740" s="388"/>
      <c r="G740" s="457" t="s">
        <v>226</v>
      </c>
      <c r="H740" s="385">
        <v>2.0</v>
      </c>
      <c r="I740" s="386">
        <f>IF(G740="", "", IFERROR(VLOOKUP(G740, Products!A:F, 4, FALSE), ""))
</f>
        <v>100</v>
      </c>
      <c r="J740" s="405"/>
      <c r="K740" s="54">
        <f t="shared" si="20"/>
        <v>200</v>
      </c>
      <c r="L740" s="387">
        <v>160.0</v>
      </c>
      <c r="M740" s="138" t="s">
        <v>73</v>
      </c>
      <c r="N740" s="46">
        <f t="shared" si="23"/>
        <v>40</v>
      </c>
      <c r="O740" s="369" t="b">
        <v>0</v>
      </c>
      <c r="P740" s="369" t="b">
        <v>0</v>
      </c>
      <c r="Q740" s="387"/>
      <c r="R740" s="388"/>
      <c r="S740" s="65">
        <f t="shared" si="22"/>
        <v>40</v>
      </c>
      <c r="T740" s="369" t="b">
        <v>0</v>
      </c>
      <c r="U740" s="388"/>
      <c r="V740" s="391" t="b">
        <v>0</v>
      </c>
      <c r="W740" s="391" t="b">
        <v>0</v>
      </c>
      <c r="X740" s="391" t="b">
        <v>0</v>
      </c>
    </row>
    <row r="741" ht="24.0" customHeight="1">
      <c r="A741" s="457" t="s">
        <v>1550</v>
      </c>
      <c r="B741" s="383">
        <v>46231.0</v>
      </c>
      <c r="C741" s="384" t="s">
        <v>1551</v>
      </c>
      <c r="D741" s="385" t="s">
        <v>1071</v>
      </c>
      <c r="E741" s="385" t="s">
        <v>1051</v>
      </c>
      <c r="F741" s="388"/>
      <c r="G741" s="457" t="s">
        <v>214</v>
      </c>
      <c r="H741" s="385">
        <v>4.0</v>
      </c>
      <c r="I741" s="386">
        <f>IF(G741="", "", IFERROR(VLOOKUP(G741, Products!A:F, 4, FALSE), ""))
</f>
        <v>120</v>
      </c>
      <c r="J741" s="405"/>
      <c r="K741" s="54">
        <f t="shared" si="20"/>
        <v>480</v>
      </c>
      <c r="L741" s="387">
        <v>480.0</v>
      </c>
      <c r="M741" s="138" t="s">
        <v>73</v>
      </c>
      <c r="N741" s="46">
        <f t="shared" si="23"/>
        <v>0</v>
      </c>
      <c r="O741" s="369" t="b">
        <v>1</v>
      </c>
      <c r="P741" s="369" t="b">
        <v>0</v>
      </c>
      <c r="Q741" s="387"/>
      <c r="R741" s="388"/>
      <c r="S741" s="65">
        <f t="shared" si="22"/>
        <v>0</v>
      </c>
      <c r="T741" s="369" t="b">
        <v>0</v>
      </c>
      <c r="U741" s="388"/>
      <c r="V741" s="391" t="b">
        <v>0</v>
      </c>
      <c r="W741" s="391" t="b">
        <v>0</v>
      </c>
      <c r="X741" s="391" t="b">
        <v>0</v>
      </c>
    </row>
    <row r="742" ht="24.0" customHeight="1">
      <c r="A742" s="457" t="s">
        <v>1552</v>
      </c>
      <c r="B742" s="383">
        <v>46231.0</v>
      </c>
      <c r="C742" s="384" t="s">
        <v>1553</v>
      </c>
      <c r="D742" s="385" t="s">
        <v>921</v>
      </c>
      <c r="E742" s="385" t="s">
        <v>1554</v>
      </c>
      <c r="F742" s="388"/>
      <c r="G742" s="457" t="s">
        <v>244</v>
      </c>
      <c r="H742" s="385">
        <v>1.0</v>
      </c>
      <c r="I742" s="386">
        <f>IF(G742="", "", IFERROR(VLOOKUP(G742, Products!A:F, 4, FALSE), ""))
</f>
        <v>120</v>
      </c>
      <c r="J742" s="405"/>
      <c r="K742" s="54">
        <f t="shared" si="20"/>
        <v>120</v>
      </c>
      <c r="L742" s="387">
        <v>120.0</v>
      </c>
      <c r="M742" s="138" t="s">
        <v>73</v>
      </c>
      <c r="N742" s="46">
        <f t="shared" si="23"/>
        <v>0</v>
      </c>
      <c r="O742" s="369" t="b">
        <v>1</v>
      </c>
      <c r="P742" s="369" t="b">
        <v>0</v>
      </c>
      <c r="Q742" s="387"/>
      <c r="R742" s="388"/>
      <c r="S742" s="65">
        <f t="shared" si="22"/>
        <v>0</v>
      </c>
      <c r="T742" s="369" t="b">
        <v>0</v>
      </c>
      <c r="U742" s="388"/>
      <c r="V742" s="391" t="b">
        <v>0</v>
      </c>
      <c r="W742" s="391" t="b">
        <v>0</v>
      </c>
      <c r="X742" s="391" t="b">
        <v>0</v>
      </c>
    </row>
    <row r="743" ht="24.0" customHeight="1">
      <c r="A743" s="76" t="s">
        <v>1555</v>
      </c>
      <c r="B743" s="383">
        <v>46232.637662037036</v>
      </c>
      <c r="C743" s="384" t="s">
        <v>1556</v>
      </c>
      <c r="D743" s="116" t="s">
        <v>78</v>
      </c>
      <c r="E743" s="116" t="s">
        <v>1557</v>
      </c>
      <c r="F743" s="388"/>
      <c r="G743" s="76" t="s">
        <v>201</v>
      </c>
      <c r="H743" s="385">
        <v>7.0</v>
      </c>
      <c r="I743" s="386">
        <f>IF(G743="", "", IFERROR(VLOOKUP(G743, Products!A:F, 4, FALSE), ""))
</f>
        <v>80</v>
      </c>
      <c r="J743" s="405"/>
      <c r="K743" s="54">
        <f t="shared" si="20"/>
        <v>560</v>
      </c>
      <c r="L743" s="387">
        <v>560.0</v>
      </c>
      <c r="M743" s="138"/>
      <c r="N743" s="46">
        <f t="shared" si="23"/>
        <v>0</v>
      </c>
      <c r="O743" s="369" t="b">
        <v>1</v>
      </c>
      <c r="P743" s="369" t="b">
        <v>0</v>
      </c>
      <c r="Q743" s="387"/>
      <c r="R743" s="388"/>
      <c r="S743" s="65">
        <f t="shared" si="22"/>
        <v>0</v>
      </c>
      <c r="T743" s="369" t="b">
        <v>0</v>
      </c>
      <c r="U743" s="388"/>
      <c r="V743" s="369" t="b">
        <v>0</v>
      </c>
      <c r="W743" s="369" t="b">
        <v>0</v>
      </c>
      <c r="X743" s="369" t="b">
        <v>0</v>
      </c>
    </row>
    <row r="744" ht="24.0" customHeight="1">
      <c r="A744" s="76" t="s">
        <v>1558</v>
      </c>
      <c r="B744" s="383">
        <v>46232.74901620371</v>
      </c>
      <c r="C744" s="384" t="s">
        <v>1559</v>
      </c>
      <c r="D744" s="116" t="s">
        <v>368</v>
      </c>
      <c r="E744" s="116" t="s">
        <v>1560</v>
      </c>
      <c r="F744" s="388"/>
      <c r="G744" s="76" t="s">
        <v>136</v>
      </c>
      <c r="H744" s="385">
        <v>100.0</v>
      </c>
      <c r="I744" s="386">
        <f>IF(G744="", "", IFERROR(VLOOKUP(G744, Products!A:F, 4, FALSE), ""))
</f>
        <v>5</v>
      </c>
      <c r="J744" s="405">
        <v>100.0</v>
      </c>
      <c r="K744" s="54">
        <f t="shared" si="20"/>
        <v>400</v>
      </c>
      <c r="L744" s="387">
        <v>250.0</v>
      </c>
      <c r="M744" s="138" t="s">
        <v>73</v>
      </c>
      <c r="N744" s="46">
        <f t="shared" si="23"/>
        <v>150</v>
      </c>
      <c r="O744" s="369" t="b">
        <v>0</v>
      </c>
      <c r="P744" s="369" t="b">
        <v>0</v>
      </c>
      <c r="Q744" s="387"/>
      <c r="R744" s="388"/>
      <c r="S744" s="65">
        <f t="shared" si="22"/>
        <v>150</v>
      </c>
      <c r="T744" s="369" t="b">
        <v>0</v>
      </c>
      <c r="U744" s="388"/>
      <c r="V744" s="369" t="b">
        <v>1</v>
      </c>
      <c r="W744" s="369" t="b">
        <v>1</v>
      </c>
      <c r="X744" s="369" t="b">
        <v>0</v>
      </c>
    </row>
    <row r="745" ht="24.0" customHeight="1">
      <c r="A745" s="76" t="s">
        <v>1558</v>
      </c>
      <c r="B745" s="383">
        <v>46232.74901620371</v>
      </c>
      <c r="C745" s="384" t="s">
        <v>1559</v>
      </c>
      <c r="D745" s="116" t="s">
        <v>368</v>
      </c>
      <c r="E745" s="116" t="s">
        <v>1560</v>
      </c>
      <c r="F745" s="388"/>
      <c r="G745" s="76" t="s">
        <v>138</v>
      </c>
      <c r="H745" s="385">
        <v>1.0</v>
      </c>
      <c r="I745" s="386">
        <v>100.0</v>
      </c>
      <c r="J745" s="405">
        <v>0.0</v>
      </c>
      <c r="K745" s="54">
        <f t="shared" si="20"/>
        <v>100</v>
      </c>
      <c r="L745" s="387"/>
      <c r="M745" s="138"/>
      <c r="N745" s="46">
        <f t="shared" si="23"/>
        <v>100</v>
      </c>
      <c r="O745" s="369" t="b">
        <v>0</v>
      </c>
      <c r="P745" s="369" t="b">
        <v>0</v>
      </c>
      <c r="Q745" s="387"/>
      <c r="R745" s="388"/>
      <c r="S745" s="65">
        <f t="shared" si="22"/>
        <v>100</v>
      </c>
      <c r="T745" s="369" t="b">
        <v>0</v>
      </c>
      <c r="U745" s="388"/>
      <c r="V745" s="369" t="b">
        <v>1</v>
      </c>
      <c r="W745" s="369" t="b">
        <v>1</v>
      </c>
      <c r="X745" s="369" t="b">
        <v>0</v>
      </c>
    </row>
    <row r="746" ht="24.0" customHeight="1">
      <c r="A746" s="76" t="s">
        <v>1561</v>
      </c>
      <c r="B746" s="383">
        <v>46232.75032407408</v>
      </c>
      <c r="C746" s="384" t="s">
        <v>1562</v>
      </c>
      <c r="D746" s="116" t="s">
        <v>93</v>
      </c>
      <c r="E746" s="116" t="s">
        <v>1525</v>
      </c>
      <c r="F746" s="388"/>
      <c r="G746" s="76" t="s">
        <v>214</v>
      </c>
      <c r="H746" s="385">
        <v>1.0</v>
      </c>
      <c r="I746" s="386">
        <f>IF(G746="", "", IFERROR(VLOOKUP(G746, Products!A:F, 4, FALSE), ""))
</f>
        <v>120</v>
      </c>
      <c r="J746" s="405"/>
      <c r="K746" s="54">
        <f t="shared" si="20"/>
        <v>120</v>
      </c>
      <c r="L746" s="387">
        <v>0.0</v>
      </c>
      <c r="M746" s="138"/>
      <c r="N746" s="46">
        <f t="shared" si="23"/>
        <v>120</v>
      </c>
      <c r="O746" s="369" t="b">
        <v>0</v>
      </c>
      <c r="P746" s="369" t="b">
        <v>0</v>
      </c>
      <c r="Q746" s="387"/>
      <c r="R746" s="388"/>
      <c r="S746" s="65">
        <f t="shared" si="22"/>
        <v>120</v>
      </c>
      <c r="T746" s="369" t="b">
        <v>0</v>
      </c>
      <c r="U746" s="388"/>
      <c r="V746" s="369" t="b">
        <v>1</v>
      </c>
      <c r="W746" s="369" t="b">
        <v>1</v>
      </c>
      <c r="X746" s="369" t="b">
        <v>1</v>
      </c>
    </row>
    <row r="747" ht="24.0" customHeight="1">
      <c r="A747" s="76" t="s">
        <v>1563</v>
      </c>
      <c r="B747" s="383">
        <v>46232.75357638889</v>
      </c>
      <c r="C747" s="384" t="s">
        <v>1564</v>
      </c>
      <c r="D747" s="116" t="s">
        <v>243</v>
      </c>
      <c r="E747" s="116" t="s">
        <v>1565</v>
      </c>
      <c r="F747" s="388"/>
      <c r="G747" s="76" t="s">
        <v>136</v>
      </c>
      <c r="H747" s="385">
        <v>100.0</v>
      </c>
      <c r="I747" s="386">
        <f>IF(G747="", "", IFERROR(VLOOKUP(G747, Products!A:F, 4, FALSE), ""))
</f>
        <v>5</v>
      </c>
      <c r="J747" s="405"/>
      <c r="K747" s="54">
        <f t="shared" si="20"/>
        <v>500</v>
      </c>
      <c r="L747" s="387">
        <v>250.0</v>
      </c>
      <c r="M747" s="138" t="s">
        <v>73</v>
      </c>
      <c r="N747" s="46">
        <f t="shared" si="23"/>
        <v>250</v>
      </c>
      <c r="O747" s="369" t="b">
        <v>0</v>
      </c>
      <c r="P747" s="369" t="b">
        <v>0</v>
      </c>
      <c r="Q747" s="387"/>
      <c r="R747" s="388"/>
      <c r="S747" s="65">
        <f t="shared" si="22"/>
        <v>250</v>
      </c>
      <c r="T747" s="369" t="b">
        <v>0</v>
      </c>
      <c r="U747" s="388"/>
      <c r="V747" s="369" t="b">
        <v>0</v>
      </c>
      <c r="W747" s="369" t="b">
        <v>1</v>
      </c>
      <c r="X747" s="369" t="b">
        <v>0</v>
      </c>
    </row>
    <row r="748" ht="24.0" customHeight="1">
      <c r="A748" s="76" t="s">
        <v>1563</v>
      </c>
      <c r="B748" s="383">
        <v>46232.75357638889</v>
      </c>
      <c r="C748" s="384" t="s">
        <v>1564</v>
      </c>
      <c r="D748" s="116" t="s">
        <v>243</v>
      </c>
      <c r="E748" s="116" t="s">
        <v>1565</v>
      </c>
      <c r="F748" s="388"/>
      <c r="G748" s="76" t="s">
        <v>138</v>
      </c>
      <c r="H748" s="385">
        <v>1.0</v>
      </c>
      <c r="I748" s="386">
        <f>IF(G748="", "", IFERROR(VLOOKUP(G748, Products!A:F, 4, FALSE), ""))
</f>
        <v>100</v>
      </c>
      <c r="J748" s="405"/>
      <c r="K748" s="54">
        <f t="shared" si="20"/>
        <v>100</v>
      </c>
      <c r="L748" s="387"/>
      <c r="M748" s="138"/>
      <c r="N748" s="46">
        <f t="shared" si="23"/>
        <v>100</v>
      </c>
      <c r="O748" s="369" t="b">
        <v>0</v>
      </c>
      <c r="P748" s="369" t="b">
        <v>0</v>
      </c>
      <c r="Q748" s="387"/>
      <c r="R748" s="388"/>
      <c r="S748" s="65">
        <f t="shared" si="22"/>
        <v>100</v>
      </c>
      <c r="T748" s="369" t="b">
        <v>0</v>
      </c>
      <c r="U748" s="388"/>
      <c r="V748" s="369" t="b">
        <v>0</v>
      </c>
      <c r="W748" s="369" t="b">
        <v>1</v>
      </c>
      <c r="X748" s="369" t="b">
        <v>0</v>
      </c>
    </row>
    <row r="749" ht="24.0" customHeight="1">
      <c r="A749" s="76" t="s">
        <v>1566</v>
      </c>
      <c r="B749" s="383">
        <v>46233.95358796296</v>
      </c>
      <c r="C749" s="384" t="s">
        <v>1567</v>
      </c>
      <c r="D749" s="116" t="s">
        <v>78</v>
      </c>
      <c r="E749" s="116" t="s">
        <v>1007</v>
      </c>
      <c r="F749" s="388"/>
      <c r="G749" s="76" t="s">
        <v>573</v>
      </c>
      <c r="H749" s="385">
        <v>1.0</v>
      </c>
      <c r="I749" s="386">
        <v>120.0</v>
      </c>
      <c r="J749" s="405">
        <v>0.0</v>
      </c>
      <c r="K749" s="54">
        <f t="shared" si="20"/>
        <v>120</v>
      </c>
      <c r="L749" s="387">
        <v>120.0</v>
      </c>
      <c r="M749" s="138"/>
      <c r="N749" s="46">
        <v>120.0</v>
      </c>
      <c r="O749" s="369" t="b">
        <v>0</v>
      </c>
      <c r="P749" s="369" t="b">
        <v>0</v>
      </c>
      <c r="Q749" s="387"/>
      <c r="R749" s="388"/>
      <c r="S749" s="65"/>
      <c r="T749" s="369" t="b">
        <v>0</v>
      </c>
      <c r="U749" s="388"/>
      <c r="V749" s="369" t="b">
        <v>0</v>
      </c>
      <c r="W749" s="369" t="b">
        <v>0</v>
      </c>
      <c r="X749" s="369" t="b">
        <v>0</v>
      </c>
    </row>
    <row r="750" ht="24.0" customHeight="1">
      <c r="A750" s="76" t="s">
        <v>1566</v>
      </c>
      <c r="B750" s="383">
        <v>46233.95358796296</v>
      </c>
      <c r="C750" s="384" t="s">
        <v>1567</v>
      </c>
      <c r="D750" s="116" t="s">
        <v>78</v>
      </c>
      <c r="E750" s="116" t="s">
        <v>1007</v>
      </c>
      <c r="F750" s="388"/>
      <c r="G750" s="457" t="s">
        <v>24</v>
      </c>
      <c r="H750" s="385">
        <v>4.0</v>
      </c>
      <c r="I750" s="386">
        <v>30.0</v>
      </c>
      <c r="J750" s="405"/>
      <c r="K750" s="54">
        <f t="shared" si="20"/>
        <v>120</v>
      </c>
      <c r="L750" s="387"/>
      <c r="M750" s="138"/>
      <c r="N750" s="46"/>
      <c r="O750" s="369" t="b">
        <v>0</v>
      </c>
      <c r="P750" s="369" t="b">
        <v>0</v>
      </c>
      <c r="Q750" s="387"/>
      <c r="R750" s="388"/>
      <c r="S750" s="65"/>
      <c r="T750" s="369" t="b">
        <v>0</v>
      </c>
      <c r="U750" s="388"/>
      <c r="V750" s="369" t="b">
        <v>0</v>
      </c>
      <c r="W750" s="369" t="b">
        <v>0</v>
      </c>
      <c r="X750" s="369" t="b">
        <v>0</v>
      </c>
    </row>
  </sheetData>
  <conditionalFormatting sqref="N2:N750">
    <cfRule type="cellIs" dxfId="11" priority="1" stopIfTrue="1" operator="greaterThan">
      <formula>0</formula>
    </cfRule>
  </conditionalFormatting>
  <conditionalFormatting sqref="N2:P750">
    <cfRule type="cellIs" dxfId="12" priority="2" operator="greaterThan">
      <formula>0</formula>
    </cfRule>
  </conditionalFormatting>
  <conditionalFormatting sqref="N2:P750">
    <cfRule type="cellIs" dxfId="13" priority="3" operator="equal">
      <formula>0</formula>
    </cfRule>
  </conditionalFormatting>
  <conditionalFormatting sqref="S1:S750">
    <cfRule type="cellIs" dxfId="13" priority="4" operator="equal">
      <formula>0</formula>
    </cfRule>
  </conditionalFormatting>
  <conditionalFormatting sqref="S1:S750">
    <cfRule type="cellIs" dxfId="12" priority="5" operator="greaterThan">
      <formula>0</formula>
    </cfRule>
  </conditionalFormatting>
  <conditionalFormatting sqref="A1:T750">
    <cfRule type="expression" dxfId="14" priority="6">
      <formula>$T1=true</formula>
    </cfRule>
  </conditionalFormatting>
  <conditionalFormatting sqref="A1:P750">
    <cfRule type="expression" dxfId="15" priority="7">
      <formula>$P1=true</formula>
    </cfRule>
  </conditionalFormatting>
  <conditionalFormatting sqref="A1:O750 P53:P54 P69 P119 P121 P131:P135 P137:P144 P146:P187 P189:P218 P226:P255 P257:P331 P360:P364 P383 P412 P450:P455 P458:P459 P463:P465 P472 P484 P601:P602">
    <cfRule type="expression" dxfId="16" priority="8">
      <formula>$O1=true</formula>
    </cfRule>
  </conditionalFormatting>
  <dataValidations>
    <dataValidation type="list" allowBlank="1" showErrorMessage="1" sqref="F2:F750">
      <formula1>"F,I,T,W"</formula1>
    </dataValidation>
    <dataValidation type="custom" allowBlank="1" showDropDown="1" sqref="B2:B750">
      <formula1>OR(NOT(ISERROR(DATEVALUE(B2))), AND(ISNUMBER(B2), LEFT(CELL("format", B2))="D"))</formula1>
    </dataValidation>
    <dataValidation type="list" allowBlank="1" sqref="A2:A750">
      <formula1>#REF!</formula1>
    </dataValidation>
    <dataValidation type="list" allowBlank="1" sqref="G2:G750">
      <formula1>#REF!</formula1>
    </dataValidation>
    <dataValidation type="list" allowBlank="1" sqref="U2:U750">
      <formula1>"Uber,بريد,بوسطة,اسكوتر,Reject,THOMAS,Last"</formula1>
    </dataValidation>
    <dataValidation allowBlank="1" showDropDown="1" sqref="C2:C750"/>
    <dataValidation type="list" allowBlank="1" showErrorMessage="1" sqref="M2:M750">
      <formula1>"Cash,VF,Instapay"</formula1>
    </dataValidation>
    <dataValidation type="list" allowBlank="1" sqref="R2:R750">
      <formula1>"Cash,VF,Instapay,Visa post ,Postaa,Last"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1</v>
      </c>
      <c r="B2" s="6" t="s">
        <v>2</v>
      </c>
      <c r="C2" s="7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8">
        <v>200.0</v>
      </c>
      <c r="B3" s="9" t="s">
        <v>4</v>
      </c>
      <c r="C3" s="10">
        <v>46147.0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1">
        <v>1750.0</v>
      </c>
      <c r="B4" s="12" t="s">
        <v>6</v>
      </c>
      <c r="C4" s="13">
        <v>46149.0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1">
        <v>45.0</v>
      </c>
      <c r="B5" s="12" t="s">
        <v>9</v>
      </c>
      <c r="C5" s="1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1">
        <v>200.0</v>
      </c>
      <c r="B6" s="12" t="s">
        <v>13</v>
      </c>
      <c r="C6" s="1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11">
        <v>50.0</v>
      </c>
      <c r="B7" s="12" t="s">
        <v>17</v>
      </c>
      <c r="C7" s="1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11">
        <v>100.0</v>
      </c>
      <c r="B8" s="12" t="s">
        <v>22</v>
      </c>
      <c r="C8" s="1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11">
        <v>70.0</v>
      </c>
      <c r="B9" s="12" t="s">
        <v>29</v>
      </c>
      <c r="C9" s="1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11">
        <v>160.0</v>
      </c>
      <c r="B10" s="12" t="s">
        <v>33</v>
      </c>
      <c r="C10" s="1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11">
        <v>200.0</v>
      </c>
      <c r="B11" s="12" t="s">
        <v>37</v>
      </c>
      <c r="C11" s="1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>
        <v>120.0</v>
      </c>
      <c r="B12" s="12" t="s">
        <v>41</v>
      </c>
      <c r="C12" s="13">
        <v>46183.0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11">
        <v>150.0</v>
      </c>
      <c r="B13" s="12" t="s">
        <v>41</v>
      </c>
      <c r="C13" s="13">
        <v>46187.0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11">
        <v>80.0</v>
      </c>
      <c r="B14" s="12" t="s">
        <v>41</v>
      </c>
      <c r="C14" s="13">
        <v>46188.0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11">
        <v>145.0</v>
      </c>
      <c r="B15" s="12" t="s">
        <v>51</v>
      </c>
      <c r="C15" s="31" t="s">
        <v>52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11">
        <v>70.0</v>
      </c>
      <c r="B16" s="35" t="s">
        <v>54</v>
      </c>
      <c r="C16" s="1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39">
        <v>800.0</v>
      </c>
      <c r="B17" s="40" t="s">
        <v>58</v>
      </c>
      <c r="C17" s="4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11">
        <v>0.0</v>
      </c>
      <c r="B18" s="35" t="s">
        <v>64</v>
      </c>
      <c r="C18" s="3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1">
        <v>175.0</v>
      </c>
      <c r="B19" s="12" t="s">
        <v>51</v>
      </c>
      <c r="C19" s="31" t="s">
        <v>52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11">
        <v>100.0</v>
      </c>
      <c r="B20" s="12" t="s">
        <v>13</v>
      </c>
      <c r="C20" s="31" t="s">
        <v>52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>
      <c r="A21" s="11">
        <v>15.0</v>
      </c>
      <c r="B21" s="12" t="s">
        <v>66</v>
      </c>
      <c r="C21" s="31" t="s">
        <v>67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>
      <c r="A22" s="11">
        <v>55.0</v>
      </c>
      <c r="B22" s="12" t="s">
        <v>69</v>
      </c>
      <c r="C22" s="31" t="s">
        <v>67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>
      <c r="A23" s="11">
        <v>150.0</v>
      </c>
      <c r="B23" s="12" t="s">
        <v>71</v>
      </c>
      <c r="C23" s="31" t="s">
        <v>67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>
      <c r="A24" s="11">
        <v>40.0</v>
      </c>
      <c r="B24" s="12" t="s">
        <v>13</v>
      </c>
      <c r="C24" s="31" t="s">
        <v>74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>
      <c r="A25" s="11">
        <v>40.0</v>
      </c>
      <c r="B25" s="12" t="s">
        <v>13</v>
      </c>
      <c r="C25" s="31" t="s">
        <v>75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>
      <c r="A26" s="11">
        <v>200.0</v>
      </c>
      <c r="B26" s="12" t="s">
        <v>77</v>
      </c>
      <c r="C26" s="31" t="s">
        <v>52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>
      <c r="A27" s="11">
        <v>336.0</v>
      </c>
      <c r="B27" s="12" t="s">
        <v>80</v>
      </c>
      <c r="C27" s="31" t="s">
        <v>81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>
      <c r="A28" s="11">
        <v>650.0</v>
      </c>
      <c r="B28" s="12" t="s">
        <v>83</v>
      </c>
      <c r="C28" s="31" t="s">
        <v>84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>
      <c r="A29" s="11">
        <v>200.0</v>
      </c>
      <c r="B29" s="12" t="s">
        <v>86</v>
      </c>
      <c r="C29" s="31" t="s">
        <v>87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11">
        <v>110.0</v>
      </c>
      <c r="B30" s="12" t="s">
        <v>88</v>
      </c>
      <c r="C30" s="67">
        <f t="shared" ref="C30:C55" si="1">IF(A30&lt;&gt;"", IF(C30="", TODAY(), C30), "")</f>
        <v>46204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11">
        <v>240.0</v>
      </c>
      <c r="B31" s="12" t="s">
        <v>89</v>
      </c>
      <c r="C31" s="67">
        <f t="shared" si="1"/>
        <v>46211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11">
        <v>1200.0</v>
      </c>
      <c r="B32" s="12" t="s">
        <v>92</v>
      </c>
      <c r="C32" s="67">
        <f t="shared" si="1"/>
        <v>46215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11">
        <v>85.0</v>
      </c>
      <c r="B33" s="12" t="s">
        <v>95</v>
      </c>
      <c r="C33" s="67">
        <f t="shared" si="1"/>
        <v>46215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11">
        <v>160.0</v>
      </c>
      <c r="B34" s="12" t="s">
        <v>96</v>
      </c>
      <c r="C34" s="67">
        <f t="shared" si="1"/>
        <v>46215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11">
        <v>320.0</v>
      </c>
      <c r="B35" s="12" t="s">
        <v>71</v>
      </c>
      <c r="C35" s="67">
        <f t="shared" si="1"/>
        <v>46216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11">
        <v>1500.0</v>
      </c>
      <c r="B36" s="12" t="s">
        <v>100</v>
      </c>
      <c r="C36" s="67">
        <f t="shared" si="1"/>
        <v>46226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11">
        <v>1000.0</v>
      </c>
      <c r="B37" s="12" t="s">
        <v>103</v>
      </c>
      <c r="C37" s="67">
        <f t="shared" si="1"/>
        <v>46226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11">
        <v>700.0</v>
      </c>
      <c r="B38" s="12" t="s">
        <v>105</v>
      </c>
      <c r="C38" s="67">
        <f t="shared" si="1"/>
        <v>46231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11">
        <v>115.0</v>
      </c>
      <c r="B39" s="12" t="s">
        <v>108</v>
      </c>
      <c r="C39" s="67">
        <f t="shared" si="1"/>
        <v>46231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11">
        <v>100.0</v>
      </c>
      <c r="B40" s="12" t="s">
        <v>112</v>
      </c>
      <c r="C40" s="67">
        <f t="shared" si="1"/>
        <v>46231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68">
        <v>1917.0</v>
      </c>
      <c r="B41" s="69" t="s">
        <v>114</v>
      </c>
      <c r="C41" s="70">
        <f t="shared" si="1"/>
        <v>46232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72"/>
      <c r="B42" s="73"/>
      <c r="C42" s="70" t="str">
        <f t="shared" si="1"/>
        <v/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72"/>
      <c r="B43" s="73"/>
      <c r="C43" s="70" t="str">
        <f t="shared" si="1"/>
        <v/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72"/>
      <c r="B44" s="73"/>
      <c r="C44" s="70" t="str">
        <f t="shared" si="1"/>
        <v/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72"/>
      <c r="B45" s="73"/>
      <c r="C45" s="70" t="str">
        <f t="shared" si="1"/>
        <v/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72"/>
      <c r="B46" s="73"/>
      <c r="C46" s="70" t="str">
        <f t="shared" si="1"/>
        <v/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72"/>
      <c r="B47" s="73"/>
      <c r="C47" s="70" t="str">
        <f t="shared" si="1"/>
        <v/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72"/>
      <c r="B48" s="73"/>
      <c r="C48" s="70" t="str">
        <f t="shared" si="1"/>
        <v/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72"/>
      <c r="B49" s="73"/>
      <c r="C49" s="70" t="str">
        <f t="shared" si="1"/>
        <v/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72"/>
      <c r="B50" s="73"/>
      <c r="C50" s="70" t="str">
        <f t="shared" si="1"/>
        <v/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72"/>
      <c r="B51" s="73"/>
      <c r="C51" s="70" t="str">
        <f t="shared" si="1"/>
        <v/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72"/>
      <c r="B52" s="73"/>
      <c r="C52" s="70" t="str">
        <f t="shared" si="1"/>
        <v/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72"/>
      <c r="B53" s="73"/>
      <c r="C53" s="70" t="str">
        <f t="shared" si="1"/>
        <v/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72"/>
      <c r="B54" s="73"/>
      <c r="C54" s="70" t="str">
        <f t="shared" si="1"/>
        <v/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77"/>
      <c r="B55" s="79"/>
      <c r="C55" s="81" t="str">
        <f t="shared" si="1"/>
        <v/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>
        <f>SUM(A3:A55)</f>
        <v>13548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75"/>
    <col customWidth="1" min="2" max="2" width="13.5"/>
    <col customWidth="1" min="3" max="3" width="13.38"/>
    <col customWidth="1" min="5" max="5" width="53.13"/>
  </cols>
  <sheetData>
    <row r="1" ht="22.5" customHeight="1">
      <c r="A1" s="33" t="s">
        <v>50</v>
      </c>
      <c r="B1" s="33" t="s">
        <v>55</v>
      </c>
      <c r="C1" s="38" t="s">
        <v>56</v>
      </c>
      <c r="D1" s="38" t="s">
        <v>23</v>
      </c>
      <c r="E1" s="38" t="s">
        <v>60</v>
      </c>
      <c r="F1" s="38" t="s">
        <v>62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47" t="s">
        <v>65</v>
      </c>
      <c r="B2" s="48">
        <v>0.0</v>
      </c>
      <c r="C2" s="50" t="s">
        <v>68</v>
      </c>
      <c r="D2" s="38"/>
      <c r="E2" s="38" t="s">
        <v>70</v>
      </c>
      <c r="F2" s="5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47" t="s">
        <v>76</v>
      </c>
      <c r="B3" s="48" t="s">
        <v>68</v>
      </c>
      <c r="C3" s="61" t="s">
        <v>78</v>
      </c>
      <c r="D3" s="38" t="s">
        <v>79</v>
      </c>
      <c r="E3" s="38" t="s">
        <v>82</v>
      </c>
      <c r="F3" s="5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47" t="s">
        <v>49</v>
      </c>
      <c r="B4" s="48" t="s">
        <v>68</v>
      </c>
      <c r="C4" s="61" t="s">
        <v>53</v>
      </c>
      <c r="D4" s="38" t="s">
        <v>57</v>
      </c>
      <c r="E4" s="52"/>
      <c r="F4" s="5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47" t="s">
        <v>91</v>
      </c>
      <c r="B5" s="48" t="s">
        <v>68</v>
      </c>
      <c r="C5" s="61" t="s">
        <v>93</v>
      </c>
      <c r="D5" s="38" t="s">
        <v>94</v>
      </c>
      <c r="E5" s="52"/>
      <c r="F5" s="5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47" t="s">
        <v>98</v>
      </c>
      <c r="B6" s="48" t="s">
        <v>68</v>
      </c>
      <c r="C6" s="61" t="s">
        <v>93</v>
      </c>
      <c r="D6" s="38" t="s">
        <v>99</v>
      </c>
      <c r="E6" s="52"/>
      <c r="F6" s="5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47" t="s">
        <v>107</v>
      </c>
      <c r="B7" s="48" t="s">
        <v>68</v>
      </c>
      <c r="C7" s="61" t="s">
        <v>109</v>
      </c>
      <c r="D7" s="38" t="s">
        <v>111</v>
      </c>
      <c r="E7" s="52"/>
      <c r="F7" s="5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customHeight="1">
      <c r="A8" s="47" t="s">
        <v>97</v>
      </c>
      <c r="B8" s="48" t="s">
        <v>68</v>
      </c>
      <c r="C8" s="61" t="s">
        <v>93</v>
      </c>
      <c r="D8" s="38" t="s">
        <v>102</v>
      </c>
      <c r="E8" s="52"/>
      <c r="F8" s="5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customHeight="1">
      <c r="A9" s="47" t="s">
        <v>119</v>
      </c>
      <c r="B9" s="48" t="s">
        <v>68</v>
      </c>
      <c r="C9" s="61" t="s">
        <v>120</v>
      </c>
      <c r="D9" s="52"/>
      <c r="E9" s="52"/>
      <c r="F9" s="5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customHeight="1">
      <c r="A10" s="47" t="s">
        <v>123</v>
      </c>
      <c r="B10" s="48" t="s">
        <v>68</v>
      </c>
      <c r="C10" s="61" t="s">
        <v>78</v>
      </c>
      <c r="D10" s="38" t="s">
        <v>126</v>
      </c>
      <c r="E10" s="52"/>
      <c r="F10" s="5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47" t="s">
        <v>127</v>
      </c>
      <c r="B11" s="48" t="s">
        <v>68</v>
      </c>
      <c r="C11" s="61" t="s">
        <v>120</v>
      </c>
      <c r="D11" s="52"/>
      <c r="E11" s="52"/>
      <c r="F11" s="5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47" t="s">
        <v>129</v>
      </c>
      <c r="B12" s="48" t="s">
        <v>68</v>
      </c>
      <c r="C12" s="61" t="s">
        <v>93</v>
      </c>
      <c r="D12" s="38" t="s">
        <v>131</v>
      </c>
      <c r="E12" s="52"/>
      <c r="F12" s="5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47" t="s">
        <v>132</v>
      </c>
      <c r="B13" s="48" t="s">
        <v>68</v>
      </c>
      <c r="C13" s="61" t="s">
        <v>134</v>
      </c>
      <c r="D13" s="52"/>
      <c r="E13" s="52"/>
      <c r="F13" s="5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47" t="s">
        <v>135</v>
      </c>
      <c r="B14" s="48" t="s">
        <v>68</v>
      </c>
      <c r="C14" s="61" t="s">
        <v>93</v>
      </c>
      <c r="D14" s="85" t="s">
        <v>137</v>
      </c>
      <c r="E14" s="52"/>
      <c r="F14" s="5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47" t="s">
        <v>139</v>
      </c>
      <c r="B15" s="48" t="s">
        <v>68</v>
      </c>
      <c r="C15" s="61" t="s">
        <v>140</v>
      </c>
      <c r="D15" s="52"/>
      <c r="E15" s="52"/>
      <c r="F15" s="5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47" t="s">
        <v>142</v>
      </c>
      <c r="B16" s="48" t="s">
        <v>68</v>
      </c>
      <c r="C16" s="61" t="s">
        <v>93</v>
      </c>
      <c r="D16" s="38" t="s">
        <v>144</v>
      </c>
      <c r="E16" s="52"/>
      <c r="F16" s="5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47" t="s">
        <v>147</v>
      </c>
      <c r="B17" s="48" t="s">
        <v>68</v>
      </c>
      <c r="C17" s="61" t="s">
        <v>93</v>
      </c>
      <c r="D17" s="38" t="s">
        <v>148</v>
      </c>
      <c r="E17" s="52"/>
      <c r="F17" s="5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47" t="s">
        <v>149</v>
      </c>
      <c r="B18" s="48" t="s">
        <v>68</v>
      </c>
      <c r="C18" s="61" t="s">
        <v>78</v>
      </c>
      <c r="D18" s="52"/>
      <c r="E18" s="38" t="s">
        <v>150</v>
      </c>
      <c r="F18" s="5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47" t="s">
        <v>152</v>
      </c>
      <c r="B19" s="48" t="s">
        <v>68</v>
      </c>
      <c r="C19" s="61" t="s">
        <v>93</v>
      </c>
      <c r="D19" s="38" t="s">
        <v>154</v>
      </c>
      <c r="E19" s="52"/>
      <c r="F19" s="5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47" t="s">
        <v>155</v>
      </c>
      <c r="B20" s="48" t="s">
        <v>68</v>
      </c>
      <c r="C20" s="61" t="s">
        <v>93</v>
      </c>
      <c r="D20" s="38" t="s">
        <v>156</v>
      </c>
      <c r="E20" s="52"/>
      <c r="F20" s="5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47" t="s">
        <v>157</v>
      </c>
      <c r="B21" s="48" t="s">
        <v>68</v>
      </c>
      <c r="C21" s="61" t="s">
        <v>78</v>
      </c>
      <c r="D21" s="52"/>
      <c r="E21" s="38" t="s">
        <v>159</v>
      </c>
      <c r="F21" s="5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47" t="s">
        <v>160</v>
      </c>
      <c r="B22" s="48" t="s">
        <v>68</v>
      </c>
      <c r="C22" s="61" t="s">
        <v>93</v>
      </c>
      <c r="D22" s="38" t="s">
        <v>162</v>
      </c>
      <c r="E22" s="52"/>
      <c r="F22" s="5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47" t="s">
        <v>163</v>
      </c>
      <c r="B23" s="48" t="s">
        <v>68</v>
      </c>
      <c r="C23" s="61" t="s">
        <v>164</v>
      </c>
      <c r="D23" s="52"/>
      <c r="E23" s="52"/>
      <c r="F23" s="5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47" t="s">
        <v>166</v>
      </c>
      <c r="B24" s="48" t="s">
        <v>68</v>
      </c>
      <c r="C24" s="61" t="s">
        <v>120</v>
      </c>
      <c r="D24" s="52"/>
      <c r="E24" s="52"/>
      <c r="F24" s="5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7" t="s">
        <v>169</v>
      </c>
      <c r="B25" s="48" t="s">
        <v>68</v>
      </c>
      <c r="C25" s="61" t="s">
        <v>78</v>
      </c>
      <c r="D25" s="52"/>
      <c r="E25" s="38"/>
      <c r="F25" s="5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47" t="s">
        <v>171</v>
      </c>
      <c r="B26" s="48" t="s">
        <v>68</v>
      </c>
      <c r="C26" s="61" t="s">
        <v>78</v>
      </c>
      <c r="D26" s="38" t="s">
        <v>172</v>
      </c>
      <c r="E26" s="52"/>
      <c r="F26" s="5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47" t="s">
        <v>175</v>
      </c>
      <c r="B27" s="48" t="s">
        <v>68</v>
      </c>
      <c r="C27" s="61" t="s">
        <v>93</v>
      </c>
      <c r="D27" s="38" t="s">
        <v>176</v>
      </c>
      <c r="E27" s="52"/>
      <c r="F27" s="5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47" t="s">
        <v>178</v>
      </c>
      <c r="B28" s="48" t="s">
        <v>68</v>
      </c>
      <c r="C28" s="61" t="s">
        <v>93</v>
      </c>
      <c r="D28" s="38" t="s">
        <v>148</v>
      </c>
      <c r="E28" s="52"/>
      <c r="F28" s="5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47" t="s">
        <v>180</v>
      </c>
      <c r="B29" s="48" t="s">
        <v>68</v>
      </c>
      <c r="C29" s="61" t="s">
        <v>93</v>
      </c>
      <c r="D29" s="38" t="s">
        <v>156</v>
      </c>
      <c r="E29" s="52"/>
      <c r="F29" s="5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47" t="s">
        <v>181</v>
      </c>
      <c r="B30" s="48" t="s">
        <v>68</v>
      </c>
      <c r="C30" s="61" t="s">
        <v>93</v>
      </c>
      <c r="D30" s="38" t="s">
        <v>176</v>
      </c>
      <c r="E30" s="52"/>
      <c r="F30" s="5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7" t="s">
        <v>182</v>
      </c>
      <c r="B31" s="48" t="s">
        <v>68</v>
      </c>
      <c r="C31" s="61" t="s">
        <v>183</v>
      </c>
      <c r="D31" s="52"/>
      <c r="E31" s="38"/>
      <c r="F31" s="5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47" t="s">
        <v>184</v>
      </c>
      <c r="B32" s="48" t="s">
        <v>68</v>
      </c>
      <c r="C32" s="61" t="s">
        <v>93</v>
      </c>
      <c r="D32" s="38" t="s">
        <v>156</v>
      </c>
      <c r="E32" s="52"/>
      <c r="F32" s="5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47" t="s">
        <v>186</v>
      </c>
      <c r="B33" s="48" t="s">
        <v>68</v>
      </c>
      <c r="C33" s="61" t="s">
        <v>183</v>
      </c>
      <c r="D33" s="52"/>
      <c r="E33" s="38" t="s">
        <v>188</v>
      </c>
      <c r="F33" s="5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47" t="s">
        <v>189</v>
      </c>
      <c r="B34" s="48" t="s">
        <v>68</v>
      </c>
      <c r="C34" s="61" t="s">
        <v>120</v>
      </c>
      <c r="D34" s="52"/>
      <c r="E34" s="52"/>
      <c r="F34" s="5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47" t="s">
        <v>191</v>
      </c>
      <c r="B35" s="48" t="s">
        <v>68</v>
      </c>
      <c r="C35" s="61" t="s">
        <v>164</v>
      </c>
      <c r="D35" s="52"/>
      <c r="E35" s="52"/>
      <c r="F35" s="5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47" t="s">
        <v>193</v>
      </c>
      <c r="B36" s="48" t="s">
        <v>68</v>
      </c>
      <c r="C36" s="61" t="s">
        <v>53</v>
      </c>
      <c r="D36" s="38" t="s">
        <v>57</v>
      </c>
      <c r="E36" s="52"/>
      <c r="F36" s="5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47" t="s">
        <v>196</v>
      </c>
      <c r="B37" s="48" t="s">
        <v>68</v>
      </c>
      <c r="C37" s="61" t="s">
        <v>197</v>
      </c>
      <c r="D37" s="52"/>
      <c r="E37" s="38"/>
      <c r="F37" s="5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47" t="s">
        <v>199</v>
      </c>
      <c r="B38" s="48" t="s">
        <v>68</v>
      </c>
      <c r="C38" s="61" t="s">
        <v>197</v>
      </c>
      <c r="D38" s="52"/>
      <c r="E38" s="38"/>
      <c r="F38" s="5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7" t="s">
        <v>200</v>
      </c>
      <c r="B39" s="48" t="s">
        <v>68</v>
      </c>
      <c r="C39" s="61" t="s">
        <v>202</v>
      </c>
      <c r="D39" s="52"/>
      <c r="E39" s="38"/>
      <c r="F39" s="5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47" t="s">
        <v>203</v>
      </c>
      <c r="B40" s="48" t="s">
        <v>68</v>
      </c>
      <c r="C40" s="61" t="s">
        <v>204</v>
      </c>
      <c r="D40" s="52"/>
      <c r="E40" s="52"/>
      <c r="F40" s="5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47" t="s">
        <v>206</v>
      </c>
      <c r="B41" s="48" t="s">
        <v>68</v>
      </c>
      <c r="C41" s="61" t="s">
        <v>93</v>
      </c>
      <c r="D41" s="38" t="s">
        <v>156</v>
      </c>
      <c r="E41" s="52"/>
      <c r="F41" s="5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47" t="s">
        <v>208</v>
      </c>
      <c r="B42" s="48" t="s">
        <v>68</v>
      </c>
      <c r="C42" s="61" t="s">
        <v>93</v>
      </c>
      <c r="D42" s="38" t="s">
        <v>209</v>
      </c>
      <c r="E42" s="52"/>
      <c r="F42" s="5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47" t="s">
        <v>211</v>
      </c>
      <c r="B43" s="48" t="s">
        <v>68</v>
      </c>
      <c r="C43" s="61" t="s">
        <v>183</v>
      </c>
      <c r="D43" s="52"/>
      <c r="E43" s="38"/>
      <c r="F43" s="5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47" t="s">
        <v>215</v>
      </c>
      <c r="B44" s="48" t="s">
        <v>68</v>
      </c>
      <c r="C44" s="61" t="s">
        <v>93</v>
      </c>
      <c r="D44" s="38" t="s">
        <v>156</v>
      </c>
      <c r="E44" s="52"/>
      <c r="F44" s="5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47" t="s">
        <v>216</v>
      </c>
      <c r="B45" s="48" t="s">
        <v>68</v>
      </c>
      <c r="C45" s="61" t="s">
        <v>53</v>
      </c>
      <c r="D45" s="38" t="s">
        <v>218</v>
      </c>
      <c r="E45" s="52"/>
      <c r="F45" s="5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47" t="s">
        <v>219</v>
      </c>
      <c r="B46" s="48" t="s">
        <v>68</v>
      </c>
      <c r="C46" s="61" t="s">
        <v>53</v>
      </c>
      <c r="D46" s="38" t="s">
        <v>220</v>
      </c>
      <c r="E46" s="52"/>
      <c r="F46" s="5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47" t="s">
        <v>223</v>
      </c>
      <c r="B47" s="48" t="s">
        <v>68</v>
      </c>
      <c r="C47" s="61" t="s">
        <v>93</v>
      </c>
      <c r="D47" s="38" t="s">
        <v>156</v>
      </c>
      <c r="E47" s="52"/>
      <c r="F47" s="5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47" t="s">
        <v>225</v>
      </c>
      <c r="B48" s="48" t="s">
        <v>68</v>
      </c>
      <c r="C48" s="61" t="s">
        <v>120</v>
      </c>
      <c r="D48" s="52"/>
      <c r="E48" s="52"/>
      <c r="F48" s="5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47" t="s">
        <v>227</v>
      </c>
      <c r="B49" s="48" t="s">
        <v>68</v>
      </c>
      <c r="C49" s="61" t="s">
        <v>228</v>
      </c>
      <c r="D49" s="52"/>
      <c r="E49" s="52"/>
      <c r="F49" s="5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38" t="s">
        <v>229</v>
      </c>
      <c r="B50" s="111" t="s">
        <v>68</v>
      </c>
      <c r="C50" s="112" t="s">
        <v>68</v>
      </c>
      <c r="D50" s="52"/>
      <c r="E50" s="52"/>
      <c r="F50" s="38" t="s">
        <v>231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47" t="s">
        <v>234</v>
      </c>
      <c r="B51" s="48" t="s">
        <v>68</v>
      </c>
      <c r="C51" s="61" t="s">
        <v>93</v>
      </c>
      <c r="D51" s="52"/>
      <c r="E51" s="38" t="s">
        <v>235</v>
      </c>
      <c r="F51" s="5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47" t="s">
        <v>236</v>
      </c>
      <c r="B52" s="48" t="s">
        <v>68</v>
      </c>
      <c r="C52" s="61" t="s">
        <v>120</v>
      </c>
      <c r="D52" s="52"/>
      <c r="E52" s="52"/>
      <c r="F52" s="5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47" t="s">
        <v>238</v>
      </c>
      <c r="B53" s="48" t="s">
        <v>68</v>
      </c>
      <c r="C53" s="61" t="s">
        <v>93</v>
      </c>
      <c r="D53" s="38" t="s">
        <v>239</v>
      </c>
      <c r="E53" s="52"/>
      <c r="F53" s="5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47" t="s">
        <v>242</v>
      </c>
      <c r="B54" s="48" t="s">
        <v>68</v>
      </c>
      <c r="C54" s="61" t="s">
        <v>243</v>
      </c>
      <c r="D54" s="52"/>
      <c r="E54" s="52"/>
      <c r="F54" s="5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47" t="s">
        <v>245</v>
      </c>
      <c r="B55" s="48" t="s">
        <v>68</v>
      </c>
      <c r="C55" s="61" t="s">
        <v>183</v>
      </c>
      <c r="D55" s="52"/>
      <c r="E55" s="38"/>
      <c r="F55" s="5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47" t="s">
        <v>247</v>
      </c>
      <c r="B56" s="48" t="s">
        <v>68</v>
      </c>
      <c r="C56" s="61" t="s">
        <v>120</v>
      </c>
      <c r="D56" s="52"/>
      <c r="E56" s="52"/>
      <c r="F56" s="5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47" t="s">
        <v>249</v>
      </c>
      <c r="B57" s="48" t="s">
        <v>68</v>
      </c>
      <c r="C57" s="61" t="s">
        <v>93</v>
      </c>
      <c r="D57" s="38" t="s">
        <v>250</v>
      </c>
      <c r="E57" s="52"/>
      <c r="F57" s="5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47" t="s">
        <v>252</v>
      </c>
      <c r="B58" s="48" t="s">
        <v>68</v>
      </c>
      <c r="C58" s="61" t="s">
        <v>243</v>
      </c>
      <c r="D58" s="52"/>
      <c r="E58" s="52"/>
      <c r="F58" s="5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2.5" customHeight="1">
      <c r="A59" s="47" t="s">
        <v>254</v>
      </c>
      <c r="B59" s="48" t="s">
        <v>68</v>
      </c>
      <c r="C59" s="61" t="s">
        <v>78</v>
      </c>
      <c r="D59" s="52"/>
      <c r="E59" s="52"/>
      <c r="F59" s="5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2.5" customHeight="1">
      <c r="A60" s="47" t="s">
        <v>255</v>
      </c>
      <c r="B60" s="48" t="s">
        <v>68</v>
      </c>
      <c r="C60" s="61" t="s">
        <v>93</v>
      </c>
      <c r="D60" s="38" t="s">
        <v>154</v>
      </c>
      <c r="E60" s="52"/>
      <c r="F60" s="5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2.5" customHeight="1">
      <c r="A61" s="47" t="s">
        <v>257</v>
      </c>
      <c r="B61" s="48" t="s">
        <v>68</v>
      </c>
      <c r="C61" s="61" t="s">
        <v>93</v>
      </c>
      <c r="D61" s="38" t="s">
        <v>148</v>
      </c>
      <c r="E61" s="38" t="s">
        <v>258</v>
      </c>
      <c r="F61" s="5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2.5" customHeight="1">
      <c r="A62" s="47" t="s">
        <v>259</v>
      </c>
      <c r="B62" s="48" t="s">
        <v>68</v>
      </c>
      <c r="C62" s="61" t="s">
        <v>93</v>
      </c>
      <c r="D62" s="52"/>
      <c r="E62" s="38" t="s">
        <v>261</v>
      </c>
      <c r="F62" s="5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2.5" customHeight="1">
      <c r="A63" s="47" t="s">
        <v>262</v>
      </c>
      <c r="B63" s="48" t="s">
        <v>68</v>
      </c>
      <c r="C63" s="61" t="s">
        <v>78</v>
      </c>
      <c r="D63" s="52"/>
      <c r="E63" s="38" t="s">
        <v>263</v>
      </c>
      <c r="F63" s="5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2.5" customHeight="1">
      <c r="A64" s="47" t="s">
        <v>264</v>
      </c>
      <c r="B64" s="48" t="s">
        <v>68</v>
      </c>
      <c r="C64" s="61" t="s">
        <v>183</v>
      </c>
      <c r="D64" s="52"/>
      <c r="E64" s="38"/>
      <c r="F64" s="5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2.5" customHeight="1">
      <c r="A65" s="47" t="s">
        <v>265</v>
      </c>
      <c r="B65" s="48" t="s">
        <v>68</v>
      </c>
      <c r="C65" s="61" t="s">
        <v>243</v>
      </c>
      <c r="D65" s="52"/>
      <c r="E65" s="52"/>
      <c r="F65" s="5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2.5" customHeight="1">
      <c r="A66" s="47" t="s">
        <v>266</v>
      </c>
      <c r="B66" s="48" t="s">
        <v>68</v>
      </c>
      <c r="C66" s="61" t="s">
        <v>267</v>
      </c>
      <c r="D66" s="52"/>
      <c r="E66" s="52"/>
      <c r="F66" s="5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2.5" customHeight="1">
      <c r="A67" s="47" t="s">
        <v>268</v>
      </c>
      <c r="B67" s="48" t="s">
        <v>68</v>
      </c>
      <c r="C67" s="61" t="s">
        <v>93</v>
      </c>
      <c r="D67" s="38" t="s">
        <v>156</v>
      </c>
      <c r="E67" s="52"/>
      <c r="F67" s="5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2.5" customHeight="1">
      <c r="A68" s="47" t="s">
        <v>269</v>
      </c>
      <c r="B68" s="48" t="s">
        <v>68</v>
      </c>
      <c r="C68" s="61" t="s">
        <v>93</v>
      </c>
      <c r="D68" s="38" t="s">
        <v>156</v>
      </c>
      <c r="E68" s="52"/>
      <c r="F68" s="5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2.5" customHeight="1">
      <c r="A69" s="47" t="s">
        <v>270</v>
      </c>
      <c r="B69" s="48" t="s">
        <v>68</v>
      </c>
      <c r="C69" s="61" t="s">
        <v>93</v>
      </c>
      <c r="D69" s="52"/>
      <c r="E69" s="38" t="s">
        <v>261</v>
      </c>
      <c r="F69" s="5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2.5" customHeight="1">
      <c r="A70" s="47" t="s">
        <v>273</v>
      </c>
      <c r="B70" s="48" t="s">
        <v>68</v>
      </c>
      <c r="C70" s="61" t="s">
        <v>93</v>
      </c>
      <c r="D70" s="38" t="s">
        <v>274</v>
      </c>
      <c r="E70" s="52"/>
      <c r="F70" s="5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2.5" customHeight="1">
      <c r="A71" s="47" t="s">
        <v>276</v>
      </c>
      <c r="B71" s="48" t="s">
        <v>68</v>
      </c>
      <c r="C71" s="61" t="s">
        <v>53</v>
      </c>
      <c r="D71" s="38" t="s">
        <v>218</v>
      </c>
      <c r="E71" s="52"/>
      <c r="F71" s="5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2.5" customHeight="1">
      <c r="A72" s="47" t="s">
        <v>280</v>
      </c>
      <c r="B72" s="48" t="s">
        <v>68</v>
      </c>
      <c r="C72" s="61" t="s">
        <v>93</v>
      </c>
      <c r="D72" s="38" t="s">
        <v>281</v>
      </c>
      <c r="E72" s="52"/>
      <c r="F72" s="5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2.5" customHeight="1">
      <c r="A73" s="47" t="s">
        <v>282</v>
      </c>
      <c r="B73" s="48" t="s">
        <v>68</v>
      </c>
      <c r="C73" s="61" t="s">
        <v>53</v>
      </c>
      <c r="D73" s="38" t="s">
        <v>57</v>
      </c>
      <c r="E73" s="52"/>
      <c r="F73" s="5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2.5" customHeight="1">
      <c r="A74" s="47" t="s">
        <v>283</v>
      </c>
      <c r="B74" s="48" t="s">
        <v>68</v>
      </c>
      <c r="C74" s="61" t="s">
        <v>93</v>
      </c>
      <c r="D74" s="38" t="s">
        <v>99</v>
      </c>
      <c r="E74" s="52"/>
      <c r="F74" s="52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2.5" customHeight="1">
      <c r="A75" s="47" t="s">
        <v>284</v>
      </c>
      <c r="B75" s="48" t="s">
        <v>68</v>
      </c>
      <c r="C75" s="61" t="s">
        <v>78</v>
      </c>
      <c r="D75" s="38" t="s">
        <v>79</v>
      </c>
      <c r="E75" s="52"/>
      <c r="F75" s="5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2.5" customHeight="1">
      <c r="A76" s="47" t="s">
        <v>285</v>
      </c>
      <c r="B76" s="48" t="s">
        <v>68</v>
      </c>
      <c r="C76" s="61" t="s">
        <v>93</v>
      </c>
      <c r="D76" s="38" t="s">
        <v>250</v>
      </c>
      <c r="E76" s="52"/>
      <c r="F76" s="52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2.5" customHeight="1">
      <c r="A77" s="47" t="s">
        <v>286</v>
      </c>
      <c r="B77" s="48" t="s">
        <v>68</v>
      </c>
      <c r="C77" s="61" t="s">
        <v>287</v>
      </c>
      <c r="D77" s="52"/>
      <c r="E77" s="38"/>
      <c r="F77" s="52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2.5" customHeight="1">
      <c r="A78" s="47" t="s">
        <v>288</v>
      </c>
      <c r="B78" s="48" t="s">
        <v>68</v>
      </c>
      <c r="C78" s="61" t="s">
        <v>93</v>
      </c>
      <c r="D78" s="38" t="s">
        <v>156</v>
      </c>
      <c r="E78" s="52"/>
      <c r="F78" s="52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2.5" customHeight="1">
      <c r="A79" s="47" t="s">
        <v>290</v>
      </c>
      <c r="B79" s="48" t="s">
        <v>68</v>
      </c>
      <c r="C79" s="61" t="s">
        <v>93</v>
      </c>
      <c r="D79" s="38" t="s">
        <v>156</v>
      </c>
      <c r="E79" s="52"/>
      <c r="F79" s="5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2.5" customHeight="1">
      <c r="A80" s="47" t="s">
        <v>291</v>
      </c>
      <c r="B80" s="48" t="s">
        <v>68</v>
      </c>
      <c r="C80" s="61" t="s">
        <v>93</v>
      </c>
      <c r="D80" s="38" t="s">
        <v>156</v>
      </c>
      <c r="E80" s="52"/>
      <c r="F80" s="52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2.5" customHeight="1">
      <c r="A81" s="47" t="s">
        <v>292</v>
      </c>
      <c r="B81" s="48" t="s">
        <v>68</v>
      </c>
      <c r="C81" s="61" t="s">
        <v>93</v>
      </c>
      <c r="D81" s="38" t="s">
        <v>156</v>
      </c>
      <c r="E81" s="52"/>
      <c r="F81" s="5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2.5" customHeight="1">
      <c r="A82" s="47" t="s">
        <v>293</v>
      </c>
      <c r="B82" s="48" t="s">
        <v>68</v>
      </c>
      <c r="C82" s="61" t="s">
        <v>78</v>
      </c>
      <c r="D82" s="38" t="s">
        <v>294</v>
      </c>
      <c r="E82" s="52"/>
      <c r="F82" s="52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2.5" customHeight="1">
      <c r="A83" s="47" t="s">
        <v>295</v>
      </c>
      <c r="B83" s="48" t="s">
        <v>68</v>
      </c>
      <c r="C83" s="61" t="s">
        <v>93</v>
      </c>
      <c r="D83" s="38" t="s">
        <v>156</v>
      </c>
      <c r="E83" s="52"/>
      <c r="F83" s="52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2.5" customHeight="1">
      <c r="A84" s="47" t="s">
        <v>296</v>
      </c>
      <c r="B84" s="48" t="s">
        <v>68</v>
      </c>
      <c r="C84" s="61" t="s">
        <v>93</v>
      </c>
      <c r="D84" s="38" t="s">
        <v>156</v>
      </c>
      <c r="E84" s="52"/>
      <c r="F84" s="52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2.5" customHeight="1">
      <c r="A85" s="47" t="s">
        <v>297</v>
      </c>
      <c r="B85" s="48" t="s">
        <v>68</v>
      </c>
      <c r="C85" s="61" t="s">
        <v>93</v>
      </c>
      <c r="D85" s="38" t="s">
        <v>156</v>
      </c>
      <c r="E85" s="52"/>
      <c r="F85" s="5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2.5" customHeight="1">
      <c r="A86" s="47" t="s">
        <v>298</v>
      </c>
      <c r="B86" s="48" t="s">
        <v>68</v>
      </c>
      <c r="C86" s="61" t="s">
        <v>78</v>
      </c>
      <c r="D86" s="38" t="s">
        <v>294</v>
      </c>
      <c r="E86" s="52"/>
      <c r="F86" s="5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2.5" customHeight="1">
      <c r="A87" s="47" t="s">
        <v>300</v>
      </c>
      <c r="B87" s="48">
        <v>1.20080444E9</v>
      </c>
      <c r="C87" s="61" t="s">
        <v>243</v>
      </c>
      <c r="D87" s="52"/>
      <c r="E87" s="52"/>
      <c r="F87" s="5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2.5" customHeight="1">
      <c r="A88" s="47" t="s">
        <v>306</v>
      </c>
      <c r="B88" s="48" t="s">
        <v>68</v>
      </c>
      <c r="C88" s="61" t="s">
        <v>93</v>
      </c>
      <c r="D88" s="38" t="s">
        <v>156</v>
      </c>
      <c r="E88" s="52"/>
      <c r="F88" s="52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2.5" customHeight="1">
      <c r="A89" s="47" t="s">
        <v>307</v>
      </c>
      <c r="B89" s="48" t="s">
        <v>68</v>
      </c>
      <c r="C89" s="61" t="s">
        <v>93</v>
      </c>
      <c r="D89" s="38" t="s">
        <v>156</v>
      </c>
      <c r="E89" s="52"/>
      <c r="F89" s="52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2.5" customHeight="1">
      <c r="A90" s="47" t="s">
        <v>308</v>
      </c>
      <c r="B90" s="48">
        <v>1.207708844E9</v>
      </c>
      <c r="C90" s="61" t="s">
        <v>93</v>
      </c>
      <c r="D90" s="38" t="s">
        <v>309</v>
      </c>
      <c r="E90" s="52"/>
      <c r="F90" s="52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2.5" customHeight="1">
      <c r="A91" s="47" t="s">
        <v>310</v>
      </c>
      <c r="B91" s="48">
        <v>1.225238343E9</v>
      </c>
      <c r="C91" s="61" t="s">
        <v>93</v>
      </c>
      <c r="D91" s="38" t="s">
        <v>156</v>
      </c>
      <c r="E91" s="52"/>
      <c r="F91" s="5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2.5" customHeight="1">
      <c r="A92" s="47" t="s">
        <v>311</v>
      </c>
      <c r="B92" s="48">
        <v>1.281274086E9</v>
      </c>
      <c r="C92" s="61" t="s">
        <v>78</v>
      </c>
      <c r="D92" s="38" t="s">
        <v>79</v>
      </c>
      <c r="E92" s="52"/>
      <c r="F92" s="52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47" t="s">
        <v>312</v>
      </c>
      <c r="B93" s="48" t="s">
        <v>68</v>
      </c>
      <c r="C93" s="61" t="s">
        <v>93</v>
      </c>
      <c r="D93" s="38" t="s">
        <v>156</v>
      </c>
      <c r="E93" s="52"/>
      <c r="F93" s="5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2.5" customHeight="1">
      <c r="A94" s="47" t="s">
        <v>313</v>
      </c>
      <c r="B94" s="48" t="s">
        <v>68</v>
      </c>
      <c r="C94" s="50" t="s">
        <v>68</v>
      </c>
      <c r="D94" s="52"/>
      <c r="E94" s="38" t="s">
        <v>53</v>
      </c>
      <c r="F94" s="5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2.5" customHeight="1">
      <c r="A95" s="47" t="s">
        <v>314</v>
      </c>
      <c r="B95" s="48">
        <v>1.275822147E9</v>
      </c>
      <c r="C95" s="61" t="s">
        <v>53</v>
      </c>
      <c r="D95" s="38" t="s">
        <v>315</v>
      </c>
      <c r="E95" s="52"/>
      <c r="F95" s="52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2.5" customHeight="1">
      <c r="A96" s="47" t="s">
        <v>316</v>
      </c>
      <c r="B96" s="48">
        <v>1.289239777E9</v>
      </c>
      <c r="C96" s="61" t="s">
        <v>93</v>
      </c>
      <c r="D96" s="38" t="s">
        <v>156</v>
      </c>
      <c r="E96" s="52"/>
      <c r="F96" s="52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2.5" customHeight="1">
      <c r="A97" s="47" t="s">
        <v>317</v>
      </c>
      <c r="B97" s="48">
        <v>1.223760341E9</v>
      </c>
      <c r="C97" s="61" t="s">
        <v>243</v>
      </c>
      <c r="D97" s="52"/>
      <c r="E97" s="52"/>
      <c r="F97" s="5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2.5" customHeight="1">
      <c r="A98" s="47" t="s">
        <v>318</v>
      </c>
      <c r="B98" s="48">
        <v>1.280754754E9</v>
      </c>
      <c r="C98" s="61" t="s">
        <v>319</v>
      </c>
      <c r="D98" s="52"/>
      <c r="E98" s="52"/>
      <c r="F98" s="52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2.5" customHeight="1">
      <c r="A99" s="47" t="s">
        <v>320</v>
      </c>
      <c r="B99" s="48">
        <v>1.227655783E9</v>
      </c>
      <c r="C99" s="61" t="s">
        <v>183</v>
      </c>
      <c r="D99" s="52"/>
      <c r="E99" s="38"/>
      <c r="F99" s="5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2.5" customHeight="1">
      <c r="A100" s="47" t="s">
        <v>321</v>
      </c>
      <c r="B100" s="48">
        <v>1.227620985E9</v>
      </c>
      <c r="C100" s="61" t="s">
        <v>93</v>
      </c>
      <c r="D100" s="38" t="s">
        <v>162</v>
      </c>
      <c r="E100" s="52"/>
      <c r="F100" s="52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2.5" customHeight="1">
      <c r="A101" s="47" t="s">
        <v>322</v>
      </c>
      <c r="B101" s="48">
        <v>1.226706207E9</v>
      </c>
      <c r="C101" s="61" t="s">
        <v>93</v>
      </c>
      <c r="D101" s="38" t="s">
        <v>323</v>
      </c>
      <c r="E101" s="52"/>
      <c r="F101" s="52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2.5" customHeight="1">
      <c r="A102" s="47" t="s">
        <v>324</v>
      </c>
      <c r="B102" s="48">
        <v>1.091587701E9</v>
      </c>
      <c r="C102" s="61" t="s">
        <v>53</v>
      </c>
      <c r="D102" s="38" t="s">
        <v>220</v>
      </c>
      <c r="E102" s="52"/>
      <c r="F102" s="52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2.5" customHeight="1">
      <c r="A103" s="47" t="s">
        <v>331</v>
      </c>
      <c r="B103" s="48">
        <v>1.226194522E9</v>
      </c>
      <c r="C103" s="61" t="s">
        <v>164</v>
      </c>
      <c r="D103" s="52"/>
      <c r="E103" s="52"/>
      <c r="F103" s="5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2.5" customHeight="1">
      <c r="A104" s="47" t="s">
        <v>332</v>
      </c>
      <c r="B104" s="48">
        <v>1.276684599E9</v>
      </c>
      <c r="C104" s="61" t="s">
        <v>93</v>
      </c>
      <c r="D104" s="38" t="s">
        <v>333</v>
      </c>
      <c r="E104" s="38" t="s">
        <v>334</v>
      </c>
      <c r="F104" s="52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2.5" customHeight="1">
      <c r="A105" s="47" t="s">
        <v>335</v>
      </c>
      <c r="B105" s="48">
        <v>1.228048884E9</v>
      </c>
      <c r="C105" s="61" t="s">
        <v>93</v>
      </c>
      <c r="D105" s="38" t="s">
        <v>156</v>
      </c>
      <c r="E105" s="52"/>
      <c r="F105" s="52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2.5" customHeight="1">
      <c r="A106" s="47" t="s">
        <v>336</v>
      </c>
      <c r="B106" s="48">
        <v>1.281079785E9</v>
      </c>
      <c r="C106" s="61" t="s">
        <v>53</v>
      </c>
      <c r="D106" s="38" t="s">
        <v>315</v>
      </c>
      <c r="E106" s="52"/>
      <c r="F106" s="52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2.5" customHeight="1">
      <c r="A107" s="47" t="s">
        <v>337</v>
      </c>
      <c r="B107" s="48">
        <v>1.285165676E9</v>
      </c>
      <c r="C107" s="61" t="s">
        <v>338</v>
      </c>
      <c r="D107" s="52"/>
      <c r="E107" s="52"/>
      <c r="F107" s="52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2.5" customHeight="1">
      <c r="A108" s="47" t="s">
        <v>339</v>
      </c>
      <c r="B108" s="48">
        <v>1.221568644E9</v>
      </c>
      <c r="C108" s="61" t="s">
        <v>93</v>
      </c>
      <c r="D108" s="38" t="s">
        <v>162</v>
      </c>
      <c r="E108" s="52"/>
      <c r="F108" s="52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2.5" customHeight="1">
      <c r="A109" s="47" t="s">
        <v>340</v>
      </c>
      <c r="B109" s="48">
        <v>1.281213583E9</v>
      </c>
      <c r="C109" s="61" t="s">
        <v>53</v>
      </c>
      <c r="D109" s="38" t="s">
        <v>220</v>
      </c>
      <c r="E109" s="52"/>
      <c r="F109" s="52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2.5" customHeight="1">
      <c r="A110" s="47" t="s">
        <v>341</v>
      </c>
      <c r="B110" s="48">
        <v>1.201685116E9</v>
      </c>
      <c r="C110" s="61" t="s">
        <v>93</v>
      </c>
      <c r="D110" s="38" t="s">
        <v>156</v>
      </c>
      <c r="E110" s="52"/>
      <c r="F110" s="52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2.5" customHeight="1">
      <c r="A111" s="47" t="s">
        <v>342</v>
      </c>
      <c r="B111" s="48">
        <v>1.277114313E9</v>
      </c>
      <c r="C111" s="50" t="s">
        <v>68</v>
      </c>
      <c r="D111" s="52"/>
      <c r="E111" s="38"/>
      <c r="F111" s="52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2.5" customHeight="1">
      <c r="A112" s="47" t="s">
        <v>343</v>
      </c>
      <c r="B112" s="48">
        <v>1.274743727E9</v>
      </c>
      <c r="C112" s="61" t="s">
        <v>93</v>
      </c>
      <c r="D112" s="38" t="s">
        <v>148</v>
      </c>
      <c r="E112" s="52"/>
      <c r="F112" s="52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2.5" customHeight="1">
      <c r="A113" s="47" t="s">
        <v>344</v>
      </c>
      <c r="B113" s="48">
        <v>1.22661495E9</v>
      </c>
      <c r="C113" s="61" t="s">
        <v>228</v>
      </c>
      <c r="D113" s="52"/>
      <c r="E113" s="52"/>
      <c r="F113" s="52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2.5" customHeight="1">
      <c r="A114" s="47" t="s">
        <v>345</v>
      </c>
      <c r="B114" s="48">
        <v>1.205644171E9</v>
      </c>
      <c r="C114" s="61" t="s">
        <v>53</v>
      </c>
      <c r="D114" s="38" t="s">
        <v>315</v>
      </c>
      <c r="E114" s="52"/>
      <c r="F114" s="52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2.5" customHeight="1">
      <c r="A115" s="47" t="s">
        <v>346</v>
      </c>
      <c r="B115" s="48">
        <v>1.006035757E9</v>
      </c>
      <c r="C115" s="61" t="s">
        <v>93</v>
      </c>
      <c r="D115" s="52"/>
      <c r="E115" s="38" t="s">
        <v>347</v>
      </c>
      <c r="F115" s="52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2.5" customHeight="1">
      <c r="A116" s="47" t="s">
        <v>348</v>
      </c>
      <c r="B116" s="48">
        <v>1.22757093E9</v>
      </c>
      <c r="C116" s="61" t="s">
        <v>93</v>
      </c>
      <c r="D116" s="38" t="s">
        <v>148</v>
      </c>
      <c r="E116" s="52"/>
      <c r="F116" s="52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2.5" customHeight="1">
      <c r="A117" s="47" t="s">
        <v>349</v>
      </c>
      <c r="B117" s="48">
        <v>1.225492366E9</v>
      </c>
      <c r="C117" s="61" t="s">
        <v>78</v>
      </c>
      <c r="D117" s="52"/>
      <c r="E117" s="38" t="s">
        <v>350</v>
      </c>
      <c r="F117" s="52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2.5" customHeight="1">
      <c r="A118" s="47" t="s">
        <v>352</v>
      </c>
      <c r="B118" s="48">
        <v>1.227030663E9</v>
      </c>
      <c r="C118" s="61" t="s">
        <v>93</v>
      </c>
      <c r="D118" s="38" t="s">
        <v>309</v>
      </c>
      <c r="E118" s="52"/>
      <c r="F118" s="52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2.5" customHeight="1">
      <c r="A119" s="47" t="s">
        <v>356</v>
      </c>
      <c r="B119" s="48">
        <v>1.210013384E9</v>
      </c>
      <c r="C119" s="61" t="s">
        <v>93</v>
      </c>
      <c r="D119" s="38" t="s">
        <v>99</v>
      </c>
      <c r="E119" s="38" t="s">
        <v>93</v>
      </c>
      <c r="F119" s="52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2.5" customHeight="1">
      <c r="A120" s="47" t="s">
        <v>359</v>
      </c>
      <c r="B120" s="48" t="s">
        <v>68</v>
      </c>
      <c r="C120" s="61" t="s">
        <v>53</v>
      </c>
      <c r="D120" s="38" t="s">
        <v>360</v>
      </c>
      <c r="E120" s="38" t="s">
        <v>53</v>
      </c>
      <c r="F120" s="52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2.5" customHeight="1">
      <c r="A121" s="47" t="s">
        <v>361</v>
      </c>
      <c r="B121" s="48">
        <v>1.001134092E9</v>
      </c>
      <c r="C121" s="61" t="s">
        <v>93</v>
      </c>
      <c r="D121" s="38" t="s">
        <v>362</v>
      </c>
      <c r="E121" s="52"/>
      <c r="F121" s="52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2.5" customHeight="1">
      <c r="A122" s="47" t="s">
        <v>363</v>
      </c>
      <c r="B122" s="48">
        <v>1.221252594E9</v>
      </c>
      <c r="C122" s="61" t="s">
        <v>183</v>
      </c>
      <c r="D122" s="52"/>
      <c r="E122" s="38"/>
      <c r="F122" s="5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2.5" customHeight="1">
      <c r="A123" s="47" t="s">
        <v>364</v>
      </c>
      <c r="B123" s="48">
        <v>1.273952562E9</v>
      </c>
      <c r="C123" s="61" t="s">
        <v>93</v>
      </c>
      <c r="D123" s="38" t="s">
        <v>156</v>
      </c>
      <c r="E123" s="52"/>
      <c r="F123" s="52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2.5" customHeight="1">
      <c r="A124" s="47" t="s">
        <v>365</v>
      </c>
      <c r="B124" s="48">
        <v>1.228871067E9</v>
      </c>
      <c r="C124" s="61" t="s">
        <v>366</v>
      </c>
      <c r="D124" s="52"/>
      <c r="E124" s="52"/>
      <c r="F124" s="52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2.5" customHeight="1">
      <c r="A125" s="47" t="s">
        <v>367</v>
      </c>
      <c r="B125" s="48">
        <v>1.228780841E9</v>
      </c>
      <c r="C125" s="61" t="s">
        <v>368</v>
      </c>
      <c r="D125" s="38" t="s">
        <v>369</v>
      </c>
      <c r="E125" s="52"/>
      <c r="F125" s="52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2.5" customHeight="1">
      <c r="A126" s="47" t="s">
        <v>370</v>
      </c>
      <c r="B126" s="48">
        <v>1.229541796E9</v>
      </c>
      <c r="C126" s="61" t="s">
        <v>93</v>
      </c>
      <c r="D126" s="38" t="s">
        <v>99</v>
      </c>
      <c r="E126" s="52"/>
      <c r="F126" s="52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2.5" customHeight="1">
      <c r="A127" s="47" t="s">
        <v>371</v>
      </c>
      <c r="B127" s="48">
        <v>1.283577574E9</v>
      </c>
      <c r="C127" s="61" t="s">
        <v>109</v>
      </c>
      <c r="D127" s="38" t="s">
        <v>111</v>
      </c>
      <c r="E127" s="52"/>
      <c r="F127" s="52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2.5" customHeight="1">
      <c r="A128" s="47" t="s">
        <v>372</v>
      </c>
      <c r="B128" s="48">
        <v>1.221252594E9</v>
      </c>
      <c r="C128" s="61" t="s">
        <v>183</v>
      </c>
      <c r="D128" s="52"/>
      <c r="E128" s="38"/>
      <c r="F128" s="52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2.5" customHeight="1">
      <c r="A129" s="47" t="s">
        <v>373</v>
      </c>
      <c r="B129" s="48">
        <v>1.271994748E9</v>
      </c>
      <c r="C129" s="61" t="s">
        <v>93</v>
      </c>
      <c r="D129" s="38" t="s">
        <v>156</v>
      </c>
      <c r="E129" s="52"/>
      <c r="F129" s="52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2.5" customHeight="1">
      <c r="A130" s="47" t="s">
        <v>374</v>
      </c>
      <c r="B130" s="48">
        <v>1.278219701E9</v>
      </c>
      <c r="C130" s="61" t="s">
        <v>109</v>
      </c>
      <c r="D130" s="38" t="s">
        <v>111</v>
      </c>
      <c r="E130" s="52"/>
      <c r="F130" s="52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2.5" customHeight="1">
      <c r="A131" s="47" t="s">
        <v>375</v>
      </c>
      <c r="B131" s="48">
        <v>1.202400501E9</v>
      </c>
      <c r="C131" s="50" t="s">
        <v>68</v>
      </c>
      <c r="D131" s="38" t="s">
        <v>376</v>
      </c>
      <c r="E131" s="52"/>
      <c r="F131" s="52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2.5" customHeight="1">
      <c r="A132" s="47" t="s">
        <v>377</v>
      </c>
      <c r="B132" s="48">
        <v>1.210665337E9</v>
      </c>
      <c r="C132" s="61" t="s">
        <v>93</v>
      </c>
      <c r="D132" s="38" t="s">
        <v>94</v>
      </c>
      <c r="E132" s="52"/>
      <c r="F132" s="52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2.5" customHeight="1">
      <c r="A133" s="47" t="s">
        <v>378</v>
      </c>
      <c r="B133" s="48">
        <v>1.281114059E9</v>
      </c>
      <c r="C133" s="61" t="s">
        <v>53</v>
      </c>
      <c r="D133" s="38" t="s">
        <v>379</v>
      </c>
      <c r="E133" s="52"/>
      <c r="F133" s="52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2.5" customHeight="1">
      <c r="A134" s="47" t="s">
        <v>380</v>
      </c>
      <c r="B134" s="48">
        <v>1.289307869E9</v>
      </c>
      <c r="C134" s="50" t="s">
        <v>68</v>
      </c>
      <c r="D134" s="52"/>
      <c r="E134" s="38"/>
      <c r="F134" s="52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2.5" customHeight="1">
      <c r="A135" s="47" t="s">
        <v>384</v>
      </c>
      <c r="B135" s="48">
        <v>1.559032118E9</v>
      </c>
      <c r="C135" s="61" t="s">
        <v>134</v>
      </c>
      <c r="D135" s="52"/>
      <c r="E135" s="52"/>
      <c r="F135" s="52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2.5" customHeight="1">
      <c r="A136" s="47" t="s">
        <v>389</v>
      </c>
      <c r="B136" s="48">
        <v>1.225568706E9</v>
      </c>
      <c r="C136" s="61" t="s">
        <v>183</v>
      </c>
      <c r="D136" s="52"/>
      <c r="E136" s="38"/>
      <c r="F136" s="52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2.5" customHeight="1">
      <c r="A137" s="47" t="s">
        <v>390</v>
      </c>
      <c r="B137" s="48">
        <v>1.22040446E9</v>
      </c>
      <c r="C137" s="61" t="s">
        <v>120</v>
      </c>
      <c r="D137" s="52"/>
      <c r="E137" s="52"/>
      <c r="F137" s="52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2.5" customHeight="1">
      <c r="A138" s="47" t="s">
        <v>391</v>
      </c>
      <c r="B138" s="48">
        <v>1.211099136E9</v>
      </c>
      <c r="C138" s="61" t="s">
        <v>78</v>
      </c>
      <c r="D138" s="52"/>
      <c r="E138" s="52"/>
      <c r="F138" s="52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2.5" customHeight="1">
      <c r="A139" s="47" t="s">
        <v>392</v>
      </c>
      <c r="B139" s="48">
        <v>1.278338577E9</v>
      </c>
      <c r="C139" s="61" t="s">
        <v>183</v>
      </c>
      <c r="D139" s="52"/>
      <c r="E139" s="38"/>
      <c r="F139" s="52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2.5" customHeight="1">
      <c r="A140" s="47" t="s">
        <v>393</v>
      </c>
      <c r="B140" s="48">
        <v>1.201385598E9</v>
      </c>
      <c r="C140" s="61" t="s">
        <v>93</v>
      </c>
      <c r="D140" s="38" t="s">
        <v>176</v>
      </c>
      <c r="E140" s="52"/>
      <c r="F140" s="52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2.5" customHeight="1">
      <c r="A141" s="47" t="s">
        <v>394</v>
      </c>
      <c r="B141" s="48">
        <v>1.272397677E9</v>
      </c>
      <c r="C141" s="61" t="s">
        <v>93</v>
      </c>
      <c r="D141" s="38" t="s">
        <v>94</v>
      </c>
      <c r="E141" s="52"/>
      <c r="F141" s="52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2.5" customHeight="1">
      <c r="A142" s="47" t="s">
        <v>395</v>
      </c>
      <c r="B142" s="48">
        <v>1.554450769E9</v>
      </c>
      <c r="C142" s="61" t="s">
        <v>109</v>
      </c>
      <c r="D142" s="38" t="s">
        <v>111</v>
      </c>
      <c r="E142" s="52"/>
      <c r="F142" s="52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2.5" customHeight="1">
      <c r="A143" s="47" t="s">
        <v>396</v>
      </c>
      <c r="B143" s="48">
        <v>1.000550089E9</v>
      </c>
      <c r="C143" s="61" t="s">
        <v>93</v>
      </c>
      <c r="D143" s="52"/>
      <c r="E143" s="38" t="s">
        <v>250</v>
      </c>
      <c r="F143" s="52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2.5" customHeight="1">
      <c r="A144" s="47" t="s">
        <v>397</v>
      </c>
      <c r="B144" s="48">
        <v>1.20079939E9</v>
      </c>
      <c r="C144" s="61" t="s">
        <v>93</v>
      </c>
      <c r="D144" s="38" t="s">
        <v>309</v>
      </c>
      <c r="E144" s="52"/>
      <c r="F144" s="52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2.5" customHeight="1">
      <c r="A145" s="47" t="s">
        <v>398</v>
      </c>
      <c r="B145" s="48">
        <v>1.208360169E9</v>
      </c>
      <c r="C145" s="61" t="s">
        <v>120</v>
      </c>
      <c r="D145" s="52"/>
      <c r="E145" s="52"/>
      <c r="F145" s="52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2.5" customHeight="1">
      <c r="A146" s="47" t="s">
        <v>399</v>
      </c>
      <c r="B146" s="48">
        <v>1.22660317E9</v>
      </c>
      <c r="C146" s="61" t="s">
        <v>93</v>
      </c>
      <c r="D146" s="38" t="s">
        <v>148</v>
      </c>
      <c r="E146" s="52"/>
      <c r="F146" s="52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2.5" customHeight="1">
      <c r="A147" s="47" t="s">
        <v>400</v>
      </c>
      <c r="B147" s="48">
        <v>1.224233512E9</v>
      </c>
      <c r="C147" s="61" t="s">
        <v>183</v>
      </c>
      <c r="D147" s="52"/>
      <c r="E147" s="38"/>
      <c r="F147" s="52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2.5" customHeight="1">
      <c r="A148" s="47" t="s">
        <v>401</v>
      </c>
      <c r="B148" s="48">
        <v>1.282897816E9</v>
      </c>
      <c r="C148" s="61" t="s">
        <v>204</v>
      </c>
      <c r="D148" s="52"/>
      <c r="E148" s="52"/>
      <c r="F148" s="52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2.5" customHeight="1">
      <c r="A149" s="47" t="s">
        <v>402</v>
      </c>
      <c r="B149" s="48">
        <v>1.274752927E9</v>
      </c>
      <c r="C149" s="61" t="s">
        <v>183</v>
      </c>
      <c r="D149" s="52"/>
      <c r="E149" s="38"/>
      <c r="F149" s="52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2.5" customHeight="1">
      <c r="A150" s="47" t="s">
        <v>404</v>
      </c>
      <c r="B150" s="48">
        <v>1.222836492E9</v>
      </c>
      <c r="C150" s="61" t="s">
        <v>183</v>
      </c>
      <c r="D150" s="52"/>
      <c r="E150" s="38"/>
      <c r="F150" s="52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2.5" customHeight="1">
      <c r="A151" s="47" t="s">
        <v>406</v>
      </c>
      <c r="B151" s="48">
        <v>1.553197595E9</v>
      </c>
      <c r="C151" s="61" t="s">
        <v>120</v>
      </c>
      <c r="D151" s="52"/>
      <c r="E151" s="52"/>
      <c r="F151" s="52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2.5" customHeight="1">
      <c r="A152" s="47" t="s">
        <v>407</v>
      </c>
      <c r="B152" s="48">
        <v>1.270170345E9</v>
      </c>
      <c r="C152" s="61" t="s">
        <v>93</v>
      </c>
      <c r="D152" s="52"/>
      <c r="E152" s="38" t="s">
        <v>258</v>
      </c>
      <c r="F152" s="52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2.5" customHeight="1">
      <c r="A153" s="47" t="s">
        <v>408</v>
      </c>
      <c r="B153" s="48">
        <v>1.285879384E9</v>
      </c>
      <c r="C153" s="61" t="s">
        <v>243</v>
      </c>
      <c r="D153" s="38" t="s">
        <v>409</v>
      </c>
      <c r="E153" s="52"/>
      <c r="F153" s="52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2.5" customHeight="1">
      <c r="A154" s="47" t="s">
        <v>410</v>
      </c>
      <c r="B154" s="48">
        <v>1.228000206E9</v>
      </c>
      <c r="C154" s="61" t="s">
        <v>93</v>
      </c>
      <c r="D154" s="38" t="s">
        <v>411</v>
      </c>
      <c r="E154" s="52"/>
      <c r="F154" s="52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2.5" customHeight="1">
      <c r="A155" s="47" t="s">
        <v>412</v>
      </c>
      <c r="B155" s="48">
        <v>1.210909235E9</v>
      </c>
      <c r="C155" s="61" t="s">
        <v>243</v>
      </c>
      <c r="D155" s="52"/>
      <c r="E155" s="52"/>
      <c r="F155" s="52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2.5" customHeight="1">
      <c r="A156" s="47" t="s">
        <v>413</v>
      </c>
      <c r="B156" s="48">
        <v>1.222212804E9</v>
      </c>
      <c r="C156" s="61" t="s">
        <v>93</v>
      </c>
      <c r="D156" s="38" t="s">
        <v>156</v>
      </c>
      <c r="E156" s="52"/>
      <c r="F156" s="52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2.5" customHeight="1">
      <c r="A157" s="47" t="s">
        <v>414</v>
      </c>
      <c r="B157" s="48">
        <v>1.227231701E9</v>
      </c>
      <c r="C157" s="61" t="s">
        <v>78</v>
      </c>
      <c r="D157" s="38" t="s">
        <v>239</v>
      </c>
      <c r="E157" s="52"/>
      <c r="F157" s="52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2.5" customHeight="1">
      <c r="A158" s="47" t="s">
        <v>415</v>
      </c>
      <c r="B158" s="48">
        <v>1.224327593E9</v>
      </c>
      <c r="C158" s="61" t="s">
        <v>202</v>
      </c>
      <c r="D158" s="52"/>
      <c r="E158" s="38" t="s">
        <v>416</v>
      </c>
      <c r="F158" s="52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2.5" customHeight="1">
      <c r="A159" s="47" t="s">
        <v>417</v>
      </c>
      <c r="B159" s="48">
        <v>1.146826891E9</v>
      </c>
      <c r="C159" s="61" t="s">
        <v>78</v>
      </c>
      <c r="D159" s="52"/>
      <c r="E159" s="52"/>
      <c r="F159" s="52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2.5" customHeight="1">
      <c r="A160" s="47" t="s">
        <v>418</v>
      </c>
      <c r="B160" s="48">
        <v>1.22004749E9</v>
      </c>
      <c r="C160" s="61" t="s">
        <v>93</v>
      </c>
      <c r="D160" s="52"/>
      <c r="E160" s="38" t="s">
        <v>176</v>
      </c>
      <c r="F160" s="52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2.5" customHeight="1">
      <c r="A161" s="47" t="s">
        <v>419</v>
      </c>
      <c r="B161" s="48">
        <v>1.277336697E9</v>
      </c>
      <c r="C161" s="61" t="s">
        <v>78</v>
      </c>
      <c r="D161" s="38" t="s">
        <v>172</v>
      </c>
      <c r="E161" s="33">
        <v>6.0</v>
      </c>
      <c r="F161" s="52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2.5" customHeight="1">
      <c r="A162" s="47" t="s">
        <v>420</v>
      </c>
      <c r="B162" s="48">
        <v>1.287289231E9</v>
      </c>
      <c r="C162" s="61" t="s">
        <v>164</v>
      </c>
      <c r="D162" s="52"/>
      <c r="E162" s="52"/>
      <c r="F162" s="52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2.5" customHeight="1">
      <c r="A163" s="47" t="s">
        <v>421</v>
      </c>
      <c r="B163" s="48">
        <v>1.222386635E9</v>
      </c>
      <c r="C163" s="61" t="s">
        <v>140</v>
      </c>
      <c r="D163" s="52"/>
      <c r="E163" s="38" t="s">
        <v>287</v>
      </c>
      <c r="F163" s="5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2.5" customHeight="1">
      <c r="A164" s="47" t="s">
        <v>422</v>
      </c>
      <c r="B164" s="48">
        <v>1.287356549E9</v>
      </c>
      <c r="C164" s="61" t="s">
        <v>93</v>
      </c>
      <c r="D164" s="38" t="s">
        <v>379</v>
      </c>
      <c r="E164" s="52"/>
      <c r="F164" s="5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2.5" customHeight="1">
      <c r="A165" s="47" t="s">
        <v>423</v>
      </c>
      <c r="B165" s="48">
        <v>1.225380901E9</v>
      </c>
      <c r="C165" s="61" t="s">
        <v>228</v>
      </c>
      <c r="D165" s="52"/>
      <c r="E165" s="52"/>
      <c r="F165" s="52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2.5" customHeight="1">
      <c r="A166" s="47" t="s">
        <v>424</v>
      </c>
      <c r="B166" s="48">
        <v>1.206954776E9</v>
      </c>
      <c r="C166" s="61" t="s">
        <v>425</v>
      </c>
      <c r="D166" s="52"/>
      <c r="E166" s="38" t="s">
        <v>426</v>
      </c>
      <c r="F166" s="52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2.5" customHeight="1">
      <c r="A167" s="47" t="s">
        <v>427</v>
      </c>
      <c r="B167" s="48">
        <v>1.275566961E9</v>
      </c>
      <c r="C167" s="61" t="s">
        <v>140</v>
      </c>
      <c r="D167" s="52"/>
      <c r="E167" s="38" t="s">
        <v>428</v>
      </c>
      <c r="F167" s="52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2.5" customHeight="1">
      <c r="A168" s="47" t="s">
        <v>429</v>
      </c>
      <c r="B168" s="48">
        <v>1.276039193E9</v>
      </c>
      <c r="C168" s="61" t="s">
        <v>78</v>
      </c>
      <c r="D168" s="38" t="s">
        <v>79</v>
      </c>
      <c r="E168" s="52"/>
      <c r="F168" s="52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2.5" customHeight="1">
      <c r="A169" s="47" t="s">
        <v>432</v>
      </c>
      <c r="B169" s="48">
        <v>1.225577036E9</v>
      </c>
      <c r="C169" s="61" t="s">
        <v>93</v>
      </c>
      <c r="D169" s="85" t="s">
        <v>137</v>
      </c>
      <c r="E169" s="52"/>
      <c r="F169" s="52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2.5" customHeight="1">
      <c r="A170" s="47" t="s">
        <v>433</v>
      </c>
      <c r="B170" s="48">
        <v>1.221835605E9</v>
      </c>
      <c r="C170" s="61" t="s">
        <v>93</v>
      </c>
      <c r="D170" s="38" t="s">
        <v>156</v>
      </c>
      <c r="E170" s="52"/>
      <c r="F170" s="52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2.5" customHeight="1">
      <c r="A171" s="47" t="s">
        <v>434</v>
      </c>
      <c r="B171" s="48">
        <v>1.283068152E9</v>
      </c>
      <c r="C171" s="61" t="s">
        <v>78</v>
      </c>
      <c r="D171" s="52"/>
      <c r="E171" s="52"/>
      <c r="F171" s="52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2.5" customHeight="1">
      <c r="A172" s="47" t="s">
        <v>435</v>
      </c>
      <c r="B172" s="48">
        <v>1.225395359E9</v>
      </c>
      <c r="C172" s="61" t="s">
        <v>93</v>
      </c>
      <c r="D172" s="38" t="s">
        <v>156</v>
      </c>
      <c r="E172" s="52"/>
      <c r="F172" s="52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2.5" customHeight="1">
      <c r="A173" s="47" t="s">
        <v>436</v>
      </c>
      <c r="B173" s="161">
        <v>1.278638302E9</v>
      </c>
      <c r="C173" s="61" t="s">
        <v>93</v>
      </c>
      <c r="D173" s="38" t="s">
        <v>156</v>
      </c>
      <c r="E173" s="38" t="s">
        <v>437</v>
      </c>
      <c r="F173" s="52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2.5" customHeight="1">
      <c r="A174" s="47" t="s">
        <v>438</v>
      </c>
      <c r="B174" s="48" t="s">
        <v>68</v>
      </c>
      <c r="C174" s="61" t="s">
        <v>93</v>
      </c>
      <c r="D174" s="38" t="s">
        <v>156</v>
      </c>
      <c r="E174" s="52"/>
      <c r="F174" s="52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2.5" customHeight="1">
      <c r="A175" s="47" t="s">
        <v>439</v>
      </c>
      <c r="B175" s="48" t="s">
        <v>68</v>
      </c>
      <c r="C175" s="61" t="s">
        <v>93</v>
      </c>
      <c r="D175" s="38" t="s">
        <v>154</v>
      </c>
      <c r="E175" s="52"/>
      <c r="F175" s="52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2.5" customHeight="1">
      <c r="A176" s="47" t="s">
        <v>440</v>
      </c>
      <c r="B176" s="48" t="s">
        <v>68</v>
      </c>
      <c r="C176" s="61" t="s">
        <v>441</v>
      </c>
      <c r="D176" s="52"/>
      <c r="E176" s="38" t="s">
        <v>442</v>
      </c>
      <c r="F176" s="52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2.5" customHeight="1">
      <c r="A177" s="47" t="s">
        <v>443</v>
      </c>
      <c r="B177" s="48" t="s">
        <v>68</v>
      </c>
      <c r="C177" s="61" t="s">
        <v>183</v>
      </c>
      <c r="D177" s="52"/>
      <c r="E177" s="38" t="s">
        <v>188</v>
      </c>
      <c r="F177" s="52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2.5" customHeight="1">
      <c r="A178" s="47" t="s">
        <v>444</v>
      </c>
      <c r="B178" s="48" t="s">
        <v>68</v>
      </c>
      <c r="C178" s="61" t="s">
        <v>53</v>
      </c>
      <c r="D178" s="38" t="s">
        <v>57</v>
      </c>
      <c r="E178" s="52"/>
      <c r="F178" s="52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2.5" customHeight="1">
      <c r="A179" s="47" t="s">
        <v>445</v>
      </c>
      <c r="B179" s="48" t="s">
        <v>68</v>
      </c>
      <c r="C179" s="61" t="s">
        <v>93</v>
      </c>
      <c r="D179" s="38" t="s">
        <v>156</v>
      </c>
      <c r="E179" s="52"/>
      <c r="F179" s="52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2.5" customHeight="1">
      <c r="A180" s="47" t="s">
        <v>446</v>
      </c>
      <c r="B180" s="48" t="s">
        <v>68</v>
      </c>
      <c r="C180" s="61" t="s">
        <v>93</v>
      </c>
      <c r="D180" s="38" t="s">
        <v>156</v>
      </c>
      <c r="E180" s="52"/>
      <c r="F180" s="52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2.5" customHeight="1">
      <c r="A181" s="47" t="s">
        <v>447</v>
      </c>
      <c r="B181" s="48" t="s">
        <v>68</v>
      </c>
      <c r="C181" s="61" t="s">
        <v>78</v>
      </c>
      <c r="D181" s="52"/>
      <c r="E181" s="38"/>
      <c r="F181" s="52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2.5" customHeight="1">
      <c r="A182" s="47" t="s">
        <v>448</v>
      </c>
      <c r="B182" s="48" t="s">
        <v>68</v>
      </c>
      <c r="C182" s="61" t="s">
        <v>53</v>
      </c>
      <c r="D182" s="38" t="s">
        <v>360</v>
      </c>
      <c r="E182" s="38" t="s">
        <v>53</v>
      </c>
      <c r="F182" s="52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2.5" customHeight="1">
      <c r="A183" s="47" t="s">
        <v>449</v>
      </c>
      <c r="B183" s="48" t="s">
        <v>68</v>
      </c>
      <c r="C183" s="61" t="s">
        <v>78</v>
      </c>
      <c r="D183" s="38" t="s">
        <v>172</v>
      </c>
      <c r="E183" s="52"/>
      <c r="F183" s="52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2.5" customHeight="1">
      <c r="A184" s="47" t="s">
        <v>450</v>
      </c>
      <c r="B184" s="48" t="s">
        <v>68</v>
      </c>
      <c r="C184" s="61" t="s">
        <v>78</v>
      </c>
      <c r="D184" s="38" t="s">
        <v>126</v>
      </c>
      <c r="E184" s="52"/>
      <c r="F184" s="52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2.5" customHeight="1">
      <c r="A185" s="47" t="s">
        <v>451</v>
      </c>
      <c r="B185" s="48" t="s">
        <v>68</v>
      </c>
      <c r="C185" s="61" t="s">
        <v>53</v>
      </c>
      <c r="D185" s="38" t="s">
        <v>452</v>
      </c>
      <c r="E185" s="52"/>
      <c r="F185" s="52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2.5" customHeight="1">
      <c r="A186" s="47" t="s">
        <v>453</v>
      </c>
      <c r="B186" s="48" t="s">
        <v>68</v>
      </c>
      <c r="C186" s="61" t="s">
        <v>454</v>
      </c>
      <c r="D186" s="52"/>
      <c r="E186" s="52"/>
      <c r="F186" s="52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2.5" customHeight="1">
      <c r="A187" s="47" t="s">
        <v>455</v>
      </c>
      <c r="B187" s="48" t="s">
        <v>68</v>
      </c>
      <c r="C187" s="61" t="s">
        <v>183</v>
      </c>
      <c r="D187" s="52"/>
      <c r="E187" s="52"/>
      <c r="F187" s="52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2.5" customHeight="1">
      <c r="A188" s="47" t="s">
        <v>456</v>
      </c>
      <c r="B188" s="48" t="s">
        <v>68</v>
      </c>
      <c r="C188" s="61" t="s">
        <v>93</v>
      </c>
      <c r="D188" s="38" t="s">
        <v>457</v>
      </c>
      <c r="E188" s="52"/>
      <c r="F188" s="52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2.5" customHeight="1">
      <c r="A189" s="47" t="s">
        <v>458</v>
      </c>
      <c r="B189" s="48" t="s">
        <v>68</v>
      </c>
      <c r="C189" s="61" t="s">
        <v>93</v>
      </c>
      <c r="D189" s="38" t="s">
        <v>156</v>
      </c>
      <c r="E189" s="38" t="s">
        <v>459</v>
      </c>
      <c r="F189" s="52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2.5" customHeight="1">
      <c r="A190" s="47" t="s">
        <v>460</v>
      </c>
      <c r="B190" s="48" t="s">
        <v>68</v>
      </c>
      <c r="C190" s="61" t="s">
        <v>197</v>
      </c>
      <c r="D190" s="38" t="s">
        <v>461</v>
      </c>
      <c r="E190" s="52"/>
      <c r="F190" s="52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2.5" customHeight="1">
      <c r="A191" s="47" t="s">
        <v>462</v>
      </c>
      <c r="B191" s="48" t="s">
        <v>68</v>
      </c>
      <c r="C191" s="61" t="s">
        <v>243</v>
      </c>
      <c r="D191" s="52"/>
      <c r="E191" s="52"/>
      <c r="F191" s="52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2.5" customHeight="1">
      <c r="A192" s="47" t="s">
        <v>463</v>
      </c>
      <c r="B192" s="48" t="s">
        <v>68</v>
      </c>
      <c r="C192" s="61" t="s">
        <v>78</v>
      </c>
      <c r="D192" s="38" t="s">
        <v>172</v>
      </c>
      <c r="E192" s="33"/>
      <c r="F192" s="52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2.5" customHeight="1">
      <c r="A193" s="47" t="s">
        <v>464</v>
      </c>
      <c r="B193" s="48" t="s">
        <v>68</v>
      </c>
      <c r="C193" s="61" t="s">
        <v>243</v>
      </c>
      <c r="D193" s="52"/>
      <c r="E193" s="52"/>
      <c r="F193" s="52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2.5" customHeight="1">
      <c r="A194" s="47" t="s">
        <v>465</v>
      </c>
      <c r="B194" s="48" t="s">
        <v>68</v>
      </c>
      <c r="C194" s="61" t="s">
        <v>204</v>
      </c>
      <c r="D194" s="52"/>
      <c r="E194" s="52"/>
      <c r="F194" s="52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2.5" customHeight="1">
      <c r="A195" s="47" t="s">
        <v>466</v>
      </c>
      <c r="B195" s="48" t="s">
        <v>68</v>
      </c>
      <c r="C195" s="61" t="s">
        <v>78</v>
      </c>
      <c r="D195" s="38" t="s">
        <v>467</v>
      </c>
      <c r="E195" s="52"/>
      <c r="F195" s="52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2.5" customHeight="1">
      <c r="A196" s="47" t="s">
        <v>468</v>
      </c>
      <c r="B196" s="48" t="s">
        <v>68</v>
      </c>
      <c r="C196" s="61" t="s">
        <v>93</v>
      </c>
      <c r="D196" s="38" t="s">
        <v>162</v>
      </c>
      <c r="E196" s="52"/>
      <c r="F196" s="52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2.5" customHeight="1">
      <c r="A197" s="47" t="s">
        <v>469</v>
      </c>
      <c r="B197" s="48" t="s">
        <v>68</v>
      </c>
      <c r="C197" s="61" t="s">
        <v>93</v>
      </c>
      <c r="D197" s="38" t="s">
        <v>470</v>
      </c>
      <c r="E197" s="52"/>
      <c r="F197" s="52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2.5" customHeight="1">
      <c r="A198" s="47" t="s">
        <v>472</v>
      </c>
      <c r="B198" s="48" t="s">
        <v>68</v>
      </c>
      <c r="C198" s="61" t="s">
        <v>140</v>
      </c>
      <c r="D198" s="52"/>
      <c r="E198" s="52"/>
      <c r="F198" s="52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2.5" customHeight="1">
      <c r="A199" s="47" t="s">
        <v>483</v>
      </c>
      <c r="B199" s="48" t="s">
        <v>68</v>
      </c>
      <c r="C199" s="61" t="s">
        <v>120</v>
      </c>
      <c r="D199" s="52"/>
      <c r="E199" s="52"/>
      <c r="F199" s="52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2.5" customHeight="1">
      <c r="A200" s="47" t="s">
        <v>485</v>
      </c>
      <c r="B200" s="48" t="s">
        <v>68</v>
      </c>
      <c r="C200" s="61" t="s">
        <v>243</v>
      </c>
      <c r="D200" s="52"/>
      <c r="E200" s="52"/>
      <c r="F200" s="52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2.5" customHeight="1">
      <c r="A201" s="47" t="s">
        <v>487</v>
      </c>
      <c r="B201" s="48" t="s">
        <v>68</v>
      </c>
      <c r="C201" s="61" t="s">
        <v>120</v>
      </c>
      <c r="D201" s="52"/>
      <c r="E201" s="52"/>
      <c r="F201" s="52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2.5" customHeight="1">
      <c r="A202" s="47" t="s">
        <v>490</v>
      </c>
      <c r="B202" s="48" t="s">
        <v>68</v>
      </c>
      <c r="C202" s="61" t="s">
        <v>134</v>
      </c>
      <c r="D202" s="52"/>
      <c r="E202" s="52"/>
      <c r="F202" s="52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2.5" customHeight="1">
      <c r="A203" s="47" t="s">
        <v>492</v>
      </c>
      <c r="B203" s="48" t="s">
        <v>68</v>
      </c>
      <c r="C203" s="61" t="s">
        <v>93</v>
      </c>
      <c r="D203" s="38" t="s">
        <v>144</v>
      </c>
      <c r="E203" s="52"/>
      <c r="F203" s="52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2.5" customHeight="1">
      <c r="A204" s="47" t="s">
        <v>494</v>
      </c>
      <c r="B204" s="48" t="s">
        <v>68</v>
      </c>
      <c r="C204" s="61" t="s">
        <v>93</v>
      </c>
      <c r="D204" s="38" t="s">
        <v>154</v>
      </c>
      <c r="E204" s="52"/>
      <c r="F204" s="52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2.5" customHeight="1">
      <c r="A205" s="47" t="s">
        <v>495</v>
      </c>
      <c r="B205" s="48" t="s">
        <v>68</v>
      </c>
      <c r="C205" s="61" t="s">
        <v>53</v>
      </c>
      <c r="D205" s="38" t="s">
        <v>360</v>
      </c>
      <c r="E205" s="52"/>
      <c r="F205" s="52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2.5" customHeight="1">
      <c r="A206" s="47" t="s">
        <v>496</v>
      </c>
      <c r="B206" s="48">
        <v>1.277192123E9</v>
      </c>
      <c r="C206" s="61" t="s">
        <v>53</v>
      </c>
      <c r="D206" s="38" t="s">
        <v>497</v>
      </c>
      <c r="E206" s="38" t="s">
        <v>498</v>
      </c>
      <c r="F206" s="52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2.5" customHeight="1">
      <c r="A207" s="47" t="s">
        <v>499</v>
      </c>
      <c r="B207" s="48" t="s">
        <v>68</v>
      </c>
      <c r="C207" s="61" t="s">
        <v>93</v>
      </c>
      <c r="D207" s="38" t="s">
        <v>156</v>
      </c>
      <c r="E207" s="52"/>
      <c r="F207" s="52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2.5" customHeight="1">
      <c r="A208" s="47" t="s">
        <v>502</v>
      </c>
      <c r="B208" s="48">
        <v>1.100030657E9</v>
      </c>
      <c r="C208" s="61" t="s">
        <v>93</v>
      </c>
      <c r="D208" s="38" t="s">
        <v>503</v>
      </c>
      <c r="E208" s="38" t="s">
        <v>504</v>
      </c>
      <c r="F208" s="52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2.5" customHeight="1">
      <c r="A209" s="47" t="s">
        <v>505</v>
      </c>
      <c r="B209" s="48" t="s">
        <v>68</v>
      </c>
      <c r="C209" s="61" t="s">
        <v>93</v>
      </c>
      <c r="D209" s="52"/>
      <c r="E209" s="38" t="s">
        <v>250</v>
      </c>
      <c r="F209" s="52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2.5" customHeight="1">
      <c r="A210" s="47" t="s">
        <v>506</v>
      </c>
      <c r="B210" s="48" t="s">
        <v>68</v>
      </c>
      <c r="C210" s="61" t="s">
        <v>164</v>
      </c>
      <c r="D210" s="52"/>
      <c r="E210" s="52"/>
      <c r="F210" s="52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2.5" customHeight="1">
      <c r="A211" s="47" t="s">
        <v>507</v>
      </c>
      <c r="B211" s="48" t="s">
        <v>68</v>
      </c>
      <c r="C211" s="61" t="s">
        <v>78</v>
      </c>
      <c r="D211" s="52"/>
      <c r="E211" s="38" t="s">
        <v>159</v>
      </c>
      <c r="F211" s="52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2.5" customHeight="1">
      <c r="A212" s="47" t="s">
        <v>511</v>
      </c>
      <c r="B212" s="48" t="s">
        <v>68</v>
      </c>
      <c r="C212" s="50" t="s">
        <v>68</v>
      </c>
      <c r="D212" s="52"/>
      <c r="E212" s="38" t="s">
        <v>53</v>
      </c>
      <c r="F212" s="52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2.5" customHeight="1">
      <c r="A213" s="47" t="s">
        <v>513</v>
      </c>
      <c r="B213" s="48">
        <v>1.001917805E9</v>
      </c>
      <c r="C213" s="61" t="s">
        <v>93</v>
      </c>
      <c r="D213" s="52"/>
      <c r="E213" s="38" t="s">
        <v>514</v>
      </c>
      <c r="F213" s="52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2.5" customHeight="1">
      <c r="A214" s="47" t="s">
        <v>515</v>
      </c>
      <c r="B214" s="48" t="s">
        <v>68</v>
      </c>
      <c r="C214" s="61" t="s">
        <v>183</v>
      </c>
      <c r="D214" s="52"/>
      <c r="E214" s="38" t="s">
        <v>188</v>
      </c>
      <c r="F214" s="52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2.5" customHeight="1">
      <c r="A215" s="47" t="s">
        <v>516</v>
      </c>
      <c r="B215" s="48" t="s">
        <v>68</v>
      </c>
      <c r="C215" s="61" t="s">
        <v>93</v>
      </c>
      <c r="D215" s="52"/>
      <c r="E215" s="38" t="s">
        <v>176</v>
      </c>
      <c r="F215" s="52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2.5" customHeight="1">
      <c r="A216" s="47" t="s">
        <v>517</v>
      </c>
      <c r="B216" s="48" t="s">
        <v>68</v>
      </c>
      <c r="C216" s="61" t="s">
        <v>93</v>
      </c>
      <c r="D216" s="38" t="s">
        <v>156</v>
      </c>
      <c r="E216" s="52"/>
      <c r="F216" s="52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2.5" customHeight="1">
      <c r="A217" s="47" t="s">
        <v>518</v>
      </c>
      <c r="B217" s="48" t="s">
        <v>68</v>
      </c>
      <c r="C217" s="61" t="s">
        <v>120</v>
      </c>
      <c r="D217" s="52"/>
      <c r="E217" s="52"/>
      <c r="F217" s="52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2.5" customHeight="1">
      <c r="A218" s="47" t="s">
        <v>519</v>
      </c>
      <c r="B218" s="48" t="s">
        <v>68</v>
      </c>
      <c r="C218" s="61" t="s">
        <v>243</v>
      </c>
      <c r="D218" s="52"/>
      <c r="E218" s="52"/>
      <c r="F218" s="52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2.5" customHeight="1">
      <c r="A219" s="47" t="s">
        <v>520</v>
      </c>
      <c r="B219" s="48" t="s">
        <v>68</v>
      </c>
      <c r="C219" s="61" t="s">
        <v>93</v>
      </c>
      <c r="D219" s="38" t="s">
        <v>156</v>
      </c>
      <c r="E219" s="52"/>
      <c r="F219" s="52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2.5" customHeight="1">
      <c r="A220" s="47" t="s">
        <v>521</v>
      </c>
      <c r="B220" s="48" t="s">
        <v>68</v>
      </c>
      <c r="C220" s="61" t="s">
        <v>78</v>
      </c>
      <c r="D220" s="52"/>
      <c r="E220" s="52"/>
      <c r="F220" s="52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2.5" customHeight="1">
      <c r="A221" s="47" t="s">
        <v>522</v>
      </c>
      <c r="B221" s="48" t="s">
        <v>68</v>
      </c>
      <c r="C221" s="61" t="s">
        <v>243</v>
      </c>
      <c r="D221" s="52"/>
      <c r="E221" s="52"/>
      <c r="F221" s="52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2.5" customHeight="1">
      <c r="A222" s="47" t="s">
        <v>523</v>
      </c>
      <c r="B222" s="48" t="s">
        <v>68</v>
      </c>
      <c r="C222" s="61" t="s">
        <v>93</v>
      </c>
      <c r="D222" s="38" t="s">
        <v>162</v>
      </c>
      <c r="E222" s="38" t="s">
        <v>358</v>
      </c>
      <c r="F222" s="52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2.5" customHeight="1">
      <c r="A223" s="47" t="s">
        <v>527</v>
      </c>
      <c r="B223" s="48" t="s">
        <v>68</v>
      </c>
      <c r="C223" s="61" t="s">
        <v>183</v>
      </c>
      <c r="D223" s="52"/>
      <c r="E223" s="38"/>
      <c r="F223" s="52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2.5" customHeight="1">
      <c r="A224" s="47" t="s">
        <v>530</v>
      </c>
      <c r="B224" s="48" t="s">
        <v>68</v>
      </c>
      <c r="C224" s="61" t="s">
        <v>531</v>
      </c>
      <c r="D224" s="52"/>
      <c r="E224" s="38"/>
      <c r="F224" s="52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2.5" customHeight="1">
      <c r="A225" s="47" t="s">
        <v>532</v>
      </c>
      <c r="B225" s="48" t="s">
        <v>68</v>
      </c>
      <c r="C225" s="61" t="s">
        <v>183</v>
      </c>
      <c r="D225" s="52"/>
      <c r="E225" s="38"/>
      <c r="F225" s="52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2.5" customHeight="1">
      <c r="A226" s="47" t="s">
        <v>533</v>
      </c>
      <c r="B226" s="48" t="s">
        <v>68</v>
      </c>
      <c r="C226" s="61" t="s">
        <v>93</v>
      </c>
      <c r="D226" s="38" t="s">
        <v>154</v>
      </c>
      <c r="E226" s="52"/>
      <c r="F226" s="52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2.5" customHeight="1">
      <c r="A227" s="47" t="s">
        <v>534</v>
      </c>
      <c r="B227" s="48" t="s">
        <v>68</v>
      </c>
      <c r="C227" s="61" t="s">
        <v>120</v>
      </c>
      <c r="D227" s="52"/>
      <c r="E227" s="52"/>
      <c r="F227" s="52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2.5" customHeight="1">
      <c r="A228" s="47" t="s">
        <v>535</v>
      </c>
      <c r="B228" s="48" t="s">
        <v>68</v>
      </c>
      <c r="C228" s="61" t="s">
        <v>120</v>
      </c>
      <c r="D228" s="52"/>
      <c r="E228" s="52"/>
      <c r="F228" s="52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2.5" customHeight="1">
      <c r="A229" s="47" t="s">
        <v>536</v>
      </c>
      <c r="B229" s="48" t="s">
        <v>68</v>
      </c>
      <c r="C229" s="61" t="s">
        <v>93</v>
      </c>
      <c r="D229" s="38" t="s">
        <v>309</v>
      </c>
      <c r="E229" s="52"/>
      <c r="F229" s="52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2.5" customHeight="1">
      <c r="A230" s="47" t="s">
        <v>543</v>
      </c>
      <c r="B230" s="48" t="s">
        <v>68</v>
      </c>
      <c r="C230" s="61" t="s">
        <v>204</v>
      </c>
      <c r="D230" s="52"/>
      <c r="E230" s="52"/>
      <c r="F230" s="52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2.5" customHeight="1">
      <c r="A231" s="47" t="s">
        <v>544</v>
      </c>
      <c r="B231" s="48" t="s">
        <v>68</v>
      </c>
      <c r="C231" s="61" t="s">
        <v>243</v>
      </c>
      <c r="D231" s="52"/>
      <c r="E231" s="52"/>
      <c r="F231" s="52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2.5" customHeight="1">
      <c r="A232" s="47" t="s">
        <v>545</v>
      </c>
      <c r="B232" s="48" t="s">
        <v>68</v>
      </c>
      <c r="C232" s="61" t="s">
        <v>53</v>
      </c>
      <c r="D232" s="38" t="s">
        <v>360</v>
      </c>
      <c r="E232" s="38" t="s">
        <v>53</v>
      </c>
      <c r="F232" s="52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2.5" customHeight="1">
      <c r="A233" s="47" t="s">
        <v>547</v>
      </c>
      <c r="B233" s="48" t="s">
        <v>68</v>
      </c>
      <c r="C233" s="61" t="s">
        <v>93</v>
      </c>
      <c r="D233" s="52"/>
      <c r="E233" s="38" t="s">
        <v>548</v>
      </c>
      <c r="F233" s="52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2.5" customHeight="1">
      <c r="A234" s="47" t="s">
        <v>550</v>
      </c>
      <c r="B234" s="48" t="s">
        <v>68</v>
      </c>
      <c r="C234" s="61" t="s">
        <v>93</v>
      </c>
      <c r="D234" s="38" t="s">
        <v>94</v>
      </c>
      <c r="E234" s="52"/>
      <c r="F234" s="52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2.5" customHeight="1">
      <c r="A235" s="47" t="s">
        <v>552</v>
      </c>
      <c r="B235" s="48">
        <v>1.01505725E9</v>
      </c>
      <c r="C235" s="50" t="s">
        <v>68</v>
      </c>
      <c r="D235" s="52"/>
      <c r="E235" s="52"/>
      <c r="F235" s="52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2.5" customHeight="1">
      <c r="A236" s="47" t="s">
        <v>555</v>
      </c>
      <c r="B236" s="48" t="s">
        <v>68</v>
      </c>
      <c r="C236" s="61" t="s">
        <v>243</v>
      </c>
      <c r="D236" s="52"/>
      <c r="E236" s="52"/>
      <c r="F236" s="52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2.5" customHeight="1">
      <c r="A237" s="47" t="s">
        <v>556</v>
      </c>
      <c r="B237" s="48">
        <v>1.270668892E9</v>
      </c>
      <c r="C237" s="61" t="s">
        <v>183</v>
      </c>
      <c r="D237" s="38" t="s">
        <v>557</v>
      </c>
      <c r="E237" s="38" t="s">
        <v>558</v>
      </c>
      <c r="F237" s="52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2.5" customHeight="1">
      <c r="A238" s="47" t="s">
        <v>560</v>
      </c>
      <c r="B238" s="48">
        <v>1.228048884E9</v>
      </c>
      <c r="C238" s="61" t="s">
        <v>93</v>
      </c>
      <c r="D238" s="38" t="s">
        <v>154</v>
      </c>
      <c r="E238" s="38" t="s">
        <v>561</v>
      </c>
      <c r="F238" s="52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2.5" customHeight="1">
      <c r="A239" s="47" t="s">
        <v>563</v>
      </c>
      <c r="B239" s="48">
        <v>1.281213583E9</v>
      </c>
      <c r="C239" s="61" t="s">
        <v>243</v>
      </c>
      <c r="D239" s="52"/>
      <c r="E239" s="38" t="s">
        <v>565</v>
      </c>
      <c r="F239" s="52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2.5" customHeight="1">
      <c r="A240" s="47" t="s">
        <v>566</v>
      </c>
      <c r="B240" s="48">
        <v>1.228780841E9</v>
      </c>
      <c r="C240" s="61" t="s">
        <v>368</v>
      </c>
      <c r="D240" s="52"/>
      <c r="E240" s="38" t="s">
        <v>567</v>
      </c>
      <c r="F240" s="52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2.5" customHeight="1">
      <c r="A241" s="47" t="s">
        <v>569</v>
      </c>
      <c r="B241" s="48">
        <v>1.210665338E9</v>
      </c>
      <c r="C241" s="61" t="s">
        <v>93</v>
      </c>
      <c r="D241" s="52"/>
      <c r="E241" s="38" t="s">
        <v>571</v>
      </c>
      <c r="F241" s="52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2.5" customHeight="1">
      <c r="A242" s="47" t="s">
        <v>575</v>
      </c>
      <c r="B242" s="48">
        <v>1.225568706E9</v>
      </c>
      <c r="C242" s="61" t="s">
        <v>183</v>
      </c>
      <c r="D242" s="52"/>
      <c r="E242" s="38" t="s">
        <v>576</v>
      </c>
      <c r="F242" s="52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2.5" customHeight="1">
      <c r="A243" s="47" t="s">
        <v>577</v>
      </c>
      <c r="B243" s="48">
        <v>1.208360169E9</v>
      </c>
      <c r="C243" s="61" t="s">
        <v>120</v>
      </c>
      <c r="D243" s="52"/>
      <c r="E243" s="38" t="s">
        <v>578</v>
      </c>
      <c r="F243" s="52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2.5" customHeight="1">
      <c r="A244" s="47" t="s">
        <v>581</v>
      </c>
      <c r="B244" s="48">
        <v>1.224327593E9</v>
      </c>
      <c r="C244" s="61" t="s">
        <v>202</v>
      </c>
      <c r="D244" s="52"/>
      <c r="E244" s="38" t="s">
        <v>582</v>
      </c>
      <c r="F244" s="52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2.5" customHeight="1">
      <c r="A245" s="47" t="s">
        <v>584</v>
      </c>
      <c r="B245" s="48">
        <v>1.22004749E9</v>
      </c>
      <c r="C245" s="61" t="s">
        <v>93</v>
      </c>
      <c r="D245" s="38" t="s">
        <v>131</v>
      </c>
      <c r="E245" s="38" t="s">
        <v>585</v>
      </c>
      <c r="F245" s="52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2.5" customHeight="1">
      <c r="A246" s="47" t="s">
        <v>587</v>
      </c>
      <c r="B246" s="48">
        <v>1.206954776E9</v>
      </c>
      <c r="C246" s="61" t="s">
        <v>425</v>
      </c>
      <c r="D246" s="52"/>
      <c r="E246" s="38" t="s">
        <v>589</v>
      </c>
      <c r="F246" s="52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2.5" customHeight="1">
      <c r="A247" s="47" t="s">
        <v>592</v>
      </c>
      <c r="B247" s="48">
        <v>1.275566961E9</v>
      </c>
      <c r="C247" s="50" t="s">
        <v>68</v>
      </c>
      <c r="D247" s="52"/>
      <c r="E247" s="38"/>
      <c r="F247" s="52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2.5" customHeight="1">
      <c r="A248" s="47" t="s">
        <v>595</v>
      </c>
      <c r="B248" s="48">
        <v>1.007076232E9</v>
      </c>
      <c r="C248" s="61" t="s">
        <v>183</v>
      </c>
      <c r="D248" s="52"/>
      <c r="E248" s="38" t="s">
        <v>596</v>
      </c>
      <c r="F248" s="52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2.5" customHeight="1">
      <c r="A249" s="47" t="s">
        <v>597</v>
      </c>
      <c r="B249" s="48">
        <v>1.222865561E9</v>
      </c>
      <c r="C249" s="61" t="s">
        <v>93</v>
      </c>
      <c r="D249" s="38" t="s">
        <v>588</v>
      </c>
      <c r="E249" s="38" t="s">
        <v>598</v>
      </c>
      <c r="F249" s="52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2.5" customHeight="1">
      <c r="A250" s="47" t="s">
        <v>600</v>
      </c>
      <c r="B250" s="48">
        <v>1.225059966E9</v>
      </c>
      <c r="C250" s="61" t="s">
        <v>93</v>
      </c>
      <c r="D250" s="38" t="s">
        <v>156</v>
      </c>
      <c r="E250" s="38" t="s">
        <v>601</v>
      </c>
      <c r="F250" s="52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2.5" customHeight="1">
      <c r="A251" s="47" t="s">
        <v>603</v>
      </c>
      <c r="B251" s="48">
        <v>1.285117747E9</v>
      </c>
      <c r="C251" s="61" t="s">
        <v>183</v>
      </c>
      <c r="D251" s="52"/>
      <c r="E251" s="38" t="s">
        <v>606</v>
      </c>
      <c r="F251" s="5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2.5" customHeight="1">
      <c r="A252" s="47" t="s">
        <v>609</v>
      </c>
      <c r="B252" s="48">
        <v>1.227049459E9</v>
      </c>
      <c r="C252" s="61" t="s">
        <v>93</v>
      </c>
      <c r="D252" s="38" t="s">
        <v>154</v>
      </c>
      <c r="E252" s="38" t="s">
        <v>610</v>
      </c>
      <c r="F252" s="52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2.5" customHeight="1">
      <c r="A253" s="47" t="s">
        <v>611</v>
      </c>
      <c r="B253" s="48">
        <v>1.066542381E9</v>
      </c>
      <c r="C253" s="61" t="s">
        <v>93</v>
      </c>
      <c r="D253" s="38" t="s">
        <v>612</v>
      </c>
      <c r="E253" s="38" t="s">
        <v>613</v>
      </c>
      <c r="F253" s="52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2.5" customHeight="1">
      <c r="A254" s="47" t="s">
        <v>615</v>
      </c>
      <c r="B254" s="48">
        <v>1.283946493E9</v>
      </c>
      <c r="C254" s="61" t="s">
        <v>183</v>
      </c>
      <c r="D254" s="38" t="s">
        <v>618</v>
      </c>
      <c r="E254" s="38" t="s">
        <v>619</v>
      </c>
      <c r="F254" s="52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2.5" customHeight="1">
      <c r="A255" s="47" t="s">
        <v>623</v>
      </c>
      <c r="B255" s="48">
        <v>1.226304875E9</v>
      </c>
      <c r="C255" s="50" t="s">
        <v>68</v>
      </c>
      <c r="D255" s="52"/>
      <c r="E255" s="38"/>
      <c r="F255" s="52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2.5" customHeight="1">
      <c r="A256" s="47" t="s">
        <v>629</v>
      </c>
      <c r="B256" s="48">
        <v>1.283388199E9</v>
      </c>
      <c r="C256" s="61" t="s">
        <v>93</v>
      </c>
      <c r="D256" s="38" t="s">
        <v>94</v>
      </c>
      <c r="E256" s="38" t="s">
        <v>631</v>
      </c>
      <c r="F256" s="52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2.5" customHeight="1">
      <c r="A257" s="47" t="s">
        <v>635</v>
      </c>
      <c r="B257" s="48">
        <v>1.061823414E9</v>
      </c>
      <c r="C257" s="61" t="s">
        <v>454</v>
      </c>
      <c r="D257" s="52"/>
      <c r="E257" s="38" t="s">
        <v>636</v>
      </c>
      <c r="F257" s="52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2.5" customHeight="1">
      <c r="A258" s="47" t="s">
        <v>637</v>
      </c>
      <c r="B258" s="48">
        <v>1.011568562E9</v>
      </c>
      <c r="C258" s="61" t="s">
        <v>93</v>
      </c>
      <c r="D258" s="38" t="s">
        <v>148</v>
      </c>
      <c r="E258" s="38" t="s">
        <v>639</v>
      </c>
      <c r="F258" s="52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2.5" customHeight="1">
      <c r="A259" s="47" t="s">
        <v>642</v>
      </c>
      <c r="B259" s="48">
        <v>1.013785972E9</v>
      </c>
      <c r="C259" s="61" t="s">
        <v>93</v>
      </c>
      <c r="D259" s="38" t="s">
        <v>588</v>
      </c>
      <c r="E259" s="38" t="s">
        <v>643</v>
      </c>
      <c r="F259" s="52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2.5" customHeight="1">
      <c r="A260" s="47" t="s">
        <v>647</v>
      </c>
      <c r="B260" s="48">
        <v>1.224213009E9</v>
      </c>
      <c r="C260" s="61" t="s">
        <v>183</v>
      </c>
      <c r="D260" s="38" t="s">
        <v>649</v>
      </c>
      <c r="E260" s="38"/>
      <c r="F260" s="52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2.5" customHeight="1">
      <c r="A261" s="47" t="s">
        <v>652</v>
      </c>
      <c r="B261" s="48">
        <v>1.271089006E9</v>
      </c>
      <c r="C261" s="61" t="s">
        <v>93</v>
      </c>
      <c r="D261" s="52"/>
      <c r="E261" s="38" t="s">
        <v>654</v>
      </c>
      <c r="F261" s="52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2.5" customHeight="1">
      <c r="A262" s="47" t="s">
        <v>656</v>
      </c>
      <c r="B262" s="48">
        <v>1.002474525E9</v>
      </c>
      <c r="C262" s="61" t="s">
        <v>93</v>
      </c>
      <c r="D262" s="52"/>
      <c r="E262" s="38" t="s">
        <v>657</v>
      </c>
      <c r="F262" s="52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2.5" customHeight="1">
      <c r="A263" s="47" t="s">
        <v>659</v>
      </c>
      <c r="B263" s="48">
        <v>1.224911235E9</v>
      </c>
      <c r="C263" s="61" t="s">
        <v>93</v>
      </c>
      <c r="D263" s="38" t="s">
        <v>309</v>
      </c>
      <c r="E263" s="38" t="s">
        <v>660</v>
      </c>
      <c r="F263" s="52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2.5" customHeight="1">
      <c r="A264" s="47" t="s">
        <v>661</v>
      </c>
      <c r="B264" s="48">
        <v>1.222213881E9</v>
      </c>
      <c r="C264" s="61" t="s">
        <v>78</v>
      </c>
      <c r="D264" s="38" t="s">
        <v>172</v>
      </c>
      <c r="E264" s="38" t="s">
        <v>662</v>
      </c>
      <c r="F264" s="52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2.5" customHeight="1">
      <c r="A265" s="47" t="s">
        <v>663</v>
      </c>
      <c r="B265" s="48">
        <v>1.008175944E9</v>
      </c>
      <c r="C265" s="61" t="s">
        <v>120</v>
      </c>
      <c r="D265" s="52"/>
      <c r="E265" s="52"/>
      <c r="F265" s="52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2.5" customHeight="1">
      <c r="A266" s="47" t="s">
        <v>664</v>
      </c>
      <c r="B266" s="48">
        <v>1.278443951E9</v>
      </c>
      <c r="C266" s="61" t="s">
        <v>78</v>
      </c>
      <c r="D266" s="38" t="s">
        <v>665</v>
      </c>
      <c r="E266" s="38" t="s">
        <v>666</v>
      </c>
      <c r="F266" s="52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2.5" customHeight="1">
      <c r="A267" s="47" t="s">
        <v>667</v>
      </c>
      <c r="B267" s="48">
        <v>1.22319171E9</v>
      </c>
      <c r="C267" s="61" t="s">
        <v>93</v>
      </c>
      <c r="D267" s="38" t="s">
        <v>309</v>
      </c>
      <c r="E267" s="38" t="s">
        <v>668</v>
      </c>
      <c r="F267" s="52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2.5" customHeight="1">
      <c r="A268" s="273" t="s">
        <v>342</v>
      </c>
      <c r="B268" s="274">
        <v>1.277114313E9</v>
      </c>
      <c r="C268" s="275" t="s">
        <v>68</v>
      </c>
      <c r="D268" s="276"/>
      <c r="E268" s="276" t="s">
        <v>228</v>
      </c>
      <c r="F268" s="27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2.5" customHeight="1">
      <c r="A269" s="273" t="s">
        <v>669</v>
      </c>
      <c r="B269" s="274">
        <v>1.285130625E9</v>
      </c>
      <c r="C269" s="275" t="s">
        <v>68</v>
      </c>
      <c r="D269" s="276"/>
      <c r="E269" s="276" t="s">
        <v>53</v>
      </c>
      <c r="F269" s="27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2.5" customHeight="1">
      <c r="A270" s="273" t="s">
        <v>670</v>
      </c>
      <c r="B270" s="274">
        <v>1.007076232E9</v>
      </c>
      <c r="C270" s="275" t="s">
        <v>68</v>
      </c>
      <c r="D270" s="276"/>
      <c r="E270" s="276" t="s">
        <v>625</v>
      </c>
      <c r="F270" s="27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2.5" customHeight="1">
      <c r="A271" s="273" t="s">
        <v>672</v>
      </c>
      <c r="B271" s="274">
        <v>1.225276756E9</v>
      </c>
      <c r="C271" s="275" t="s">
        <v>68</v>
      </c>
      <c r="D271" s="276"/>
      <c r="E271" s="276" t="s">
        <v>109</v>
      </c>
      <c r="F271" s="27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2.5" customHeight="1">
      <c r="A272" s="273" t="s">
        <v>597</v>
      </c>
      <c r="B272" s="274">
        <v>1.222865561E9</v>
      </c>
      <c r="C272" s="275" t="s">
        <v>68</v>
      </c>
      <c r="D272" s="276"/>
      <c r="E272" s="276" t="s">
        <v>588</v>
      </c>
      <c r="F272" s="27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2.5" customHeight="1">
      <c r="A273" s="273" t="s">
        <v>673</v>
      </c>
      <c r="B273" s="274">
        <v>1.227620985E9</v>
      </c>
      <c r="C273" s="275" t="s">
        <v>68</v>
      </c>
      <c r="D273" s="276"/>
      <c r="E273" s="276" t="s">
        <v>645</v>
      </c>
      <c r="F273" s="27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2.5" customHeight="1">
      <c r="A274" s="273" t="s">
        <v>677</v>
      </c>
      <c r="B274" s="274">
        <v>1.225059966E9</v>
      </c>
      <c r="C274" s="275" t="s">
        <v>68</v>
      </c>
      <c r="D274" s="276"/>
      <c r="E274" s="276" t="s">
        <v>156</v>
      </c>
      <c r="F274" s="27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2.5" customHeight="1">
      <c r="A275" s="273" t="s">
        <v>679</v>
      </c>
      <c r="B275" s="274">
        <v>1.225238343E9</v>
      </c>
      <c r="C275" s="275" t="s">
        <v>68</v>
      </c>
      <c r="D275" s="276"/>
      <c r="E275" s="276" t="s">
        <v>614</v>
      </c>
      <c r="F275" s="27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2.5" customHeight="1">
      <c r="A276" s="273" t="s">
        <v>680</v>
      </c>
      <c r="B276" s="274">
        <v>1.228744173E9</v>
      </c>
      <c r="C276" s="275" t="s">
        <v>68</v>
      </c>
      <c r="D276" s="276"/>
      <c r="E276" s="276" t="s">
        <v>454</v>
      </c>
      <c r="F276" s="27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2.5" customHeight="1">
      <c r="A277" s="273" t="s">
        <v>683</v>
      </c>
      <c r="B277" s="274">
        <v>1.066542381E9</v>
      </c>
      <c r="C277" s="275" t="s">
        <v>68</v>
      </c>
      <c r="D277" s="276"/>
      <c r="E277" s="276" t="s">
        <v>612</v>
      </c>
      <c r="F277" s="27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2.5" customHeight="1">
      <c r="A278" s="273" t="s">
        <v>685</v>
      </c>
      <c r="B278" s="274">
        <v>1.280182868E9</v>
      </c>
      <c r="C278" s="275" t="s">
        <v>68</v>
      </c>
      <c r="D278" s="276"/>
      <c r="E278" s="276" t="s">
        <v>428</v>
      </c>
      <c r="F278" s="27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2.5" customHeight="1">
      <c r="A279" s="273" t="s">
        <v>688</v>
      </c>
      <c r="B279" s="274">
        <v>1.274541584E9</v>
      </c>
      <c r="C279" s="275" t="s">
        <v>68</v>
      </c>
      <c r="D279" s="276"/>
      <c r="E279" s="276" t="s">
        <v>78</v>
      </c>
      <c r="F279" s="27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2.5" customHeight="1">
      <c r="A280" s="273" t="s">
        <v>689</v>
      </c>
      <c r="B280" s="274">
        <v>1.285175611E9</v>
      </c>
      <c r="C280" s="275" t="s">
        <v>68</v>
      </c>
      <c r="D280" s="276"/>
      <c r="E280" s="276" t="s">
        <v>274</v>
      </c>
      <c r="F280" s="27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2.5" customHeight="1">
      <c r="A281" s="273" t="s">
        <v>690</v>
      </c>
      <c r="B281" s="274">
        <v>1.276487681E9</v>
      </c>
      <c r="C281" s="275" t="s">
        <v>68</v>
      </c>
      <c r="D281" s="276"/>
      <c r="E281" s="276" t="s">
        <v>159</v>
      </c>
      <c r="F281" s="27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2.5" customHeight="1">
      <c r="A282" s="273" t="s">
        <v>700</v>
      </c>
      <c r="B282" s="274">
        <v>1.285809383E9</v>
      </c>
      <c r="C282" s="275" t="s">
        <v>68</v>
      </c>
      <c r="D282" s="276"/>
      <c r="E282" s="276" t="s">
        <v>148</v>
      </c>
      <c r="F282" s="27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2.5" customHeight="1">
      <c r="A283" s="273" t="s">
        <v>701</v>
      </c>
      <c r="B283" s="274">
        <v>1.223610513E9</v>
      </c>
      <c r="C283" s="275" t="s">
        <v>68</v>
      </c>
      <c r="D283" s="276"/>
      <c r="E283" s="276" t="s">
        <v>188</v>
      </c>
      <c r="F283" s="27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2.5" customHeight="1">
      <c r="A284" s="273" t="s">
        <v>704</v>
      </c>
      <c r="B284" s="274">
        <v>1.288835563E9</v>
      </c>
      <c r="C284" s="275" t="s">
        <v>68</v>
      </c>
      <c r="D284" s="276"/>
      <c r="E284" s="276" t="s">
        <v>626</v>
      </c>
      <c r="F284" s="27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2.5" customHeight="1">
      <c r="A285" s="273" t="s">
        <v>706</v>
      </c>
      <c r="B285" s="274">
        <v>1.022637568E9</v>
      </c>
      <c r="C285" s="275" t="s">
        <v>68</v>
      </c>
      <c r="D285" s="276"/>
      <c r="E285" s="276" t="s">
        <v>593</v>
      </c>
      <c r="F285" s="27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2.5" customHeight="1">
      <c r="A286" s="273" t="s">
        <v>709</v>
      </c>
      <c r="B286" s="274">
        <v>1.285251725E9</v>
      </c>
      <c r="C286" s="275" t="s">
        <v>68</v>
      </c>
      <c r="D286" s="276"/>
      <c r="E286" s="276" t="s">
        <v>627</v>
      </c>
      <c r="F286" s="27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2.5" customHeight="1">
      <c r="A287" s="273" t="s">
        <v>715</v>
      </c>
      <c r="B287" s="274" t="s">
        <v>68</v>
      </c>
      <c r="C287" s="275" t="s">
        <v>68</v>
      </c>
      <c r="D287" s="276"/>
      <c r="E287" s="276" t="s">
        <v>53</v>
      </c>
      <c r="F287" s="27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2.5" customHeight="1">
      <c r="A288" s="273" t="s">
        <v>721</v>
      </c>
      <c r="B288" s="274" t="s">
        <v>68</v>
      </c>
      <c r="C288" s="275" t="s">
        <v>68</v>
      </c>
      <c r="D288" s="276"/>
      <c r="E288" s="276" t="s">
        <v>360</v>
      </c>
      <c r="F288" s="27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2.5" customHeight="1">
      <c r="A289" s="273" t="s">
        <v>728</v>
      </c>
      <c r="B289" s="274" t="s">
        <v>68</v>
      </c>
      <c r="C289" s="275" t="s">
        <v>68</v>
      </c>
      <c r="D289" s="276"/>
      <c r="E289" s="276" t="s">
        <v>53</v>
      </c>
      <c r="F289" s="27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2.5" customHeight="1">
      <c r="A290" s="273" t="s">
        <v>734</v>
      </c>
      <c r="B290" s="274" t="s">
        <v>68</v>
      </c>
      <c r="C290" s="275" t="s">
        <v>68</v>
      </c>
      <c r="D290" s="276"/>
      <c r="E290" s="276" t="s">
        <v>638</v>
      </c>
      <c r="F290" s="27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2.5" customHeight="1">
      <c r="A291" s="273" t="s">
        <v>739</v>
      </c>
      <c r="B291" s="274" t="s">
        <v>68</v>
      </c>
      <c r="C291" s="275" t="s">
        <v>68</v>
      </c>
      <c r="D291" s="276"/>
      <c r="E291" s="276" t="s">
        <v>78</v>
      </c>
      <c r="F291" s="27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2.5" customHeight="1">
      <c r="A292" s="273" t="s">
        <v>746</v>
      </c>
      <c r="B292" s="274" t="s">
        <v>68</v>
      </c>
      <c r="C292" s="275" t="s">
        <v>68</v>
      </c>
      <c r="D292" s="276"/>
      <c r="E292" s="276" t="s">
        <v>470</v>
      </c>
      <c r="F292" s="27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2.5" customHeight="1">
      <c r="A293" s="273" t="s">
        <v>752</v>
      </c>
      <c r="B293" s="274">
        <v>1.013785972E9</v>
      </c>
      <c r="C293" s="275" t="s">
        <v>68</v>
      </c>
      <c r="D293" s="276"/>
      <c r="E293" s="276" t="s">
        <v>588</v>
      </c>
      <c r="F293" s="27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2.5" customHeight="1">
      <c r="A294" s="273" t="s">
        <v>761</v>
      </c>
      <c r="B294" s="274">
        <v>1.552472885E9</v>
      </c>
      <c r="C294" s="275" t="s">
        <v>68</v>
      </c>
      <c r="D294" s="276"/>
      <c r="E294" s="276" t="s">
        <v>574</v>
      </c>
      <c r="F294" s="27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2.5" customHeight="1">
      <c r="A295" s="273" t="s">
        <v>765</v>
      </c>
      <c r="B295" s="274">
        <v>1.28488439E9</v>
      </c>
      <c r="C295" s="275" t="s">
        <v>68</v>
      </c>
      <c r="D295" s="276"/>
      <c r="E295" s="276" t="s">
        <v>156</v>
      </c>
      <c r="F295" s="27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2.5" customHeight="1">
      <c r="A296" s="273" t="s">
        <v>769</v>
      </c>
      <c r="B296" s="274">
        <v>1.272727208E9</v>
      </c>
      <c r="C296" s="275" t="s">
        <v>68</v>
      </c>
      <c r="D296" s="276"/>
      <c r="E296" s="276" t="s">
        <v>213</v>
      </c>
      <c r="F296" s="27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2.5" customHeight="1">
      <c r="A297" s="273" t="s">
        <v>773</v>
      </c>
      <c r="B297" s="274">
        <v>1.223412309E9</v>
      </c>
      <c r="C297" s="275" t="s">
        <v>68</v>
      </c>
      <c r="D297" s="276"/>
      <c r="E297" s="276" t="s">
        <v>641</v>
      </c>
      <c r="F297" s="27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2.5" customHeight="1">
      <c r="A298" s="273" t="s">
        <v>777</v>
      </c>
      <c r="B298" s="274">
        <v>1.220471589E9</v>
      </c>
      <c r="C298" s="275" t="s">
        <v>68</v>
      </c>
      <c r="D298" s="276"/>
      <c r="E298" s="276" t="s">
        <v>188</v>
      </c>
      <c r="F298" s="27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2.5" customHeight="1">
      <c r="A299" s="273" t="s">
        <v>782</v>
      </c>
      <c r="B299" s="274" t="s">
        <v>68</v>
      </c>
      <c r="C299" s="275" t="s">
        <v>68</v>
      </c>
      <c r="D299" s="276"/>
      <c r="E299" s="276" t="s">
        <v>53</v>
      </c>
      <c r="F299" s="27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2.5" customHeight="1">
      <c r="A300" s="273" t="s">
        <v>788</v>
      </c>
      <c r="B300" s="274">
        <v>1.205500703E9</v>
      </c>
      <c r="C300" s="275" t="s">
        <v>68</v>
      </c>
      <c r="D300" s="276"/>
      <c r="E300" s="276" t="s">
        <v>57</v>
      </c>
      <c r="F300" s="27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2.5" customHeight="1">
      <c r="A301" s="273" t="s">
        <v>791</v>
      </c>
      <c r="B301" s="274" t="s">
        <v>68</v>
      </c>
      <c r="C301" s="275" t="s">
        <v>68</v>
      </c>
      <c r="D301" s="276"/>
      <c r="E301" s="276"/>
      <c r="F301" s="27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2.5" customHeight="1">
      <c r="A302" s="273" t="s">
        <v>796</v>
      </c>
      <c r="B302" s="274" t="s">
        <v>68</v>
      </c>
      <c r="C302" s="275" t="s">
        <v>68</v>
      </c>
      <c r="D302" s="276"/>
      <c r="E302" s="276"/>
      <c r="F302" s="27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2.5" customHeight="1">
      <c r="A303" s="273" t="s">
        <v>800</v>
      </c>
      <c r="B303" s="274">
        <v>1.277192123E9</v>
      </c>
      <c r="C303" s="275" t="s">
        <v>68</v>
      </c>
      <c r="D303" s="276"/>
      <c r="E303" s="276" t="s">
        <v>497</v>
      </c>
      <c r="F303" s="27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2.5" customHeight="1">
      <c r="A304" s="273" t="s">
        <v>513</v>
      </c>
      <c r="B304" s="274">
        <v>1.001917805E9</v>
      </c>
      <c r="C304" s="275" t="s">
        <v>68</v>
      </c>
      <c r="D304" s="276"/>
      <c r="E304" s="276" t="s">
        <v>580</v>
      </c>
      <c r="F304" s="27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2.5" customHeight="1">
      <c r="A305" s="273" t="s">
        <v>808</v>
      </c>
      <c r="B305" s="274">
        <v>1.211098386E9</v>
      </c>
      <c r="C305" s="275" t="s">
        <v>68</v>
      </c>
      <c r="D305" s="276"/>
      <c r="E305" s="276" t="s">
        <v>586</v>
      </c>
      <c r="F305" s="27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2.5" customHeight="1">
      <c r="A306" s="273" t="s">
        <v>814</v>
      </c>
      <c r="B306" s="274">
        <v>1.287393031E9</v>
      </c>
      <c r="C306" s="275" t="s">
        <v>68</v>
      </c>
      <c r="D306" s="276"/>
      <c r="E306" s="276" t="s">
        <v>574</v>
      </c>
      <c r="F306" s="27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2.5" customHeight="1">
      <c r="A307" s="273" t="s">
        <v>819</v>
      </c>
      <c r="B307" s="274">
        <v>1.201178823E9</v>
      </c>
      <c r="C307" s="275" t="s">
        <v>68</v>
      </c>
      <c r="D307" s="276"/>
      <c r="E307" s="276" t="s">
        <v>154</v>
      </c>
      <c r="F307" s="27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2.5" customHeight="1">
      <c r="A308" s="273" t="s">
        <v>822</v>
      </c>
      <c r="B308" s="274">
        <v>1.22711212E9</v>
      </c>
      <c r="C308" s="275" t="s">
        <v>68</v>
      </c>
      <c r="D308" s="276"/>
      <c r="E308" s="276" t="s">
        <v>622</v>
      </c>
      <c r="F308" s="27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2.5" customHeight="1">
      <c r="A309" s="273" t="s">
        <v>829</v>
      </c>
      <c r="B309" s="274">
        <v>1.020149364E9</v>
      </c>
      <c r="C309" s="275" t="s">
        <v>68</v>
      </c>
      <c r="D309" s="276"/>
      <c r="E309" s="276" t="s">
        <v>602</v>
      </c>
      <c r="F309" s="27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2.5" customHeight="1">
      <c r="A310" s="273" t="s">
        <v>833</v>
      </c>
      <c r="B310" s="274">
        <v>1.284451453E9</v>
      </c>
      <c r="C310" s="275" t="s">
        <v>68</v>
      </c>
      <c r="D310" s="276"/>
      <c r="E310" s="276" t="s">
        <v>632</v>
      </c>
      <c r="F310" s="27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2.5" customHeight="1">
      <c r="A311" s="273" t="s">
        <v>839</v>
      </c>
      <c r="B311" s="274">
        <v>1.229620009E9</v>
      </c>
      <c r="C311" s="275" t="s">
        <v>68</v>
      </c>
      <c r="D311" s="276"/>
      <c r="E311" s="276" t="s">
        <v>616</v>
      </c>
      <c r="F311" s="27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2.5" customHeight="1">
      <c r="A312" s="273" t="s">
        <v>844</v>
      </c>
      <c r="B312" s="274">
        <v>1.279406075E9</v>
      </c>
      <c r="C312" s="275" t="s">
        <v>68</v>
      </c>
      <c r="D312" s="276"/>
      <c r="E312" s="276" t="s">
        <v>188</v>
      </c>
      <c r="F312" s="27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2.5" customHeight="1">
      <c r="A313" s="273" t="s">
        <v>849</v>
      </c>
      <c r="B313" s="274">
        <v>1.099686586E9</v>
      </c>
      <c r="C313" s="275" t="s">
        <v>68</v>
      </c>
      <c r="D313" s="276"/>
      <c r="E313" s="276" t="s">
        <v>594</v>
      </c>
      <c r="F313" s="27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2.5" customHeight="1">
      <c r="A314" s="273" t="s">
        <v>855</v>
      </c>
      <c r="B314" s="274">
        <v>1.222245694E9</v>
      </c>
      <c r="C314" s="275" t="s">
        <v>68</v>
      </c>
      <c r="D314" s="276"/>
      <c r="E314" s="276" t="s">
        <v>309</v>
      </c>
      <c r="F314" s="27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2.5" customHeight="1">
      <c r="A315" s="273" t="s">
        <v>859</v>
      </c>
      <c r="B315" s="274">
        <v>1.228256668E9</v>
      </c>
      <c r="C315" s="275" t="s">
        <v>68</v>
      </c>
      <c r="D315" s="276"/>
      <c r="E315" s="276" t="s">
        <v>188</v>
      </c>
      <c r="F315" s="27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2.5" customHeight="1">
      <c r="A316" s="276" t="s">
        <v>861</v>
      </c>
      <c r="B316" s="373">
        <v>1.28313847E9</v>
      </c>
      <c r="C316" s="275"/>
      <c r="D316" s="276"/>
      <c r="E316" s="276" t="s">
        <v>864</v>
      </c>
      <c r="F316" s="27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2.5" customHeight="1">
      <c r="A317" s="276" t="s">
        <v>869</v>
      </c>
      <c r="B317" s="373">
        <v>1.288201186E9</v>
      </c>
      <c r="C317" s="275"/>
      <c r="D317" s="276"/>
      <c r="E317" s="276" t="s">
        <v>870</v>
      </c>
      <c r="F317" s="27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2.5" customHeight="1">
      <c r="A318" s="276" t="s">
        <v>873</v>
      </c>
      <c r="B318" s="373" t="s">
        <v>874</v>
      </c>
      <c r="C318" s="275"/>
      <c r="D318" s="276"/>
      <c r="E318" s="276" t="s">
        <v>875</v>
      </c>
      <c r="F318" s="27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2.5" customHeight="1">
      <c r="A319" s="276" t="s">
        <v>877</v>
      </c>
      <c r="B319" s="373">
        <v>1.205980164E9</v>
      </c>
      <c r="C319" s="275"/>
      <c r="D319" s="276"/>
      <c r="E319" s="276" t="s">
        <v>881</v>
      </c>
      <c r="F319" s="27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2.5" customHeight="1">
      <c r="A320" s="276" t="s">
        <v>884</v>
      </c>
      <c r="B320" s="373">
        <v>1.278953752E9</v>
      </c>
      <c r="C320" s="275"/>
      <c r="D320" s="276"/>
      <c r="E320" s="276" t="s">
        <v>888</v>
      </c>
      <c r="F320" s="27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2.5" customHeight="1">
      <c r="A321" s="276" t="s">
        <v>891</v>
      </c>
      <c r="B321" s="373">
        <v>1.28666025E9</v>
      </c>
      <c r="C321" s="275"/>
      <c r="D321" s="276"/>
      <c r="E321" s="276"/>
      <c r="F321" s="27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2.5" customHeight="1">
      <c r="A322" s="276" t="s">
        <v>894</v>
      </c>
      <c r="B322" s="373">
        <v>1.286829437E9</v>
      </c>
      <c r="C322" s="275"/>
      <c r="D322" s="276"/>
      <c r="E322" s="276" t="s">
        <v>895</v>
      </c>
      <c r="F322" s="27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2.5" customHeight="1">
      <c r="A323" s="276" t="s">
        <v>897</v>
      </c>
      <c r="B323" s="373">
        <v>1.276513616E9</v>
      </c>
      <c r="C323" s="275"/>
      <c r="D323" s="276"/>
      <c r="E323" s="276"/>
      <c r="F323" s="27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2.5" customHeight="1">
      <c r="A324" s="276" t="s">
        <v>900</v>
      </c>
      <c r="B324" s="373">
        <v>1.280864411E9</v>
      </c>
      <c r="C324" s="275"/>
      <c r="D324" s="276"/>
      <c r="E324" s="276" t="s">
        <v>901</v>
      </c>
      <c r="F324" s="27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2.5" customHeight="1">
      <c r="A325" s="276" t="s">
        <v>903</v>
      </c>
      <c r="B325" s="373">
        <v>1.090707425E9</v>
      </c>
      <c r="C325" s="275"/>
      <c r="D325" s="276"/>
      <c r="E325" s="276" t="s">
        <v>901</v>
      </c>
      <c r="F325" s="27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2.5" customHeight="1">
      <c r="A326" s="276" t="s">
        <v>906</v>
      </c>
      <c r="B326" s="373"/>
      <c r="C326" s="275"/>
      <c r="D326" s="276"/>
      <c r="E326" s="276"/>
      <c r="F326" s="27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2.5" customHeight="1">
      <c r="A327" s="276" t="s">
        <v>908</v>
      </c>
      <c r="B327" s="373">
        <v>1.228798939E9</v>
      </c>
      <c r="C327" s="275"/>
      <c r="D327" s="276"/>
      <c r="E327" s="276" t="s">
        <v>909</v>
      </c>
      <c r="F327" s="27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2.5" customHeight="1">
      <c r="A328" s="276" t="s">
        <v>912</v>
      </c>
      <c r="B328" s="373"/>
      <c r="C328" s="275"/>
      <c r="D328" s="276"/>
      <c r="E328" s="276" t="s">
        <v>913</v>
      </c>
      <c r="F328" s="27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2.5" customHeight="1">
      <c r="A329" s="276" t="s">
        <v>915</v>
      </c>
      <c r="B329" s="373">
        <v>1.280080079E9</v>
      </c>
      <c r="C329" s="275"/>
      <c r="D329" s="276"/>
      <c r="E329" s="276"/>
      <c r="F329" s="27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2.5" customHeight="1">
      <c r="A330" s="276" t="s">
        <v>917</v>
      </c>
      <c r="B330" s="373"/>
      <c r="C330" s="275"/>
      <c r="D330" s="276"/>
      <c r="E330" s="276"/>
      <c r="F330" s="27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2.5" customHeight="1">
      <c r="A331" s="276" t="s">
        <v>920</v>
      </c>
      <c r="B331" s="373">
        <v>1.202439821E9</v>
      </c>
      <c r="C331" s="275"/>
      <c r="D331" s="276"/>
      <c r="E331" s="276" t="s">
        <v>921</v>
      </c>
      <c r="F331" s="27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2.5" customHeight="1">
      <c r="A332" s="276" t="s">
        <v>923</v>
      </c>
      <c r="B332" s="373">
        <v>1.14257051E9</v>
      </c>
      <c r="C332" s="275"/>
      <c r="D332" s="276"/>
      <c r="E332" s="276" t="s">
        <v>888</v>
      </c>
      <c r="F332" s="27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2.5" customHeight="1">
      <c r="A333" s="276" t="s">
        <v>926</v>
      </c>
      <c r="B333" s="373">
        <v>1.276294332E9</v>
      </c>
      <c r="C333" s="275"/>
      <c r="D333" s="276"/>
      <c r="E333" s="276" t="s">
        <v>888</v>
      </c>
      <c r="F333" s="27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2.5" customHeight="1">
      <c r="A334" s="276" t="s">
        <v>928</v>
      </c>
      <c r="B334" s="373" t="s">
        <v>929</v>
      </c>
      <c r="C334" s="275"/>
      <c r="D334" s="276"/>
      <c r="E334" s="276" t="s">
        <v>931</v>
      </c>
      <c r="F334" s="27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2.5" customHeight="1">
      <c r="A335" s="276" t="s">
        <v>932</v>
      </c>
      <c r="B335" s="373">
        <v>1.273502351E9</v>
      </c>
      <c r="C335" s="275"/>
      <c r="D335" s="276"/>
      <c r="E335" s="276" t="s">
        <v>934</v>
      </c>
      <c r="F335" s="27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2.5" customHeight="1">
      <c r="A336" s="276" t="s">
        <v>936</v>
      </c>
      <c r="B336" s="373">
        <v>1.222662946E9</v>
      </c>
      <c r="C336" s="275"/>
      <c r="D336" s="276"/>
      <c r="E336" s="276" t="s">
        <v>621</v>
      </c>
      <c r="F336" s="27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2.5" customHeight="1">
      <c r="A337" s="276" t="s">
        <v>938</v>
      </c>
      <c r="B337" s="373"/>
      <c r="C337" s="275"/>
      <c r="D337" s="276"/>
      <c r="E337" s="276" t="s">
        <v>913</v>
      </c>
      <c r="F337" s="27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2.5" customHeight="1">
      <c r="A338" s="276" t="s">
        <v>941</v>
      </c>
      <c r="B338" s="373"/>
      <c r="C338" s="275"/>
      <c r="D338" s="276"/>
      <c r="E338" s="276" t="s">
        <v>942</v>
      </c>
      <c r="F338" s="27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2.5" customHeight="1">
      <c r="A339" s="276" t="s">
        <v>944</v>
      </c>
      <c r="B339" s="373">
        <v>1.223035422E9</v>
      </c>
      <c r="C339" s="275"/>
      <c r="D339" s="276"/>
      <c r="E339" s="276" t="s">
        <v>945</v>
      </c>
      <c r="F339" s="27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2.5" customHeight="1">
      <c r="A340" s="276" t="s">
        <v>947</v>
      </c>
      <c r="B340" s="373">
        <v>1.277221814E9</v>
      </c>
      <c r="C340" s="275"/>
      <c r="D340" s="276"/>
      <c r="E340" s="276" t="s">
        <v>948</v>
      </c>
      <c r="F340" s="27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2.5" customHeight="1">
      <c r="A341" s="276" t="s">
        <v>951</v>
      </c>
      <c r="B341" s="373">
        <v>1.276792881E9</v>
      </c>
      <c r="C341" s="275"/>
      <c r="D341" s="276"/>
      <c r="E341" s="276" t="s">
        <v>953</v>
      </c>
      <c r="F341" s="27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2.5" customHeight="1">
      <c r="A342" s="276" t="s">
        <v>955</v>
      </c>
      <c r="B342" s="373">
        <v>1.28098977E9</v>
      </c>
      <c r="C342" s="275"/>
      <c r="D342" s="276"/>
      <c r="E342" s="276" t="s">
        <v>956</v>
      </c>
      <c r="F342" s="27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2.5" customHeight="1">
      <c r="A343" s="276" t="s">
        <v>957</v>
      </c>
      <c r="B343" s="373">
        <v>1.211982488E9</v>
      </c>
      <c r="C343" s="275"/>
      <c r="D343" s="276"/>
      <c r="E343" s="276" t="s">
        <v>942</v>
      </c>
      <c r="F343" s="27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2.5" customHeight="1">
      <c r="A344" s="276" t="s">
        <v>958</v>
      </c>
      <c r="B344" s="373"/>
      <c r="C344" s="275"/>
      <c r="D344" s="276"/>
      <c r="E344" s="276"/>
      <c r="F344" s="27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2.5" customHeight="1">
      <c r="A345" s="276" t="s">
        <v>961</v>
      </c>
      <c r="B345" s="373">
        <v>1.221964646E9</v>
      </c>
      <c r="C345" s="275"/>
      <c r="D345" s="276"/>
      <c r="E345" s="276" t="s">
        <v>962</v>
      </c>
      <c r="F345" s="27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2.5" customHeight="1">
      <c r="A346" s="276" t="s">
        <v>964</v>
      </c>
      <c r="B346" s="373">
        <v>1.28504514E9</v>
      </c>
      <c r="C346" s="275"/>
      <c r="D346" s="276"/>
      <c r="E346" s="276" t="s">
        <v>967</v>
      </c>
      <c r="F346" s="27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2.5" customHeight="1">
      <c r="A347" s="276" t="s">
        <v>970</v>
      </c>
      <c r="B347" s="373">
        <v>1.22978958E9</v>
      </c>
      <c r="C347" s="275"/>
      <c r="D347" s="276"/>
      <c r="E347" s="276" t="s">
        <v>888</v>
      </c>
      <c r="F347" s="27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2.5" customHeight="1">
      <c r="A348" s="276" t="s">
        <v>972</v>
      </c>
      <c r="B348" s="373">
        <v>1.211003999E9</v>
      </c>
      <c r="C348" s="275"/>
      <c r="D348" s="276"/>
      <c r="E348" s="276" t="s">
        <v>974</v>
      </c>
      <c r="F348" s="27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2.5" customHeight="1">
      <c r="A349" s="276" t="s">
        <v>977</v>
      </c>
      <c r="B349" s="373">
        <v>1.276573824E9</v>
      </c>
      <c r="C349" s="275"/>
      <c r="D349" s="276"/>
      <c r="E349" s="276" t="s">
        <v>978</v>
      </c>
      <c r="F349" s="27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2.5" customHeight="1">
      <c r="A350" s="276" t="s">
        <v>980</v>
      </c>
      <c r="B350" s="373">
        <v>1.200614408E9</v>
      </c>
      <c r="C350" s="275"/>
      <c r="D350" s="276"/>
      <c r="E350" s="276" t="s">
        <v>981</v>
      </c>
      <c r="F350" s="27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2.5" customHeight="1">
      <c r="A351" s="276" t="s">
        <v>984</v>
      </c>
      <c r="B351" s="373"/>
      <c r="C351" s="275"/>
      <c r="D351" s="276"/>
      <c r="E351" s="276"/>
      <c r="F351" s="27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2.5" customHeight="1">
      <c r="A352" s="276" t="s">
        <v>987</v>
      </c>
      <c r="B352" s="373">
        <v>1.206400509E9</v>
      </c>
      <c r="C352" s="275"/>
      <c r="D352" s="276"/>
      <c r="E352" s="276" t="s">
        <v>988</v>
      </c>
      <c r="F352" s="27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2.5" customHeight="1">
      <c r="A353" s="276" t="s">
        <v>990</v>
      </c>
      <c r="B353" s="373">
        <v>1.20585498E9</v>
      </c>
      <c r="C353" s="275"/>
      <c r="D353" s="276"/>
      <c r="E353" s="276" t="s">
        <v>992</v>
      </c>
      <c r="F353" s="27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2.5" customHeight="1">
      <c r="A354" s="276" t="s">
        <v>994</v>
      </c>
      <c r="B354" s="373">
        <v>1.229689064E9</v>
      </c>
      <c r="C354" s="275"/>
      <c r="D354" s="276"/>
      <c r="E354" s="276" t="s">
        <v>888</v>
      </c>
      <c r="F354" s="27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2.5" customHeight="1">
      <c r="A355" s="276" t="s">
        <v>997</v>
      </c>
      <c r="B355" s="373">
        <v>1.224158064E9</v>
      </c>
      <c r="C355" s="275"/>
      <c r="D355" s="276"/>
      <c r="E355" s="276" t="s">
        <v>948</v>
      </c>
      <c r="F355" s="27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2.5" customHeight="1">
      <c r="A356" s="276" t="s">
        <v>999</v>
      </c>
      <c r="B356" s="373">
        <v>1.004880409E9</v>
      </c>
      <c r="C356" s="275"/>
      <c r="D356" s="276"/>
      <c r="E356" s="276" t="s">
        <v>875</v>
      </c>
      <c r="F356" s="27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2.5" customHeight="1">
      <c r="A357" s="276" t="s">
        <v>1002</v>
      </c>
      <c r="B357" s="373">
        <v>1.226727302E9</v>
      </c>
      <c r="C357" s="275"/>
      <c r="D357" s="276"/>
      <c r="E357" s="276" t="s">
        <v>956</v>
      </c>
      <c r="F357" s="27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2.5" customHeight="1">
      <c r="A358" s="276" t="s">
        <v>1004</v>
      </c>
      <c r="B358" s="373"/>
      <c r="C358" s="275"/>
      <c r="D358" s="276"/>
      <c r="E358" s="276"/>
      <c r="F358" s="27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2.5" customHeight="1">
      <c r="A359" s="276" t="s">
        <v>1006</v>
      </c>
      <c r="B359" s="373">
        <v>1.202440208E9</v>
      </c>
      <c r="C359" s="275"/>
      <c r="D359" s="276"/>
      <c r="E359" s="276" t="s">
        <v>1007</v>
      </c>
      <c r="F359" s="27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2.5" customHeight="1">
      <c r="A360" s="276" t="s">
        <v>1009</v>
      </c>
      <c r="B360" s="373">
        <v>1.273555752E9</v>
      </c>
      <c r="C360" s="275"/>
      <c r="D360" s="276"/>
      <c r="E360" s="276" t="s">
        <v>1010</v>
      </c>
      <c r="F360" s="27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2.5" customHeight="1">
      <c r="A361" s="276" t="s">
        <v>1013</v>
      </c>
      <c r="B361" s="373">
        <v>1.221456551E9</v>
      </c>
      <c r="C361" s="275"/>
      <c r="D361" s="276"/>
      <c r="E361" s="276" t="s">
        <v>978</v>
      </c>
      <c r="F361" s="27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2.5" customHeight="1">
      <c r="A362" s="276" t="s">
        <v>1016</v>
      </c>
      <c r="B362" s="373">
        <v>1.202002267E9</v>
      </c>
      <c r="C362" s="275"/>
      <c r="D362" s="276"/>
      <c r="E362" s="276" t="s">
        <v>1018</v>
      </c>
      <c r="F362" s="27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2.5" customHeight="1">
      <c r="A363" s="276" t="s">
        <v>1020</v>
      </c>
      <c r="B363" s="373">
        <v>1.286442201E9</v>
      </c>
      <c r="C363" s="275"/>
      <c r="D363" s="276"/>
      <c r="E363" s="276" t="s">
        <v>1021</v>
      </c>
      <c r="F363" s="27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2.5" customHeight="1">
      <c r="A364" s="276" t="s">
        <v>1023</v>
      </c>
      <c r="B364" s="373">
        <v>1.276034231E9</v>
      </c>
      <c r="C364" s="275"/>
      <c r="D364" s="276"/>
      <c r="E364" s="276" t="s">
        <v>948</v>
      </c>
      <c r="F364" s="27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2.5" customHeight="1">
      <c r="A365" s="276" t="s">
        <v>1026</v>
      </c>
      <c r="B365" s="373">
        <v>1.272141188E9</v>
      </c>
      <c r="C365" s="275"/>
      <c r="D365" s="276"/>
      <c r="E365" s="276" t="s">
        <v>1010</v>
      </c>
      <c r="F365" s="27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2.5" customHeight="1">
      <c r="A366" s="276" t="s">
        <v>1029</v>
      </c>
      <c r="B366" s="373">
        <v>1.22720363E9</v>
      </c>
      <c r="C366" s="275"/>
      <c r="D366" s="276"/>
      <c r="E366" s="276" t="s">
        <v>978</v>
      </c>
      <c r="F366" s="27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2.5" customHeight="1">
      <c r="A367" s="276" t="s">
        <v>1032</v>
      </c>
      <c r="B367" s="373">
        <v>1.287344133E9</v>
      </c>
      <c r="C367" s="275"/>
      <c r="D367" s="276"/>
      <c r="E367" s="276" t="s">
        <v>1033</v>
      </c>
      <c r="F367" s="27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2.5" customHeight="1">
      <c r="A368" s="276" t="s">
        <v>1036</v>
      </c>
      <c r="B368" s="373">
        <v>1.224446884E9</v>
      </c>
      <c r="C368" s="275"/>
      <c r="D368" s="276"/>
      <c r="E368" s="276" t="s">
        <v>948</v>
      </c>
      <c r="F368" s="27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2.5" customHeight="1">
      <c r="A369" s="276" t="s">
        <v>1038</v>
      </c>
      <c r="B369" s="373">
        <v>1.206904512E9</v>
      </c>
      <c r="C369" s="275"/>
      <c r="D369" s="276"/>
      <c r="E369" s="276" t="s">
        <v>531</v>
      </c>
      <c r="F369" s="27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2.5" customHeight="1">
      <c r="A370" s="395" t="s">
        <v>1039</v>
      </c>
      <c r="B370" s="396" t="s">
        <v>1040</v>
      </c>
      <c r="C370" s="397"/>
      <c r="D370" s="395"/>
      <c r="E370" s="395" t="s">
        <v>1041</v>
      </c>
      <c r="F370" s="398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2.5" customHeight="1">
      <c r="A371" s="395" t="s">
        <v>1042</v>
      </c>
      <c r="B371" s="396">
        <v>1.006033662E9</v>
      </c>
      <c r="C371" s="397"/>
      <c r="D371" s="395"/>
      <c r="E371" s="395" t="s">
        <v>948</v>
      </c>
      <c r="F371" s="398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2.5" customHeight="1">
      <c r="A372" s="395" t="s">
        <v>1043</v>
      </c>
      <c r="B372" s="396">
        <v>1.224382874E9</v>
      </c>
      <c r="C372" s="397"/>
      <c r="D372" s="395"/>
      <c r="E372" s="395" t="s">
        <v>992</v>
      </c>
      <c r="F372" s="398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2.5" customHeight="1">
      <c r="A373" s="395" t="s">
        <v>1048</v>
      </c>
      <c r="B373" s="396">
        <v>1.274841748E9</v>
      </c>
      <c r="C373" s="397"/>
      <c r="D373" s="395"/>
      <c r="E373" s="395" t="s">
        <v>1049</v>
      </c>
      <c r="F373" s="398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2.5" customHeight="1">
      <c r="A374" s="395" t="s">
        <v>1050</v>
      </c>
      <c r="B374" s="396">
        <v>1.27285054E9</v>
      </c>
      <c r="C374" s="397"/>
      <c r="D374" s="395"/>
      <c r="E374" s="395" t="s">
        <v>1051</v>
      </c>
      <c r="F374" s="398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2.5" customHeight="1">
      <c r="A375" s="400">
        <v>1.27285054E9</v>
      </c>
      <c r="B375" s="396"/>
      <c r="C375" s="397"/>
      <c r="D375" s="395"/>
      <c r="E375" s="395"/>
      <c r="F375" s="398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2.5" customHeight="1">
      <c r="A376" s="395" t="s">
        <v>1055</v>
      </c>
      <c r="B376" s="396">
        <v>1.223909649E9</v>
      </c>
      <c r="C376" s="397"/>
      <c r="D376" s="395"/>
      <c r="E376" s="395" t="s">
        <v>1056</v>
      </c>
      <c r="F376" s="398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2.5" customHeight="1">
      <c r="A377" s="395" t="s">
        <v>1057</v>
      </c>
      <c r="B377" s="396">
        <v>1.205307869E9</v>
      </c>
      <c r="C377" s="397"/>
      <c r="D377" s="395"/>
      <c r="E377" s="395" t="s">
        <v>1058</v>
      </c>
      <c r="F377" s="398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2.5" customHeight="1">
      <c r="A378" s="395" t="s">
        <v>1060</v>
      </c>
      <c r="B378" s="396">
        <v>1.092585718E9</v>
      </c>
      <c r="C378" s="397"/>
      <c r="D378" s="395"/>
      <c r="E378" s="395" t="s">
        <v>888</v>
      </c>
      <c r="F378" s="398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2.5" customHeight="1">
      <c r="A379" s="395" t="s">
        <v>1061</v>
      </c>
      <c r="B379" s="396">
        <v>1.224865342E9</v>
      </c>
      <c r="C379" s="397"/>
      <c r="D379" s="395"/>
      <c r="E379" s="395" t="s">
        <v>1062</v>
      </c>
      <c r="F379" s="398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2.5" customHeight="1">
      <c r="A380" s="395" t="s">
        <v>1063</v>
      </c>
      <c r="B380" s="396">
        <v>1.206099448E9</v>
      </c>
      <c r="C380" s="397"/>
      <c r="D380" s="395"/>
      <c r="E380" s="395" t="s">
        <v>1065</v>
      </c>
      <c r="F380" s="398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2.5" customHeight="1">
      <c r="A381" s="395" t="s">
        <v>1067</v>
      </c>
      <c r="B381" s="396">
        <v>1.203767596E9</v>
      </c>
      <c r="C381" s="397"/>
      <c r="D381" s="395"/>
      <c r="E381" s="395" t="s">
        <v>1010</v>
      </c>
      <c r="F381" s="398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2.5" customHeight="1">
      <c r="A382" s="395" t="s">
        <v>1069</v>
      </c>
      <c r="B382" s="396">
        <v>1.226820428E9</v>
      </c>
      <c r="C382" s="397"/>
      <c r="D382" s="395"/>
      <c r="E382" s="395" t="s">
        <v>1071</v>
      </c>
      <c r="F382" s="398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2.5" customHeight="1">
      <c r="A383" s="395" t="s">
        <v>1073</v>
      </c>
      <c r="B383" s="396"/>
      <c r="C383" s="397"/>
      <c r="D383" s="395"/>
      <c r="E383" s="395"/>
      <c r="F383" s="398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2.5" customHeight="1">
      <c r="A384" s="395" t="s">
        <v>1076</v>
      </c>
      <c r="B384" s="396">
        <v>1.065655881E9</v>
      </c>
      <c r="C384" s="397"/>
      <c r="D384" s="395"/>
      <c r="E384" s="395" t="s">
        <v>1071</v>
      </c>
      <c r="F384" s="398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2.5" customHeight="1">
      <c r="A385" s="395" t="s">
        <v>1079</v>
      </c>
      <c r="B385" s="396">
        <v>1.274974795E9</v>
      </c>
      <c r="C385" s="397"/>
      <c r="D385" s="395"/>
      <c r="E385" s="395" t="s">
        <v>1080</v>
      </c>
      <c r="F385" s="398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2.5" customHeight="1">
      <c r="A386" s="395" t="s">
        <v>1083</v>
      </c>
      <c r="B386" s="396">
        <v>1.273913547E9</v>
      </c>
      <c r="C386" s="397"/>
      <c r="D386" s="395"/>
      <c r="E386" s="395" t="s">
        <v>1084</v>
      </c>
      <c r="F386" s="398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2.5" customHeight="1">
      <c r="A387" s="395" t="s">
        <v>1085</v>
      </c>
      <c r="B387" s="396">
        <v>1.200353336E9</v>
      </c>
      <c r="C387" s="397"/>
      <c r="D387" s="395"/>
      <c r="E387" s="395" t="s">
        <v>1086</v>
      </c>
      <c r="F387" s="398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2.5" customHeight="1">
      <c r="A388" s="395" t="s">
        <v>1088</v>
      </c>
      <c r="B388" s="396">
        <v>1.285444292E9</v>
      </c>
      <c r="C388" s="397"/>
      <c r="D388" s="395"/>
      <c r="E388" s="395" t="s">
        <v>1089</v>
      </c>
      <c r="F388" s="398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2.5" customHeight="1">
      <c r="A389" s="395" t="s">
        <v>1090</v>
      </c>
      <c r="B389" s="396">
        <v>1.284891555E9</v>
      </c>
      <c r="C389" s="397"/>
      <c r="D389" s="395"/>
      <c r="E389" s="395" t="s">
        <v>945</v>
      </c>
      <c r="F389" s="398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2.5" customHeight="1">
      <c r="A390" s="395" t="s">
        <v>1093</v>
      </c>
      <c r="B390" s="396">
        <v>1.22030727E9</v>
      </c>
      <c r="C390" s="397"/>
      <c r="D390" s="395"/>
      <c r="E390" s="395" t="s">
        <v>945</v>
      </c>
      <c r="F390" s="398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2.5" customHeight="1">
      <c r="A391" s="395" t="s">
        <v>1094</v>
      </c>
      <c r="B391" s="396"/>
      <c r="C391" s="397"/>
      <c r="D391" s="395"/>
      <c r="E391" s="395"/>
      <c r="F391" s="398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2.5" customHeight="1">
      <c r="A392" s="395" t="s">
        <v>1095</v>
      </c>
      <c r="B392" s="396">
        <v>1.270119897E9</v>
      </c>
      <c r="C392" s="397"/>
      <c r="D392" s="395"/>
      <c r="E392" s="395" t="s">
        <v>978</v>
      </c>
      <c r="F392" s="398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2.5" customHeight="1">
      <c r="A393" s="395" t="s">
        <v>1096</v>
      </c>
      <c r="B393" s="396">
        <v>1.068358873E9</v>
      </c>
      <c r="C393" s="397"/>
      <c r="D393" s="395"/>
      <c r="E393" s="395" t="s">
        <v>1097</v>
      </c>
      <c r="F393" s="398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2.5" customHeight="1">
      <c r="A394" s="395" t="s">
        <v>1100</v>
      </c>
      <c r="B394" s="396">
        <v>1.226906865E9</v>
      </c>
      <c r="C394" s="397"/>
      <c r="D394" s="395"/>
      <c r="E394" s="395" t="s">
        <v>945</v>
      </c>
      <c r="F394" s="398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2.5" customHeight="1">
      <c r="A395" s="395" t="s">
        <v>1101</v>
      </c>
      <c r="B395" s="396">
        <v>1.276918689E9</v>
      </c>
      <c r="C395" s="397"/>
      <c r="D395" s="395"/>
      <c r="E395" s="395" t="s">
        <v>888</v>
      </c>
      <c r="F395" s="398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2.5" customHeight="1">
      <c r="A396" s="395" t="s">
        <v>1102</v>
      </c>
      <c r="B396" s="396">
        <v>1.204303095E9</v>
      </c>
      <c r="C396" s="397"/>
      <c r="D396" s="395"/>
      <c r="E396" s="395" t="s">
        <v>953</v>
      </c>
      <c r="F396" s="398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2.5" customHeight="1">
      <c r="A397" s="395" t="s">
        <v>1103</v>
      </c>
      <c r="B397" s="396">
        <v>1.28117781E9</v>
      </c>
      <c r="C397" s="397"/>
      <c r="D397" s="395"/>
      <c r="E397" s="395" t="s">
        <v>1104</v>
      </c>
      <c r="F397" s="398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2.5" customHeight="1">
      <c r="A398" s="395" t="s">
        <v>1106</v>
      </c>
      <c r="B398" s="396">
        <v>1.012546299E9</v>
      </c>
      <c r="C398" s="397"/>
      <c r="D398" s="395"/>
      <c r="E398" s="395" t="s">
        <v>953</v>
      </c>
      <c r="F398" s="398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2.5" customHeight="1">
      <c r="A399" s="395" t="s">
        <v>1107</v>
      </c>
      <c r="B399" s="396">
        <v>1.225254582E9</v>
      </c>
      <c r="C399" s="397"/>
      <c r="D399" s="395"/>
      <c r="E399" s="395" t="s">
        <v>945</v>
      </c>
      <c r="F399" s="398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2.5" customHeight="1">
      <c r="A400" s="395" t="s">
        <v>1108</v>
      </c>
      <c r="B400" s="396"/>
      <c r="C400" s="397"/>
      <c r="D400" s="395"/>
      <c r="E400" s="395"/>
      <c r="F400" s="398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2.5" customHeight="1">
      <c r="A401" s="395" t="s">
        <v>1111</v>
      </c>
      <c r="B401" s="396">
        <v>1.288682578E9</v>
      </c>
      <c r="C401" s="397"/>
      <c r="D401" s="395"/>
      <c r="E401" s="395" t="s">
        <v>1071</v>
      </c>
      <c r="F401" s="398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2.5" customHeight="1">
      <c r="A402" s="395" t="s">
        <v>1113</v>
      </c>
      <c r="B402" s="396">
        <v>1.275573192E9</v>
      </c>
      <c r="C402" s="397"/>
      <c r="D402" s="395"/>
      <c r="E402" s="395" t="s">
        <v>1071</v>
      </c>
      <c r="F402" s="398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2.5" customHeight="1">
      <c r="A403" s="395" t="s">
        <v>1115</v>
      </c>
      <c r="B403" s="396">
        <v>1.500077498E9</v>
      </c>
      <c r="C403" s="397"/>
      <c r="D403" s="395"/>
      <c r="E403" s="395" t="s">
        <v>888</v>
      </c>
      <c r="F403" s="398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2.5" customHeight="1">
      <c r="A404" s="395" t="s">
        <v>1118</v>
      </c>
      <c r="B404" s="396">
        <v>1.275477954E9</v>
      </c>
      <c r="C404" s="397"/>
      <c r="D404" s="395"/>
      <c r="E404" s="395" t="s">
        <v>1071</v>
      </c>
      <c r="F404" s="398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2.5" customHeight="1">
      <c r="A405" s="395" t="s">
        <v>1119</v>
      </c>
      <c r="B405" s="396" t="s">
        <v>1120</v>
      </c>
      <c r="C405" s="397"/>
      <c r="D405" s="395"/>
      <c r="E405" s="395"/>
      <c r="F405" s="398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2.5" customHeight="1">
      <c r="A406" s="395" t="s">
        <v>1122</v>
      </c>
      <c r="B406" s="396" t="s">
        <v>1120</v>
      </c>
      <c r="C406" s="397"/>
      <c r="D406" s="395"/>
      <c r="E406" s="395" t="s">
        <v>1071</v>
      </c>
      <c r="F406" s="398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2.5" customHeight="1">
      <c r="A407" s="395" t="s">
        <v>1126</v>
      </c>
      <c r="B407" s="396">
        <v>1.222105694E9</v>
      </c>
      <c r="C407" s="397"/>
      <c r="D407" s="395"/>
      <c r="E407" s="395" t="s">
        <v>1127</v>
      </c>
      <c r="F407" s="398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2.5" customHeight="1">
      <c r="A408" s="395" t="s">
        <v>1129</v>
      </c>
      <c r="B408" s="396">
        <v>1.229385164E9</v>
      </c>
      <c r="C408" s="397"/>
      <c r="D408" s="395"/>
      <c r="E408" s="395" t="s">
        <v>204</v>
      </c>
      <c r="F408" s="398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2.5" customHeight="1">
      <c r="A409" s="395" t="s">
        <v>1132</v>
      </c>
      <c r="B409" s="396"/>
      <c r="C409" s="397"/>
      <c r="D409" s="395"/>
      <c r="E409" s="395"/>
      <c r="F409" s="398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2.5" customHeight="1">
      <c r="A410" s="395" t="s">
        <v>1134</v>
      </c>
      <c r="B410" s="396">
        <v>1.033901039E9</v>
      </c>
      <c r="C410" s="397"/>
      <c r="D410" s="395"/>
      <c r="E410" s="395" t="s">
        <v>78</v>
      </c>
      <c r="F410" s="398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2.5" customHeight="1">
      <c r="A411" s="395" t="s">
        <v>1137</v>
      </c>
      <c r="B411" s="396">
        <v>1.224819962E9</v>
      </c>
      <c r="C411" s="397"/>
      <c r="D411" s="395"/>
      <c r="E411" s="395"/>
      <c r="F411" s="398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2.5" customHeight="1">
      <c r="A412" s="395" t="s">
        <v>1140</v>
      </c>
      <c r="B412" s="396">
        <v>1.224819962E9</v>
      </c>
      <c r="C412" s="397"/>
      <c r="D412" s="395"/>
      <c r="E412" s="395" t="s">
        <v>93</v>
      </c>
      <c r="F412" s="398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2.5" customHeight="1">
      <c r="A413" s="395" t="s">
        <v>1143</v>
      </c>
      <c r="B413" s="396">
        <v>1.278715174E9</v>
      </c>
      <c r="C413" s="397"/>
      <c r="D413" s="395"/>
      <c r="E413" s="395" t="s">
        <v>1144</v>
      </c>
      <c r="F413" s="398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2.5" customHeight="1">
      <c r="A414" s="395" t="s">
        <v>1146</v>
      </c>
      <c r="B414" s="396">
        <v>1.205998807E9</v>
      </c>
      <c r="C414" s="397"/>
      <c r="D414" s="395"/>
      <c r="E414" s="395" t="s">
        <v>921</v>
      </c>
      <c r="F414" s="398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B415" s="40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B416" s="40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B417" s="40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B418" s="40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B419" s="40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B420" s="40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B421" s="40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B422" s="40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B423" s="40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B424" s="40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B425" s="40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B426" s="40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B427" s="40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B428" s="40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B429" s="40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B430" s="40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B431" s="40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B432" s="40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B433" s="40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B434" s="40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B435" s="40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B436" s="40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B437" s="40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B438" s="40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B439" s="40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B440" s="40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B441" s="40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B442" s="40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B443" s="40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B444" s="40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B445" s="40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B446" s="40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B447" s="40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B448" s="40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B449" s="40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B450" s="40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B451" s="40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B452" s="40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B453" s="40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B454" s="40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B455" s="40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B456" s="40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B457" s="40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B458" s="40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B459" s="40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B460" s="40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B461" s="40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B462" s="40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B463" s="40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B464" s="40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B465" s="40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B466" s="40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B467" s="40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B468" s="40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B469" s="40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B470" s="40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B471" s="40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B472" s="40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B473" s="40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B474" s="40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B475" s="40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B476" s="40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B477" s="40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B478" s="40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B479" s="40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B480" s="40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B481" s="40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B482" s="40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B483" s="40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B484" s="40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B485" s="40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B486" s="40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B487" s="40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B488" s="40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B489" s="40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B490" s="40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B491" s="40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B492" s="40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B493" s="40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B494" s="40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B495" s="40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B496" s="40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B497" s="40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B498" s="40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B499" s="40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B500" s="40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B501" s="40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B502" s="40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B503" s="40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B504" s="40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B505" s="40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B506" s="40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B507" s="40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B508" s="40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B509" s="40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B510" s="40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B511" s="40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B512" s="40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B513" s="40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B514" s="40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B515" s="40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B516" s="40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B517" s="40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B518" s="40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B519" s="40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B520" s="40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B521" s="40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B522" s="40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B523" s="40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B524" s="40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B525" s="40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B526" s="40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B527" s="40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B528" s="40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B529" s="40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B530" s="40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B531" s="40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B532" s="40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B533" s="40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B534" s="40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B535" s="40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B536" s="40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B537" s="40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B538" s="40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B539" s="40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B540" s="40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B541" s="40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B542" s="40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B543" s="40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B544" s="40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B545" s="40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B546" s="40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B547" s="40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B548" s="40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B549" s="40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B550" s="40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B551" s="40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B552" s="40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B553" s="40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B554" s="40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B555" s="40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B556" s="40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B557" s="40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B558" s="40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B559" s="40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B560" s="40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B561" s="40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B562" s="40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B563" s="40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B564" s="40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B565" s="40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B566" s="40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B567" s="40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B568" s="40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B569" s="40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B570" s="40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B571" s="40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B572" s="40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B573" s="40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B574" s="40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B575" s="40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B576" s="40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B577" s="40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B578" s="40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B579" s="40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B580" s="40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B581" s="40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B582" s="40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B583" s="40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B584" s="40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B585" s="40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B586" s="40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B587" s="40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B588" s="40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B589" s="40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B590" s="40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B591" s="40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B592" s="40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B593" s="40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B594" s="40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B595" s="40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B596" s="40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B597" s="40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B598" s="40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B599" s="40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B600" s="40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B601" s="40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B602" s="40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B603" s="40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B604" s="40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B605" s="40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B606" s="40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B607" s="40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B608" s="40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B609" s="40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B610" s="40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B611" s="40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B612" s="40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B613" s="40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B614" s="40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B615" s="40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B616" s="40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B617" s="40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B618" s="40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B619" s="40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B620" s="40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B621" s="40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B622" s="40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B623" s="40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B624" s="40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B625" s="40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B626" s="40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B627" s="40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B628" s="40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B629" s="40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B630" s="40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B631" s="40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B632" s="40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B633" s="40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B634" s="40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B635" s="40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B636" s="40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B637" s="40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B638" s="40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B639" s="40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B640" s="40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B641" s="40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B642" s="40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B643" s="40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B644" s="40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B645" s="40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B646" s="40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B647" s="40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B648" s="40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B649" s="40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B650" s="40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B651" s="40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B652" s="40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B653" s="40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B654" s="40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B655" s="40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B656" s="40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B657" s="40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B658" s="40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B659" s="40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B660" s="40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B661" s="40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B662" s="40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B663" s="40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B664" s="40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B665" s="40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B666" s="40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B667" s="40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B668" s="40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B669" s="40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B670" s="40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B671" s="40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B672" s="40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B673" s="40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B674" s="40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B675" s="40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B676" s="40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B677" s="40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B678" s="40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B679" s="40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B680" s="40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B681" s="40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B682" s="40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B683" s="40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B684" s="40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B685" s="40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B686" s="40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B687" s="40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B688" s="40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B689" s="40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B690" s="40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B691" s="40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B692" s="40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B693" s="40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B694" s="40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B695" s="40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B696" s="40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B697" s="40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B698" s="40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B699" s="40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B700" s="40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B701" s="40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B702" s="40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B703" s="40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B704" s="40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B705" s="40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B706" s="40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B707" s="40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B708" s="40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B709" s="40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B710" s="40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B711" s="40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B712" s="40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B713" s="40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B714" s="40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B715" s="40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B716" s="40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B717" s="40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B718" s="40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B719" s="40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B720" s="40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B721" s="40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B722" s="40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B723" s="40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B724" s="40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B725" s="40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B726" s="40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B727" s="40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B728" s="40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B729" s="40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B730" s="40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B731" s="40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B732" s="40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B733" s="40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B734" s="40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B735" s="40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B736" s="40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B737" s="40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B738" s="40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B739" s="40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B740" s="40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B741" s="40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B742" s="40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B743" s="40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B744" s="40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B745" s="40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B746" s="40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B747" s="40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B748" s="40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B749" s="40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B750" s="40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B751" s="40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B752" s="40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B753" s="40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B754" s="40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B755" s="40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B756" s="40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B757" s="40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B758" s="40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B759" s="40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B760" s="40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B761" s="40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B762" s="40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B763" s="40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B764" s="40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B765" s="40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B766" s="40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B767" s="40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B768" s="40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B769" s="40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B770" s="40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B771" s="40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B772" s="40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B773" s="40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B774" s="40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B775" s="40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B776" s="40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B777" s="40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B778" s="40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B779" s="40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B780" s="40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B781" s="40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B782" s="40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B783" s="40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B784" s="40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B785" s="40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B786" s="40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B787" s="40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B788" s="40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B789" s="40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B790" s="40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B791" s="40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B792" s="40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B793" s="40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B794" s="40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B795" s="40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B796" s="40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B797" s="40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B798" s="40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B799" s="40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B800" s="40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B801" s="40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B802" s="40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B803" s="40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B804" s="40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B805" s="40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B806" s="40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B807" s="40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B808" s="40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B809" s="40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B810" s="40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B811" s="40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B812" s="40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B813" s="40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B814" s="40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B815" s="40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B816" s="40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B817" s="40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B818" s="40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B819" s="40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B820" s="40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B821" s="40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B822" s="40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B823" s="40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B824" s="40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B825" s="40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B826" s="40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B827" s="40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B828" s="40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B829" s="40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B830" s="40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B831" s="40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B832" s="40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B833" s="40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B834" s="40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B835" s="40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B836" s="40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B837" s="40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B838" s="40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B839" s="40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B840" s="40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B841" s="40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B842" s="40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B843" s="40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B844" s="40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B845" s="40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B846" s="40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B847" s="40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B848" s="40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B849" s="40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B850" s="40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B851" s="40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B852" s="40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B853" s="40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B854" s="40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B855" s="40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B856" s="40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B857" s="40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B858" s="40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B859" s="40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B860" s="40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B861" s="40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B862" s="40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B863" s="40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B864" s="40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B865" s="40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B866" s="40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B867" s="40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B868" s="40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B869" s="40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B870" s="40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B871" s="40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B872" s="40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B873" s="40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B874" s="40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B875" s="40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B876" s="40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B877" s="40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B878" s="40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B879" s="40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B880" s="40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B881" s="40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B882" s="40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B883" s="40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B884" s="40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B885" s="40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B886" s="40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B887" s="40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B888" s="40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B889" s="40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B890" s="40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B891" s="40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B892" s="40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B893" s="40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B894" s="40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B895" s="40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B896" s="40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B897" s="40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B898" s="40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B899" s="40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B900" s="40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B901" s="40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B902" s="40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B903" s="40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B904" s="40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B905" s="40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B906" s="40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B907" s="40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B908" s="40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B909" s="40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B910" s="40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B911" s="40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B912" s="40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B913" s="40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B914" s="40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B915" s="40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B916" s="40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B917" s="40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B918" s="40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B919" s="40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B920" s="40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B921" s="40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B922" s="40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B923" s="40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B924" s="40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B925" s="40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B926" s="40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B927" s="40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B928" s="40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B929" s="40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B930" s="40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B931" s="40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B932" s="40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B933" s="40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B934" s="40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B935" s="40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B936" s="40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B937" s="40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B938" s="40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B939" s="40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B940" s="40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B941" s="40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B942" s="40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B943" s="40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B944" s="40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B945" s="40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B946" s="40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B947" s="40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B948" s="40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B949" s="40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B950" s="40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B951" s="40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B952" s="40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B953" s="40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B954" s="40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B955" s="40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B956" s="40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B957" s="40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B958" s="40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B959" s="40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B960" s="40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B961" s="40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B962" s="40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B963" s="40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B964" s="40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B965" s="40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B966" s="40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B967" s="40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B968" s="40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B969" s="40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B970" s="40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B971" s="40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B972" s="40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B973" s="40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B974" s="40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B975" s="40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B976" s="40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B977" s="40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B978" s="40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B979" s="40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B980" s="40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B981" s="40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B982" s="40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B983" s="40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B984" s="40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B985" s="40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B986" s="40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B987" s="40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B988" s="40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B989" s="40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B990" s="40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B991" s="40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B992" s="40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B993" s="40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B994" s="40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B995" s="40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B996" s="40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B997" s="40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B998" s="40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B999" s="40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B1000" s="40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B1001" s="40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B1002" s="40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B1003" s="40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B1004" s="40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B1005" s="40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B1006" s="40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B1007" s="403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B1008" s="403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B1009" s="403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B1010" s="403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B1011" s="403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B1012" s="403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B1013" s="403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B1014" s="403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B1015" s="403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B1016" s="403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B1017" s="403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B1018" s="403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B1019" s="403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B1020" s="403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B1021" s="403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B1022" s="403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B1023" s="403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B1024" s="403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B1025" s="403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B1026" s="403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B1027" s="403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B1028" s="403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B1029" s="403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B1030" s="403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B1031" s="403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B1032" s="403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B1033" s="403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B1034" s="403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B1035" s="403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B1036" s="403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B1037" s="403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B1038" s="403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B1039" s="403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B1040" s="403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B1041" s="403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B1042" s="403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B1043" s="403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B1044" s="403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B1045" s="403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B1046" s="403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B1047" s="403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B1048" s="403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B1049" s="403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B1050" s="403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B1051" s="403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B1052" s="403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B1053" s="403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B1054" s="403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B1055" s="403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B1056" s="403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B1057" s="403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B1058" s="403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B1059" s="403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B1060" s="403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B1061" s="403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B1062" s="403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B1063" s="403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B1064" s="403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B1065" s="403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B1066" s="403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B1067" s="403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B1068" s="403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B1069" s="403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B1070" s="403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B1071" s="403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B1072" s="403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B1073" s="403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B1074" s="403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B1075" s="403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B1076" s="403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B1077" s="403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B1078" s="403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B1079" s="403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B1080" s="403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B1081" s="403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B1082" s="403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B1083" s="403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B1084" s="403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B1085" s="403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B1086" s="403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B1087" s="403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B1088" s="403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B1089" s="403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B1090" s="403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B1091" s="403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B1092" s="403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B1093" s="403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B1094" s="403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B1095" s="403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B1096" s="403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B1097" s="403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B1098" s="403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B1099" s="403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B1100" s="403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B1101" s="403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B1102" s="403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B1103" s="403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B1104" s="403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B1105" s="403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B1106" s="403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B1107" s="403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B1108" s="403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B1109" s="403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B1110" s="403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B1111" s="403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B1112" s="403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B1113" s="403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B1114" s="403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B1115" s="403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B1116" s="403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B1117" s="403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B1118" s="403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B1119" s="403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B1120" s="403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B1121" s="403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B1122" s="403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B1123" s="403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B1124" s="403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B1125" s="403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B1126" s="403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B1127" s="403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B1128" s="403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B1129" s="403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B1130" s="403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B1131" s="403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B1132" s="403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B1133" s="403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B1134" s="403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B1135" s="403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B1136" s="403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B1137" s="403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B1138" s="403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B1139" s="403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B1140" s="403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B1141" s="403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B1142" s="403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B1143" s="403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B1144" s="403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B1145" s="403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B1146" s="403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B1147" s="403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B1148" s="403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B1149" s="403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B1150" s="403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B1151" s="403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B1152" s="403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B1153" s="403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B1154" s="403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B1155" s="403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B1156" s="403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B1157" s="403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B1158" s="403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B1159" s="403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B1160" s="403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B1161" s="403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B1162" s="403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B1163" s="403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B1164" s="403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B1165" s="403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B1166" s="403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B1167" s="403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B1168" s="403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B1169" s="403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B1170" s="403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B1171" s="403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B1172" s="403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B1173" s="403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B1174" s="403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B1175" s="403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B1176" s="403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B1177" s="403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B1178" s="403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B1179" s="403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B1180" s="403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B1181" s="403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B1182" s="403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B1183" s="403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B1184" s="403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B1185" s="403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B1186" s="403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B1187" s="403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B1188" s="403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B1189" s="403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B1190" s="403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B1191" s="403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B1192" s="403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B1193" s="403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B1194" s="403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B1195" s="403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B1196" s="403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B1197" s="403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B1198" s="403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B1199" s="403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B1200" s="403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B1201" s="403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B1202" s="403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B1203" s="403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B1204" s="403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B1205" s="403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B1206" s="403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B1207" s="403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B1208" s="403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B1209" s="403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B1210" s="403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B1211" s="403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B1212" s="403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B1213" s="403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B1214" s="403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B1215" s="403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B1216" s="403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B1217" s="403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B1218" s="403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B1219" s="403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B1220" s="403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B1221" s="403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B1222" s="403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B1223" s="403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B1224" s="403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B1225" s="403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B1226" s="403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B1227" s="403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B1228" s="403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B1229" s="403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B1230" s="403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B1231" s="403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B1232" s="403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B1233" s="403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B1234" s="403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B1235" s="403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B1236" s="403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B1237" s="403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B1238" s="403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B1239" s="403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B1240" s="403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B1241" s="403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B1242" s="403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B1243" s="403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B1244" s="403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B1245" s="403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B1246" s="403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B1247" s="403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B1248" s="403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B1249" s="403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B1250" s="403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B1251" s="403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B1252" s="403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B1253" s="403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B1254" s="403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B1255" s="403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B1256" s="403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B1257" s="403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B1258" s="403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B1259" s="403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B1260" s="403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B1261" s="403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B1262" s="403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B1263" s="403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B1264" s="403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B1265" s="403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B1266" s="403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B1267" s="403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B1268" s="403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B1269" s="403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B1270" s="403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B1271" s="403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B1272" s="403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B1273" s="403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B1274" s="403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B1275" s="403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B1276" s="403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B1277" s="403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B1278" s="403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B1279" s="403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B1280" s="403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B1281" s="403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B1282" s="403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B1283" s="403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B1284" s="403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B1285" s="403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B1286" s="403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B1287" s="403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B1288" s="403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B1289" s="403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B1290" s="403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B1291" s="403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B1292" s="403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B1293" s="403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B1294" s="403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B1295" s="403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B1296" s="403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B1297" s="403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B1298" s="403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B1299" s="403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B1300" s="403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B1301" s="403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B1302" s="403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B1303" s="403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B1304" s="403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B1305" s="403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B1306" s="403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B1307" s="403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B1308" s="403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B1309" s="403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B1310" s="403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B1311" s="403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B1312" s="403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B1313" s="403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B1314" s="403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B1315" s="403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B1316" s="403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B1317" s="403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B1318" s="403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B1319" s="403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B1320" s="403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B1321" s="403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B1322" s="403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B1323" s="403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B1324" s="403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B1325" s="403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B1326" s="403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B1327" s="403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B1328" s="403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B1329" s="403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B1330" s="403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B1331" s="403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B1332" s="403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B1333" s="403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B1334" s="403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B1335" s="403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B1336" s="403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B1337" s="403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B1338" s="403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B1339" s="403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B1340" s="403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B1341" s="403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B1342" s="403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B1343" s="403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B1344" s="403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B1345" s="403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B1346" s="403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B1347" s="403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B1348" s="403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B1349" s="403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B1350" s="403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B1351" s="403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B1352" s="403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B1353" s="403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B1354" s="403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B1355" s="403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B1356" s="403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B1357" s="403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B1358" s="403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B1359" s="403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B1360" s="403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B1361" s="403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B1362" s="403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B1363" s="403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B1364" s="403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B1365" s="403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B1366" s="403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B1367" s="403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B1368" s="403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B1369" s="403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B1370" s="403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B1371" s="403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B1372" s="403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B1373" s="403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B1374" s="403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B1375" s="403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B1376" s="403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B1377" s="403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B1378" s="403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B1379" s="403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B1380" s="403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B1381" s="403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B1382" s="403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B1383" s="403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B1384" s="403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B1385" s="403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B1386" s="403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B1387" s="403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B1388" s="403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B1389" s="403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B1390" s="403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B1391" s="403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B1392" s="403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B1393" s="403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B1394" s="403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B1395" s="403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B1396" s="403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B1397" s="403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B1398" s="403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B1399" s="403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B1400" s="403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B1401" s="403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B1402" s="403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B1403" s="403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B1404" s="403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B1405" s="403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B1406" s="403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B1407" s="403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B1408" s="403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B1409" s="403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B1410" s="403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B1411" s="403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B1412" s="403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B1413" s="403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B1414" s="403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B1415" s="403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B1416" s="403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B1417" s="403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B1418" s="403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B1419" s="403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B1420" s="403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B1421" s="403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B1422" s="403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B1423" s="403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B1424" s="403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B1425" s="403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B1426" s="403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B1427" s="403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B1428" s="403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B1429" s="403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B1430" s="403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B1431" s="403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B1432" s="403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B1433" s="403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B1434" s="403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B1435" s="403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B1436" s="403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B1437" s="403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B1438" s="403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B1439" s="403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B1440" s="403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B1441" s="403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B1442" s="403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B1443" s="403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B1444" s="403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B1445" s="403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B1446" s="403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B1447" s="403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B1448" s="403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B1449" s="403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B1450" s="403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B1451" s="403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B1452" s="403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B1453" s="403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B1454" s="403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B1455" s="403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B1456" s="403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B1457" s="403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B1458" s="403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B1459" s="403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B1460" s="403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B1461" s="403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B1462" s="403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B1463" s="403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B1464" s="403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B1465" s="403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B1466" s="403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B1467" s="403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B1468" s="403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B1469" s="403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B1470" s="403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B1471" s="403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B1472" s="403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B1473" s="403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B1474" s="403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B1475" s="403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B1476" s="403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B1477" s="403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B1478" s="403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B1479" s="403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B1480" s="403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B1481" s="403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B1482" s="403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B1483" s="403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B1484" s="403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B1485" s="403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B1486" s="403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B1487" s="403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B1488" s="403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B1489" s="403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B1490" s="403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B1491" s="403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B1492" s="403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B1493" s="403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B1494" s="403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B1495" s="403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B1496" s="403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B1497" s="403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B1498" s="403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B1499" s="403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B1500" s="403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B1501" s="403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B1502" s="403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B1503" s="403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B1504" s="403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B1505" s="403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B1506" s="403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B1507" s="403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B1508" s="403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B1509" s="403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B1510" s="403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B1511" s="403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B1512" s="403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B1513" s="403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B1514" s="403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B1515" s="403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B1516" s="403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B1517" s="403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B1518" s="403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B1519" s="403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B1520" s="403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B1521" s="403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B1522" s="403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B1523" s="403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B1524" s="403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B1525" s="403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B1526" s="403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B1527" s="403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B1528" s="403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B1529" s="403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B1530" s="403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B1531" s="403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B1532" s="403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B1533" s="403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B1534" s="403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B1535" s="403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B1536" s="403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B1537" s="403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B1538" s="403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B1539" s="403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B1540" s="403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B1541" s="403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B1542" s="403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B1543" s="403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B1544" s="403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B1545" s="403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B1546" s="403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B1547" s="403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B1548" s="403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B1549" s="403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B1550" s="403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B1551" s="403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B1552" s="403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B1553" s="403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B1554" s="403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B1555" s="403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B1556" s="403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B1557" s="403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B1558" s="403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B1559" s="403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B1560" s="403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B1561" s="403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B1562" s="403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B1563" s="403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B1564" s="403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B1565" s="403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B1566" s="403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B1567" s="403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B1568" s="403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B1569" s="403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B1570" s="403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B1571" s="403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B1572" s="403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B1573" s="403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B1574" s="403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B1575" s="403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B1576" s="403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B1577" s="403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B1578" s="403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B1579" s="403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B1580" s="403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B1581" s="403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B1582" s="403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B1583" s="403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B1584" s="403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B1585" s="403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B1586" s="403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B1587" s="403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B1588" s="403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B1589" s="403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B1590" s="403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B1591" s="403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B1592" s="403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B1593" s="403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B1594" s="403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B1595" s="403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B1596" s="403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B1597" s="403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B1598" s="403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B1599" s="403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B1600" s="403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B1601" s="403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B1602" s="403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B1603" s="403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B1604" s="403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B1605" s="403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B1606" s="403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B1607" s="403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B1608" s="403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B1609" s="403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B1610" s="403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B1611" s="403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B1612" s="403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B1613" s="403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B1614" s="403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B1615" s="403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B1616" s="403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B1617" s="403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B1618" s="403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B1619" s="403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B1620" s="403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B1621" s="403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B1622" s="403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B1623" s="403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B1624" s="403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B1625" s="403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B1626" s="403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B1627" s="403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B1628" s="403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B1629" s="403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B1630" s="403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B1631" s="403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B1632" s="403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B1633" s="403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B1634" s="403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B1635" s="403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B1636" s="403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B1637" s="403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B1638" s="403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B1639" s="403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B1640" s="403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B1641" s="403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B1642" s="403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B1643" s="403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B1644" s="403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B1645" s="403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B1646" s="403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B1647" s="403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B1648" s="403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B1649" s="403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B1650" s="403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B1651" s="403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B1652" s="403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B1653" s="403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B1654" s="403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B1655" s="403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B1656" s="403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B1657" s="403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B1658" s="403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B1659" s="403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B1660" s="403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B1661" s="403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B1662" s="403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B1663" s="403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B1664" s="403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B1665" s="403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B1666" s="403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B1667" s="403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B1668" s="403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B1669" s="403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B1670" s="403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B1671" s="403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B1672" s="403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B1673" s="403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B1674" s="403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B1675" s="403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B1676" s="403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B1677" s="403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B1678" s="403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B1679" s="403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B1680" s="403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B1681" s="403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B1682" s="403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B1683" s="403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B1684" s="403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B1685" s="403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B1686" s="403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B1687" s="403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B1688" s="403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B1689" s="403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B1690" s="403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B1691" s="403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B1692" s="403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B1693" s="403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B1694" s="403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B1695" s="403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B1696" s="403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B1697" s="403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B1698" s="403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B1699" s="403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B1700" s="403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B1701" s="403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B1702" s="403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B1703" s="403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B1704" s="403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B1705" s="403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B1706" s="403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B1707" s="403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B1708" s="403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B1709" s="403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B1710" s="403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B1711" s="403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B1712" s="403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B1713" s="403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B1714" s="403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B1715" s="403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B1716" s="403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B1717" s="403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B1718" s="403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B1719" s="403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B1720" s="403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B1721" s="403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B1722" s="403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B1723" s="403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B1724" s="403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B1725" s="403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B1726" s="403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B1727" s="403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B1728" s="403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B1729" s="403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B1730" s="403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B1731" s="403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B1732" s="403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B1733" s="403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B1734" s="403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B1735" s="403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B1736" s="403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B1737" s="403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B1738" s="403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B1739" s="403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B1740" s="403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B1741" s="403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B1742" s="403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B1743" s="403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B1744" s="403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B1745" s="403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B1746" s="403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B1747" s="403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B1748" s="403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B1749" s="403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B1750" s="403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B1751" s="403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B1752" s="403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B1753" s="403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B1754" s="403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B1755" s="403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B1756" s="403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B1757" s="403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B1758" s="403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B1759" s="403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B1760" s="403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B1761" s="403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B1762" s="403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B1763" s="403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B1764" s="403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B1765" s="403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B1766" s="403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B1767" s="403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B1768" s="403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B1769" s="403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B1770" s="403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B1771" s="403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B1772" s="403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B1773" s="403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B1774" s="403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B1775" s="403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B1776" s="403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B1777" s="403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B1778" s="403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B1779" s="403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B1780" s="403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B1781" s="403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B1782" s="403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B1783" s="403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B1784" s="403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B1785" s="403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B1786" s="403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B1787" s="403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B1788" s="403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B1789" s="403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B1790" s="403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B1791" s="403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B1792" s="403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B1793" s="403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B1794" s="403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B1795" s="403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B1796" s="403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B1797" s="403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B1798" s="403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B1799" s="403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B1800" s="403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B1801" s="403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B1802" s="403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B1803" s="403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B1804" s="403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B1805" s="403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B1806" s="403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B1807" s="403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B1808" s="403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B1809" s="403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B1810" s="403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B1811" s="403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B1812" s="403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B1813" s="403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B1814" s="403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B1815" s="403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B1816" s="403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B1817" s="403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B1818" s="403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B1819" s="403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B1820" s="403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B1821" s="403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B1822" s="403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B1823" s="403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B1824" s="403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B1825" s="403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B1826" s="403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B1827" s="403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B1828" s="403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B1829" s="403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B1830" s="403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B1831" s="403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B1832" s="403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B1833" s="403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B1834" s="403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B1835" s="403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B1836" s="403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B1837" s="403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B1838" s="403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B1839" s="403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B1840" s="403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B1841" s="403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B1842" s="403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B1843" s="403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B1844" s="403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B1845" s="403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B1846" s="403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B1847" s="403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B1848" s="403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B1849" s="403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B1850" s="403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B1851" s="403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B1852" s="403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B1853" s="403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B1854" s="403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B1855" s="403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B1856" s="403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B1857" s="403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B1858" s="403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B1859" s="403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B1860" s="403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B1861" s="403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B1862" s="403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B1863" s="403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B1864" s="403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B1865" s="403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B1866" s="403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B1867" s="403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B1868" s="403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B1869" s="403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B1870" s="403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B1871" s="403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B1872" s="403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B1873" s="403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B1874" s="403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B1875" s="403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B1876" s="403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B1877" s="403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B1878" s="403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B1879" s="403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B1880" s="403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B1881" s="403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B1882" s="403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B1883" s="403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B1884" s="403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B1885" s="403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B1886" s="403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B1887" s="403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B1888" s="403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B1889" s="403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B1890" s="403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B1891" s="403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B1892" s="403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B1893" s="403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B1894" s="403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B1895" s="403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B1896" s="403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B1897" s="403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B1898" s="403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B1899" s="403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B1900" s="403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B1901" s="403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B1902" s="403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B1903" s="403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B1904" s="403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B1905" s="403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B1906" s="403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B1907" s="403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B1908" s="403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B1909" s="403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B1910" s="403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B1911" s="403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B1912" s="403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B1913" s="403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B1914" s="403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B1915" s="403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B1916" s="403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B1917" s="403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B1918" s="403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B1919" s="403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B1920" s="403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B1921" s="403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B1922" s="403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B1923" s="403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B1924" s="403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B1925" s="403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B1926" s="403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B1927" s="403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B1928" s="403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B1929" s="403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B1930" s="403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B1931" s="403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B1932" s="403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B1933" s="403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B1934" s="403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B1935" s="403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B1936" s="403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B1937" s="403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B1938" s="403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B1939" s="403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B1940" s="403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B1941" s="403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B1942" s="403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B1943" s="403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B1944" s="403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B1945" s="403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B1946" s="403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B1947" s="403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B1948" s="403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B1949" s="403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B1950" s="403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B1951" s="403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B1952" s="403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B1953" s="403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B1954" s="403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B1955" s="403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B1956" s="403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B1957" s="403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B1958" s="403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B1959" s="403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B1960" s="403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B1961" s="403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B1962" s="403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B1963" s="403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B1964" s="403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B1965" s="403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B1966" s="403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B1967" s="403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B1968" s="403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B1969" s="403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B1970" s="403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B1971" s="403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B1972" s="403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B1973" s="403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B1974" s="403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B1975" s="403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B1976" s="403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B1977" s="403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B1978" s="403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B1979" s="403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B1980" s="403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B1981" s="403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B1982" s="403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B1983" s="403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B1984" s="403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B1985" s="403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B1986" s="403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B1987" s="403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B1988" s="403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B1989" s="403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B1990" s="403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B1991" s="403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B1992" s="403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B1993" s="403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B1994" s="403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B1995" s="403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B1996" s="403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B1997" s="403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B1998" s="403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B1999" s="403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B2000" s="403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</sheetData>
  <dataValidations>
    <dataValidation type="list" allowBlank="1" showErrorMessage="1" sqref="C2:C414">
      <formula1>"الجيزة,القليوبية,القاهرة,الغربية,أسيوط,المنوفية,البحر الأحمر,بني سويف,الاسكندرية,سوهاج,بورسعيد,المنيا,جيزة,الدقهلية,الفيوم,مطروح,قنا,السويس,الإسكندرية,الشرقية,أسوان,OUT"</formula1>
    </dataValidation>
    <dataValidation type="custom" allowBlank="1" showDropDown="1" sqref="B2:B4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13"/>
    <col customWidth="1" min="3" max="8" width="11.13"/>
    <col customWidth="1" min="9" max="9" width="10.63"/>
    <col customWidth="1" min="11" max="12" width="6.5"/>
  </cols>
  <sheetData>
    <row r="1" ht="22.5" customHeight="1">
      <c r="A1" s="14" t="s">
        <v>5</v>
      </c>
      <c r="B1" s="14" t="s">
        <v>7</v>
      </c>
      <c r="C1" s="15" t="s">
        <v>8</v>
      </c>
      <c r="D1" s="15" t="s">
        <v>10</v>
      </c>
      <c r="E1" s="15" t="s">
        <v>11</v>
      </c>
      <c r="F1" s="17" t="s">
        <v>12</v>
      </c>
      <c r="G1" s="18" t="s">
        <v>15</v>
      </c>
      <c r="H1" s="18" t="s">
        <v>16</v>
      </c>
      <c r="I1" s="18" t="s">
        <v>18</v>
      </c>
      <c r="J1" s="20"/>
      <c r="K1" s="21" t="s">
        <v>8</v>
      </c>
      <c r="L1" s="21" t="s">
        <v>10</v>
      </c>
      <c r="M1" s="20"/>
      <c r="N1" s="20"/>
      <c r="O1" s="20"/>
      <c r="P1" s="20"/>
      <c r="Q1" s="20"/>
      <c r="R1" s="20"/>
    </row>
    <row r="2" ht="22.5" customHeight="1">
      <c r="A2" s="23" t="s">
        <v>24</v>
      </c>
      <c r="B2" s="24" t="s">
        <v>27</v>
      </c>
      <c r="C2" s="25">
        <v>12.0</v>
      </c>
      <c r="D2" s="25">
        <v>30.0</v>
      </c>
      <c r="E2" s="25">
        <v>5.0</v>
      </c>
      <c r="F2" s="25">
        <f t="shared" ref="F2:F58" si="1">D2-E2-C2</f>
        <v>13</v>
      </c>
      <c r="G2" s="28">
        <f>SUMIF(Table1[[#ALL],[Order Details]],"Bible Note",Table1[[#ALL],[Quantity]])</f>
        <v>279</v>
      </c>
      <c r="H2" s="30">
        <f>Stock!Z54</f>
        <v>383</v>
      </c>
      <c r="I2" s="34">
        <f t="shared" ref="I2:I19" si="2">H2-G2</f>
        <v>104</v>
      </c>
      <c r="J2" s="4"/>
      <c r="K2" s="36">
        <f t="shared" ref="K2:K59" si="3">I2*C2</f>
        <v>1248</v>
      </c>
      <c r="L2" s="36">
        <f t="shared" ref="L2:L59" si="4">I2*D2</f>
        <v>3120</v>
      </c>
      <c r="M2" s="4"/>
      <c r="N2" s="4"/>
      <c r="O2" s="4"/>
      <c r="P2" s="4"/>
      <c r="Q2" s="4"/>
      <c r="R2" s="4"/>
    </row>
    <row r="3" ht="22.5" customHeight="1">
      <c r="A3" s="43" t="s">
        <v>61</v>
      </c>
      <c r="B3" s="45" t="s">
        <v>27</v>
      </c>
      <c r="C3" s="43">
        <v>16.0</v>
      </c>
      <c r="D3" s="43">
        <v>18.0</v>
      </c>
      <c r="E3" s="43">
        <v>0.0</v>
      </c>
      <c r="F3" s="43">
        <f t="shared" si="1"/>
        <v>2</v>
      </c>
      <c r="G3" s="43">
        <f>SUMIF(Table1[[#ALL],[Order Details]],"Basic Note",Table1[[#ALL],[Quantity]])</f>
        <v>10</v>
      </c>
      <c r="H3" s="43">
        <f>Stock!T54</f>
        <v>70</v>
      </c>
      <c r="I3" s="53">
        <f t="shared" si="2"/>
        <v>60</v>
      </c>
      <c r="J3" s="4"/>
      <c r="K3" s="36">
        <f t="shared" si="3"/>
        <v>960</v>
      </c>
      <c r="L3" s="36">
        <f t="shared" si="4"/>
        <v>1080</v>
      </c>
      <c r="M3" s="4"/>
      <c r="N3" s="4"/>
      <c r="O3" s="4"/>
      <c r="P3" s="4"/>
      <c r="Q3" s="4"/>
      <c r="R3" s="4"/>
    </row>
    <row r="4" ht="22.5" customHeight="1">
      <c r="A4" s="56" t="s">
        <v>72</v>
      </c>
      <c r="B4" s="57" t="s">
        <v>27</v>
      </c>
      <c r="C4" s="58">
        <v>10.0</v>
      </c>
      <c r="D4" s="58">
        <v>23.0</v>
      </c>
      <c r="E4" s="58">
        <v>5.0</v>
      </c>
      <c r="F4" s="58">
        <f t="shared" si="1"/>
        <v>8</v>
      </c>
      <c r="G4" s="62">
        <f>SUMIF(Table1[[#ALL],[Order Details]],"Todo List",Table1[[#ALL],[Quantity]])</f>
        <v>17</v>
      </c>
      <c r="H4" s="64">
        <f>Stock!Q54</f>
        <v>83</v>
      </c>
      <c r="I4" s="34">
        <f t="shared" si="2"/>
        <v>66</v>
      </c>
      <c r="J4" s="4"/>
      <c r="K4" s="36">
        <f t="shared" si="3"/>
        <v>660</v>
      </c>
      <c r="L4" s="36">
        <f t="shared" si="4"/>
        <v>1518</v>
      </c>
      <c r="M4" s="4"/>
      <c r="N4" s="4"/>
      <c r="O4" s="4"/>
      <c r="P4" s="4"/>
      <c r="Q4" s="4"/>
      <c r="R4" s="4"/>
    </row>
    <row r="5" ht="22.5" customHeight="1">
      <c r="A5" s="43" t="s">
        <v>85</v>
      </c>
      <c r="B5" s="45" t="s">
        <v>27</v>
      </c>
      <c r="C5" s="43">
        <v>12.0</v>
      </c>
      <c r="D5" s="43">
        <v>30.0</v>
      </c>
      <c r="E5" s="43">
        <v>5.0</v>
      </c>
      <c r="F5" s="43">
        <f t="shared" si="1"/>
        <v>13</v>
      </c>
      <c r="G5" s="43">
        <f>SUMIF(Table1[[#ALL],[Order Details]],"Tracker Note",Table1[[#ALL],[Quantity]])</f>
        <v>11</v>
      </c>
      <c r="H5" s="43">
        <f>Stock!W54</f>
        <v>68</v>
      </c>
      <c r="I5" s="53">
        <f t="shared" si="2"/>
        <v>57</v>
      </c>
      <c r="J5" s="4"/>
      <c r="K5" s="36">
        <f t="shared" si="3"/>
        <v>684</v>
      </c>
      <c r="L5" s="36">
        <f t="shared" si="4"/>
        <v>1710</v>
      </c>
      <c r="M5" s="4"/>
      <c r="N5" s="4"/>
      <c r="O5" s="4"/>
      <c r="P5" s="4"/>
      <c r="Q5" s="4"/>
      <c r="R5" s="4"/>
    </row>
    <row r="6" ht="22.5" customHeight="1">
      <c r="A6" s="56" t="s">
        <v>90</v>
      </c>
      <c r="B6" s="57" t="s">
        <v>27</v>
      </c>
      <c r="C6" s="58">
        <v>0.0</v>
      </c>
      <c r="D6" s="58">
        <v>15.0</v>
      </c>
      <c r="E6" s="58">
        <v>5.0</v>
      </c>
      <c r="F6" s="58">
        <f t="shared" si="1"/>
        <v>10</v>
      </c>
      <c r="G6" s="62">
        <f>SUMIF(Table1[[#ALL],[Order Details]],"Rule",Table1[[#ALL],[Quantity]])</f>
        <v>0</v>
      </c>
      <c r="H6" s="64">
        <f>Stock!K166</f>
        <v>0</v>
      </c>
      <c r="I6" s="34">
        <f t="shared" si="2"/>
        <v>0</v>
      </c>
      <c r="J6" s="4"/>
      <c r="K6" s="36">
        <f t="shared" si="3"/>
        <v>0</v>
      </c>
      <c r="L6" s="36">
        <f t="shared" si="4"/>
        <v>0</v>
      </c>
      <c r="M6" s="4"/>
      <c r="N6" s="4"/>
      <c r="O6" s="4"/>
      <c r="P6" s="4"/>
      <c r="Q6" s="4"/>
      <c r="R6" s="4"/>
    </row>
    <row r="7" ht="22.5" customHeight="1">
      <c r="A7" s="43" t="s">
        <v>101</v>
      </c>
      <c r="B7" s="45" t="s">
        <v>27</v>
      </c>
      <c r="C7" s="43">
        <v>0.0</v>
      </c>
      <c r="D7" s="43">
        <v>20.0</v>
      </c>
      <c r="E7" s="43">
        <v>5.0</v>
      </c>
      <c r="F7" s="43">
        <f t="shared" si="1"/>
        <v>15</v>
      </c>
      <c r="G7" s="43"/>
      <c r="H7" s="43">
        <f>Stock!B82</f>
        <v>10</v>
      </c>
      <c r="I7" s="53">
        <f t="shared" si="2"/>
        <v>10</v>
      </c>
      <c r="J7" s="4"/>
      <c r="K7" s="36">
        <f t="shared" si="3"/>
        <v>0</v>
      </c>
      <c r="L7" s="36">
        <f t="shared" si="4"/>
        <v>200</v>
      </c>
      <c r="M7" s="4"/>
      <c r="N7" s="4"/>
      <c r="O7" s="4"/>
      <c r="P7" s="4"/>
      <c r="Q7" s="4"/>
      <c r="R7" s="4"/>
    </row>
    <row r="8" ht="22.5" hidden="1" customHeight="1">
      <c r="A8" s="56" t="s">
        <v>106</v>
      </c>
      <c r="B8" s="57" t="s">
        <v>27</v>
      </c>
      <c r="C8" s="58">
        <v>0.0</v>
      </c>
      <c r="D8" s="58">
        <v>0.0</v>
      </c>
      <c r="E8" s="58"/>
      <c r="F8" s="58">
        <f t="shared" si="1"/>
        <v>0</v>
      </c>
      <c r="G8" s="62"/>
      <c r="H8" s="64">
        <v>0.0</v>
      </c>
      <c r="I8" s="34">
        <f t="shared" si="2"/>
        <v>0</v>
      </c>
      <c r="J8" s="4"/>
      <c r="K8" s="36">
        <f t="shared" si="3"/>
        <v>0</v>
      </c>
      <c r="L8" s="36">
        <f t="shared" si="4"/>
        <v>0</v>
      </c>
      <c r="M8" s="4"/>
      <c r="N8" s="4"/>
      <c r="O8" s="4"/>
      <c r="P8" s="4"/>
      <c r="Q8" s="4"/>
      <c r="R8" s="4"/>
    </row>
    <row r="9" ht="22.5" hidden="1" customHeight="1">
      <c r="A9" s="25" t="s">
        <v>113</v>
      </c>
      <c r="B9" s="24" t="s">
        <v>27</v>
      </c>
      <c r="C9" s="25">
        <v>0.0</v>
      </c>
      <c r="D9" s="25">
        <v>0.0</v>
      </c>
      <c r="E9" s="25"/>
      <c r="F9" s="25">
        <f t="shared" si="1"/>
        <v>0</v>
      </c>
      <c r="G9" s="25"/>
      <c r="H9" s="25">
        <v>8.0</v>
      </c>
      <c r="I9" s="53">
        <f t="shared" si="2"/>
        <v>8</v>
      </c>
      <c r="J9" s="4"/>
      <c r="K9" s="36">
        <f t="shared" si="3"/>
        <v>0</v>
      </c>
      <c r="L9" s="36">
        <f t="shared" si="4"/>
        <v>0</v>
      </c>
      <c r="M9" s="4"/>
      <c r="N9" s="4"/>
      <c r="O9" s="4"/>
      <c r="P9" s="4"/>
      <c r="Q9" s="4"/>
      <c r="R9" s="4"/>
    </row>
    <row r="10" ht="22.5" hidden="1" customHeight="1">
      <c r="A10" s="56" t="s">
        <v>117</v>
      </c>
      <c r="B10" s="57" t="s">
        <v>27</v>
      </c>
      <c r="C10" s="58">
        <v>0.0</v>
      </c>
      <c r="D10" s="58">
        <v>0.0</v>
      </c>
      <c r="E10" s="58"/>
      <c r="F10" s="58">
        <f t="shared" si="1"/>
        <v>0</v>
      </c>
      <c r="G10" s="62"/>
      <c r="H10" s="64">
        <v>5.0</v>
      </c>
      <c r="I10" s="34">
        <f t="shared" si="2"/>
        <v>5</v>
      </c>
      <c r="J10" s="4"/>
      <c r="K10" s="36">
        <f t="shared" si="3"/>
        <v>0</v>
      </c>
      <c r="L10" s="36">
        <f t="shared" si="4"/>
        <v>0</v>
      </c>
      <c r="M10" s="4"/>
      <c r="N10" s="4"/>
      <c r="O10" s="4"/>
      <c r="P10" s="4"/>
      <c r="Q10" s="4"/>
      <c r="R10" s="4"/>
    </row>
    <row r="11" ht="22.5" hidden="1" customHeight="1">
      <c r="A11" s="25" t="s">
        <v>118</v>
      </c>
      <c r="B11" s="24" t="s">
        <v>27</v>
      </c>
      <c r="C11" s="25">
        <v>0.0</v>
      </c>
      <c r="D11" s="25">
        <v>0.0</v>
      </c>
      <c r="E11" s="25"/>
      <c r="F11" s="25">
        <f t="shared" si="1"/>
        <v>0</v>
      </c>
      <c r="G11" s="25"/>
      <c r="H11" s="25">
        <v>11.0</v>
      </c>
      <c r="I11" s="53">
        <f t="shared" si="2"/>
        <v>11</v>
      </c>
      <c r="J11" s="4"/>
      <c r="K11" s="36">
        <f t="shared" si="3"/>
        <v>0</v>
      </c>
      <c r="L11" s="36">
        <f t="shared" si="4"/>
        <v>0</v>
      </c>
      <c r="M11" s="4"/>
      <c r="N11" s="4"/>
      <c r="O11" s="4"/>
      <c r="P11" s="4"/>
      <c r="Q11" s="4"/>
      <c r="R11" s="4"/>
    </row>
    <row r="12" ht="22.5" hidden="1" customHeight="1">
      <c r="A12" s="56" t="s">
        <v>121</v>
      </c>
      <c r="B12" s="57" t="s">
        <v>27</v>
      </c>
      <c r="C12" s="58">
        <v>0.0</v>
      </c>
      <c r="D12" s="58">
        <v>0.0</v>
      </c>
      <c r="E12" s="58"/>
      <c r="F12" s="58">
        <f t="shared" si="1"/>
        <v>0</v>
      </c>
      <c r="G12" s="62"/>
      <c r="H12" s="64">
        <v>7.0</v>
      </c>
      <c r="I12" s="34">
        <f t="shared" si="2"/>
        <v>7</v>
      </c>
      <c r="J12" s="4"/>
      <c r="K12" s="36">
        <f t="shared" si="3"/>
        <v>0</v>
      </c>
      <c r="L12" s="36">
        <f t="shared" si="4"/>
        <v>0</v>
      </c>
      <c r="M12" s="4"/>
      <c r="N12" s="4"/>
      <c r="O12" s="4"/>
      <c r="P12" s="4"/>
      <c r="Q12" s="4"/>
      <c r="R12" s="4"/>
    </row>
    <row r="13" ht="22.5" customHeight="1">
      <c r="A13" s="25" t="s">
        <v>124</v>
      </c>
      <c r="B13" s="24" t="s">
        <v>125</v>
      </c>
      <c r="C13" s="25">
        <v>1.0</v>
      </c>
      <c r="D13" s="25">
        <v>3.0</v>
      </c>
      <c r="E13" s="25">
        <v>0.0</v>
      </c>
      <c r="F13" s="25">
        <f t="shared" si="1"/>
        <v>2</v>
      </c>
      <c r="G13" s="25">
        <f>SUMIF(Table1[[#ALL],[Order Details]],"كارت حضور 4",Table1[[#ALL],[Quantity]])</f>
        <v>3045</v>
      </c>
      <c r="H13" s="25">
        <f>Stock!N166</f>
        <v>3045</v>
      </c>
      <c r="I13" s="53">
        <f t="shared" si="2"/>
        <v>0</v>
      </c>
      <c r="J13" s="4"/>
      <c r="K13" s="36">
        <f t="shared" si="3"/>
        <v>0</v>
      </c>
      <c r="L13" s="36">
        <f t="shared" si="4"/>
        <v>0</v>
      </c>
      <c r="M13" s="4"/>
      <c r="N13" s="4"/>
      <c r="O13" s="4"/>
      <c r="P13" s="4"/>
      <c r="Q13" s="4"/>
      <c r="R13" s="4"/>
    </row>
    <row r="14" ht="22.5" customHeight="1">
      <c r="A14" s="78" t="s">
        <v>128</v>
      </c>
      <c r="B14" s="80" t="s">
        <v>125</v>
      </c>
      <c r="C14" s="82">
        <v>1.0</v>
      </c>
      <c r="D14" s="82">
        <v>4.0</v>
      </c>
      <c r="E14" s="82">
        <v>0.0</v>
      </c>
      <c r="F14" s="82">
        <f t="shared" si="1"/>
        <v>3</v>
      </c>
      <c r="G14" s="83">
        <f>SUMIF(Table1[[#ALL],[Order Details]],"كارت حضور 5",Table1[[#ALL],[Quantity]])</f>
        <v>200</v>
      </c>
      <c r="H14" s="84">
        <f>Stock!Q166</f>
        <v>200</v>
      </c>
      <c r="I14" s="34">
        <f t="shared" si="2"/>
        <v>0</v>
      </c>
      <c r="J14" s="4"/>
      <c r="K14" s="36">
        <f t="shared" si="3"/>
        <v>0</v>
      </c>
      <c r="L14" s="36">
        <f t="shared" si="4"/>
        <v>0</v>
      </c>
      <c r="M14" s="4"/>
      <c r="N14" s="4"/>
      <c r="O14" s="4"/>
      <c r="P14" s="4"/>
      <c r="Q14" s="4"/>
      <c r="R14" s="4"/>
    </row>
    <row r="15" ht="22.5" customHeight="1">
      <c r="A15" s="25" t="s">
        <v>130</v>
      </c>
      <c r="B15" s="24" t="s">
        <v>125</v>
      </c>
      <c r="C15" s="25">
        <v>1.0</v>
      </c>
      <c r="D15" s="25">
        <v>5.0</v>
      </c>
      <c r="E15" s="25">
        <v>0.0</v>
      </c>
      <c r="F15" s="25">
        <f t="shared" si="1"/>
        <v>4</v>
      </c>
      <c r="G15" s="25">
        <f>SUMIF(Table1[[#ALL],[Order Details]],"كارت حضور 8",Table1[[#ALL],[Quantity]])</f>
        <v>0</v>
      </c>
      <c r="H15" s="25">
        <f>Stock!T166</f>
        <v>0</v>
      </c>
      <c r="I15" s="53">
        <f t="shared" si="2"/>
        <v>0</v>
      </c>
      <c r="J15" s="4"/>
      <c r="K15" s="36">
        <f t="shared" si="3"/>
        <v>0</v>
      </c>
      <c r="L15" s="36">
        <f t="shared" si="4"/>
        <v>0</v>
      </c>
      <c r="M15" s="4"/>
      <c r="N15" s="4"/>
      <c r="O15" s="4"/>
      <c r="P15" s="4"/>
      <c r="Q15" s="4"/>
      <c r="R15" s="4"/>
    </row>
    <row r="16" ht="22.5" customHeight="1">
      <c r="A16" s="78" t="s">
        <v>133</v>
      </c>
      <c r="B16" s="80" t="s">
        <v>125</v>
      </c>
      <c r="C16" s="82">
        <v>1.0</v>
      </c>
      <c r="D16" s="82">
        <v>5.0</v>
      </c>
      <c r="E16" s="82">
        <v>0.0</v>
      </c>
      <c r="F16" s="82">
        <f t="shared" si="1"/>
        <v>4</v>
      </c>
      <c r="G16" s="83">
        <f>SUMIF(Table1[[#ALL],[Order Details]],"كارت حضور 12",Table1[[#ALL],[Quantity]])</f>
        <v>40</v>
      </c>
      <c r="H16" s="84">
        <f>Stock!W166</f>
        <v>50</v>
      </c>
      <c r="I16" s="34">
        <f t="shared" si="2"/>
        <v>10</v>
      </c>
      <c r="J16" s="4"/>
      <c r="K16" s="36">
        <f t="shared" si="3"/>
        <v>10</v>
      </c>
      <c r="L16" s="36">
        <f t="shared" si="4"/>
        <v>50</v>
      </c>
      <c r="M16" s="4"/>
      <c r="N16" s="4"/>
      <c r="O16" s="4"/>
      <c r="P16" s="4"/>
      <c r="Q16" s="4"/>
      <c r="R16" s="4"/>
    </row>
    <row r="17" ht="22.5" customHeight="1">
      <c r="A17" s="25" t="s">
        <v>136</v>
      </c>
      <c r="B17" s="24" t="s">
        <v>125</v>
      </c>
      <c r="C17" s="25">
        <v>1.0</v>
      </c>
      <c r="D17" s="25">
        <v>5.0</v>
      </c>
      <c r="E17" s="25">
        <v>0.0</v>
      </c>
      <c r="F17" s="25">
        <f t="shared" si="1"/>
        <v>4</v>
      </c>
      <c r="G17" s="25">
        <f>SUMIF(Table1[[#ALL],[Order Details]],"كارت حضور العدراء",Table1[[#ALL],[Quantity]])</f>
        <v>480</v>
      </c>
      <c r="H17" s="25">
        <f>Stock!Z166</f>
        <v>1000</v>
      </c>
      <c r="I17" s="53">
        <f t="shared" si="2"/>
        <v>520</v>
      </c>
      <c r="J17" s="4"/>
      <c r="K17" s="36">
        <f t="shared" si="3"/>
        <v>520</v>
      </c>
      <c r="L17" s="36">
        <f t="shared" si="4"/>
        <v>2600</v>
      </c>
      <c r="M17" s="4"/>
      <c r="N17" s="4"/>
      <c r="O17" s="4"/>
      <c r="P17" s="4"/>
      <c r="Q17" s="4"/>
      <c r="R17" s="4"/>
    </row>
    <row r="18" ht="22.5" customHeight="1">
      <c r="A18" s="78" t="s">
        <v>138</v>
      </c>
      <c r="B18" s="80" t="s">
        <v>125</v>
      </c>
      <c r="C18" s="82">
        <v>50.0</v>
      </c>
      <c r="D18" s="82">
        <v>100.0</v>
      </c>
      <c r="E18" s="82">
        <v>5.0</v>
      </c>
      <c r="F18" s="82">
        <f t="shared" si="1"/>
        <v>45</v>
      </c>
      <c r="G18" s="83">
        <f>SUMIF(Table1[[#ALL],[Order Details]],"ختم حضور",Table1[[#ALL],[Quantity]])</f>
        <v>28</v>
      </c>
      <c r="H18" s="84">
        <f>Stock!Z139</f>
        <v>28</v>
      </c>
      <c r="I18" s="34">
        <f t="shared" si="2"/>
        <v>0</v>
      </c>
      <c r="J18" s="4"/>
      <c r="K18" s="36">
        <f t="shared" si="3"/>
        <v>0</v>
      </c>
      <c r="L18" s="36">
        <f t="shared" si="4"/>
        <v>0</v>
      </c>
      <c r="M18" s="4"/>
      <c r="N18" s="4"/>
      <c r="O18" s="4"/>
      <c r="P18" s="4"/>
      <c r="Q18" s="4"/>
      <c r="R18" s="4"/>
    </row>
    <row r="19" ht="22.5" customHeight="1">
      <c r="A19" s="25" t="s">
        <v>141</v>
      </c>
      <c r="B19" s="24" t="s">
        <v>125</v>
      </c>
      <c r="C19" s="25">
        <v>1450.0</v>
      </c>
      <c r="D19" s="25">
        <v>2000.0</v>
      </c>
      <c r="E19" s="25">
        <v>50.0</v>
      </c>
      <c r="F19" s="25">
        <f t="shared" si="1"/>
        <v>500</v>
      </c>
      <c r="G19" s="25">
        <f>SUMIF(Table1[[#ALL],[Order Details]],"باكيدچ",Table1[[#ALL],[Quantity]])</f>
        <v>1</v>
      </c>
      <c r="H19" s="25">
        <v>1.0</v>
      </c>
      <c r="I19" s="53">
        <f t="shared" si="2"/>
        <v>0</v>
      </c>
      <c r="J19" s="4"/>
      <c r="K19" s="36">
        <f t="shared" si="3"/>
        <v>0</v>
      </c>
      <c r="L19" s="36">
        <f t="shared" si="4"/>
        <v>0</v>
      </c>
      <c r="M19" s="4"/>
      <c r="N19" s="4"/>
      <c r="O19" s="4"/>
      <c r="P19" s="4"/>
      <c r="Q19" s="4"/>
      <c r="R19" s="4"/>
    </row>
    <row r="20" ht="22.5" customHeight="1">
      <c r="A20" s="78" t="s">
        <v>145</v>
      </c>
      <c r="B20" s="80" t="s">
        <v>146</v>
      </c>
      <c r="C20" s="82">
        <v>0.0</v>
      </c>
      <c r="D20" s="82">
        <v>100.0</v>
      </c>
      <c r="E20" s="82">
        <v>0.0</v>
      </c>
      <c r="F20" s="82">
        <f t="shared" si="1"/>
        <v>100</v>
      </c>
      <c r="G20" s="83">
        <f>SUMIF(Table1[[#ALL],[Order Details]],"File",Table1[[#ALL],[Quantity]])</f>
        <v>10</v>
      </c>
      <c r="H20" s="84">
        <v>0.0</v>
      </c>
      <c r="I20" s="86">
        <v>0.0</v>
      </c>
      <c r="J20" s="4"/>
      <c r="K20" s="36">
        <f t="shared" si="3"/>
        <v>0</v>
      </c>
      <c r="L20" s="36">
        <f t="shared" si="4"/>
        <v>0</v>
      </c>
      <c r="M20" s="4"/>
      <c r="N20" s="4"/>
      <c r="O20" s="4"/>
      <c r="P20" s="4"/>
      <c r="Q20" s="4"/>
      <c r="R20" s="4"/>
    </row>
    <row r="21" ht="22.5" customHeight="1">
      <c r="A21" s="87" t="s">
        <v>104</v>
      </c>
      <c r="B21" s="88" t="s">
        <v>125</v>
      </c>
      <c r="C21" s="87">
        <v>30.0</v>
      </c>
      <c r="D21" s="87">
        <v>80.0</v>
      </c>
      <c r="E21" s="87">
        <v>5.0</v>
      </c>
      <c r="F21" s="87">
        <f t="shared" si="1"/>
        <v>45</v>
      </c>
      <c r="G21" s="87">
        <f>SUMIF(Table1[[#ALL],[Order Details]],"أسبوع الالام",Table1[[#ALL],[Quantity]])</f>
        <v>478</v>
      </c>
      <c r="H21" s="87">
        <f>Stock!B26</f>
        <v>478</v>
      </c>
      <c r="I21" s="53">
        <f t="shared" ref="I21:I58" si="5">H21-G21</f>
        <v>0</v>
      </c>
      <c r="J21" s="4"/>
      <c r="K21" s="36">
        <f t="shared" si="3"/>
        <v>0</v>
      </c>
      <c r="L21" s="36">
        <f t="shared" si="4"/>
        <v>0</v>
      </c>
      <c r="M21" s="4"/>
      <c r="N21" s="4"/>
      <c r="O21" s="4"/>
      <c r="P21" s="4"/>
      <c r="Q21" s="4"/>
      <c r="R21" s="4"/>
    </row>
    <row r="22" ht="22.5" customHeight="1">
      <c r="A22" s="78" t="s">
        <v>151</v>
      </c>
      <c r="B22" s="80" t="s">
        <v>125</v>
      </c>
      <c r="C22" s="82">
        <v>10.0</v>
      </c>
      <c r="D22" s="82">
        <v>20.0</v>
      </c>
      <c r="E22" s="82">
        <v>5.0</v>
      </c>
      <c r="F22" s="82">
        <f t="shared" si="1"/>
        <v>5</v>
      </c>
      <c r="G22" s="83">
        <f>SUMIF(Table1[[#ALL],[Order Details]],"استيكر اسبوع الالام",Table1[[#ALL],[Quantity]])</f>
        <v>0</v>
      </c>
      <c r="H22" s="84">
        <f>Stock!E26</f>
        <v>13</v>
      </c>
      <c r="I22" s="34">
        <f t="shared" si="5"/>
        <v>13</v>
      </c>
      <c r="J22" s="4"/>
      <c r="K22" s="36">
        <f t="shared" si="3"/>
        <v>130</v>
      </c>
      <c r="L22" s="36">
        <f t="shared" si="4"/>
        <v>260</v>
      </c>
      <c r="M22" s="4"/>
      <c r="N22" s="4"/>
      <c r="O22" s="4"/>
      <c r="P22" s="4"/>
      <c r="Q22" s="4"/>
      <c r="R22" s="4"/>
    </row>
    <row r="23" ht="22.5" customHeight="1">
      <c r="A23" s="87" t="s">
        <v>153</v>
      </c>
      <c r="B23" s="88" t="s">
        <v>125</v>
      </c>
      <c r="C23" s="87">
        <v>30.0</v>
      </c>
      <c r="D23" s="87">
        <v>80.0</v>
      </c>
      <c r="E23" s="87">
        <v>5.0</v>
      </c>
      <c r="F23" s="87">
        <f t="shared" si="1"/>
        <v>45</v>
      </c>
      <c r="G23" s="87">
        <f>SUMIF(Table1[[#ALL],[Order Details]],"أحاد الصوم",Table1[[#ALL],[Quantity]])</f>
        <v>58</v>
      </c>
      <c r="H23" s="87">
        <f>Stock!H26</f>
        <v>61</v>
      </c>
      <c r="I23" s="53">
        <f t="shared" si="5"/>
        <v>3</v>
      </c>
      <c r="J23" s="4"/>
      <c r="K23" s="36">
        <f t="shared" si="3"/>
        <v>90</v>
      </c>
      <c r="L23" s="36">
        <f t="shared" si="4"/>
        <v>240</v>
      </c>
      <c r="M23" s="4"/>
      <c r="N23" s="4"/>
      <c r="O23" s="4"/>
      <c r="P23" s="4"/>
      <c r="Q23" s="4"/>
      <c r="R23" s="4"/>
    </row>
    <row r="24" ht="22.5" customHeight="1">
      <c r="A24" s="78" t="s">
        <v>158</v>
      </c>
      <c r="B24" s="80" t="s">
        <v>125</v>
      </c>
      <c r="C24" s="82">
        <v>10.0</v>
      </c>
      <c r="D24" s="82">
        <v>20.0</v>
      </c>
      <c r="E24" s="82">
        <v>5.0</v>
      </c>
      <c r="F24" s="82">
        <f t="shared" si="1"/>
        <v>5</v>
      </c>
      <c r="G24" s="83">
        <f>SUMIF(Table1[[#ALL],[Order Details]],"استيكر أحاد الصوم",Table1[[#ALL],[Quantity]])</f>
        <v>0</v>
      </c>
      <c r="H24" s="84">
        <f>Stock!K26</f>
        <v>3</v>
      </c>
      <c r="I24" s="34">
        <f t="shared" si="5"/>
        <v>3</v>
      </c>
      <c r="J24" s="4"/>
      <c r="K24" s="36">
        <f t="shared" si="3"/>
        <v>30</v>
      </c>
      <c r="L24" s="36">
        <f t="shared" si="4"/>
        <v>60</v>
      </c>
      <c r="M24" s="4"/>
      <c r="N24" s="4"/>
      <c r="O24" s="4"/>
      <c r="P24" s="4"/>
      <c r="Q24" s="4"/>
      <c r="R24" s="4"/>
    </row>
    <row r="25" ht="22.5" customHeight="1">
      <c r="A25" s="87" t="s">
        <v>161</v>
      </c>
      <c r="B25" s="88" t="s">
        <v>125</v>
      </c>
      <c r="C25" s="87">
        <v>30.0</v>
      </c>
      <c r="D25" s="87">
        <v>80.0</v>
      </c>
      <c r="E25" s="87">
        <v>5.0</v>
      </c>
      <c r="F25" s="87">
        <f t="shared" si="1"/>
        <v>45</v>
      </c>
      <c r="G25" s="87">
        <f>SUMIF(Table1[[#ALL],[Order Details]],"القيامة ابتدائي",Table1[[#ALL],[Quantity]])</f>
        <v>126</v>
      </c>
      <c r="H25" s="87">
        <f>Stock!N26</f>
        <v>138</v>
      </c>
      <c r="I25" s="53">
        <f t="shared" si="5"/>
        <v>12</v>
      </c>
      <c r="J25" s="4"/>
      <c r="K25" s="36">
        <f t="shared" si="3"/>
        <v>360</v>
      </c>
      <c r="L25" s="36">
        <f t="shared" si="4"/>
        <v>960</v>
      </c>
      <c r="M25" s="4"/>
      <c r="N25" s="4"/>
      <c r="O25" s="4"/>
      <c r="P25" s="4"/>
      <c r="Q25" s="4"/>
      <c r="R25" s="4"/>
    </row>
    <row r="26" ht="22.5" customHeight="1">
      <c r="A26" s="78" t="s">
        <v>165</v>
      </c>
      <c r="B26" s="80" t="s">
        <v>125</v>
      </c>
      <c r="C26" s="82">
        <v>10.0</v>
      </c>
      <c r="D26" s="82">
        <v>20.0</v>
      </c>
      <c r="E26" s="82">
        <v>5.0</v>
      </c>
      <c r="F26" s="82">
        <f t="shared" si="1"/>
        <v>5</v>
      </c>
      <c r="G26" s="83">
        <f>SUMIF(Table1[[#ALL],[Order Details]],"استيكر القيامة ابتدائي",Table1[[#ALL],[Quantity]])</f>
        <v>0</v>
      </c>
      <c r="H26" s="84">
        <f>Stock!Q26</f>
        <v>1</v>
      </c>
      <c r="I26" s="34">
        <f t="shared" si="5"/>
        <v>1</v>
      </c>
      <c r="J26" s="4"/>
      <c r="K26" s="36">
        <f t="shared" si="3"/>
        <v>10</v>
      </c>
      <c r="L26" s="36">
        <f t="shared" si="4"/>
        <v>20</v>
      </c>
      <c r="M26" s="4"/>
      <c r="N26" s="4"/>
      <c r="O26" s="4"/>
      <c r="P26" s="4"/>
      <c r="Q26" s="4"/>
      <c r="R26" s="4"/>
    </row>
    <row r="27" ht="22.5" customHeight="1">
      <c r="A27" s="87" t="s">
        <v>168</v>
      </c>
      <c r="B27" s="88" t="s">
        <v>125</v>
      </c>
      <c r="C27" s="87">
        <v>30.0</v>
      </c>
      <c r="D27" s="87">
        <v>80.0</v>
      </c>
      <c r="E27" s="87">
        <v>5.0</v>
      </c>
      <c r="F27" s="87">
        <f t="shared" si="1"/>
        <v>45</v>
      </c>
      <c r="G27" s="87">
        <f>SUMIF(Table1[[#ALL],[Order Details]],"القيامة شباب",Table1[[#ALL],[Quantity]])</f>
        <v>478</v>
      </c>
      <c r="H27" s="87">
        <f>Stock!T26</f>
        <v>481</v>
      </c>
      <c r="I27" s="53">
        <f t="shared" si="5"/>
        <v>3</v>
      </c>
      <c r="J27" s="4"/>
      <c r="K27" s="36">
        <f t="shared" si="3"/>
        <v>90</v>
      </c>
      <c r="L27" s="36">
        <f t="shared" si="4"/>
        <v>240</v>
      </c>
      <c r="M27" s="4"/>
      <c r="N27" s="4"/>
      <c r="O27" s="4"/>
      <c r="P27" s="4"/>
      <c r="Q27" s="4"/>
      <c r="R27" s="4"/>
    </row>
    <row r="28" ht="22.5" customHeight="1">
      <c r="A28" s="78" t="s">
        <v>170</v>
      </c>
      <c r="B28" s="80" t="s">
        <v>125</v>
      </c>
      <c r="C28" s="82">
        <v>10.0</v>
      </c>
      <c r="D28" s="82">
        <v>20.0</v>
      </c>
      <c r="E28" s="82">
        <v>5.0</v>
      </c>
      <c r="F28" s="82">
        <f t="shared" si="1"/>
        <v>5</v>
      </c>
      <c r="G28" s="83">
        <f>SUMIF(Table1[[#ALL],[Order Details]],"أستيكر القيامة شباب",Table1[[#ALL],[Quantity]])</f>
        <v>0</v>
      </c>
      <c r="H28" s="84">
        <f>Stock!W26</f>
        <v>15</v>
      </c>
      <c r="I28" s="34">
        <f t="shared" si="5"/>
        <v>15</v>
      </c>
      <c r="J28" s="4"/>
      <c r="K28" s="36">
        <f t="shared" si="3"/>
        <v>150</v>
      </c>
      <c r="L28" s="36">
        <f t="shared" si="4"/>
        <v>300</v>
      </c>
      <c r="M28" s="4"/>
      <c r="N28" s="4"/>
      <c r="O28" s="4"/>
      <c r="P28" s="4"/>
      <c r="Q28" s="4"/>
      <c r="R28" s="4"/>
    </row>
    <row r="29" ht="22.5" customHeight="1">
      <c r="A29" s="87" t="s">
        <v>173</v>
      </c>
      <c r="B29" s="88" t="s">
        <v>125</v>
      </c>
      <c r="C29" s="87">
        <v>9.0</v>
      </c>
      <c r="D29" s="87">
        <v>15.0</v>
      </c>
      <c r="E29" s="87">
        <v>1.0</v>
      </c>
      <c r="F29" s="87">
        <f t="shared" si="1"/>
        <v>5</v>
      </c>
      <c r="G29" s="87">
        <f>SUMIF(Table1[[#ALL],[Order Details]],"القيامة فردية 300جرام",Table1[[#ALL],[Quantity]])</f>
        <v>490</v>
      </c>
      <c r="H29" s="87">
        <f>Stock!Z26</f>
        <v>499</v>
      </c>
      <c r="I29" s="53">
        <f t="shared" si="5"/>
        <v>9</v>
      </c>
      <c r="J29" s="4"/>
      <c r="K29" s="36">
        <f t="shared" si="3"/>
        <v>81</v>
      </c>
      <c r="L29" s="36">
        <f t="shared" si="4"/>
        <v>135</v>
      </c>
      <c r="M29" s="4"/>
      <c r="N29" s="4"/>
      <c r="O29" s="4"/>
      <c r="P29" s="4"/>
      <c r="Q29" s="4"/>
      <c r="R29" s="4"/>
    </row>
    <row r="30" ht="22.5" customHeight="1">
      <c r="A30" s="78" t="s">
        <v>177</v>
      </c>
      <c r="B30" s="80" t="s">
        <v>125</v>
      </c>
      <c r="C30" s="82">
        <v>8.0</v>
      </c>
      <c r="D30" s="82">
        <v>12.0</v>
      </c>
      <c r="E30" s="82">
        <v>1.0</v>
      </c>
      <c r="F30" s="82">
        <f t="shared" si="1"/>
        <v>3</v>
      </c>
      <c r="G30" s="83">
        <f>SUMIF(Table1[[#ALL],[Order Details]],"القيامة فردية 150جرام",Table1[[#ALL],[Quantity]])</f>
        <v>0</v>
      </c>
      <c r="H30" s="84">
        <v>0.0</v>
      </c>
      <c r="I30" s="34">
        <f t="shared" si="5"/>
        <v>0</v>
      </c>
      <c r="J30" s="4"/>
      <c r="K30" s="36">
        <f t="shared" si="3"/>
        <v>0</v>
      </c>
      <c r="L30" s="36">
        <f t="shared" si="4"/>
        <v>0</v>
      </c>
      <c r="M30" s="4"/>
      <c r="N30" s="4"/>
      <c r="O30" s="4"/>
      <c r="P30" s="4"/>
      <c r="Q30" s="4"/>
      <c r="R30" s="4"/>
    </row>
    <row r="31" ht="22.5" customHeight="1">
      <c r="A31" s="87" t="s">
        <v>179</v>
      </c>
      <c r="B31" s="88" t="s">
        <v>125</v>
      </c>
      <c r="C31" s="87">
        <v>5.0</v>
      </c>
      <c r="D31" s="87">
        <v>9.0</v>
      </c>
      <c r="E31" s="87">
        <v>1.0</v>
      </c>
      <c r="F31" s="87">
        <f t="shared" si="1"/>
        <v>3</v>
      </c>
      <c r="G31" s="87">
        <f>SUMIF(Table1[[#ALL],[Order Details]],"القيامة فردية 80جرام",Table1[[#ALL],[Quantity]])</f>
        <v>0</v>
      </c>
      <c r="H31" s="87">
        <v>0.0</v>
      </c>
      <c r="I31" s="53">
        <f t="shared" si="5"/>
        <v>0</v>
      </c>
      <c r="J31" s="4"/>
      <c r="K31" s="36">
        <f t="shared" si="3"/>
        <v>0</v>
      </c>
      <c r="L31" s="36">
        <f t="shared" si="4"/>
        <v>0</v>
      </c>
      <c r="M31" s="4"/>
      <c r="N31" s="4"/>
      <c r="O31" s="4"/>
      <c r="P31" s="4"/>
      <c r="Q31" s="4"/>
      <c r="R31" s="4"/>
    </row>
    <row r="32" ht="22.5" customHeight="1">
      <c r="A32" s="78" t="s">
        <v>167</v>
      </c>
      <c r="B32" s="80" t="s">
        <v>125</v>
      </c>
      <c r="C32" s="82">
        <v>50.0</v>
      </c>
      <c r="D32" s="82">
        <v>100.0</v>
      </c>
      <c r="E32" s="82">
        <v>5.0</v>
      </c>
      <c r="F32" s="82">
        <f t="shared" si="1"/>
        <v>45</v>
      </c>
      <c r="G32" s="83">
        <f>SUMIF(Table1[[#ALL],[Order Details]],"أيات يونان",Table1[[#ALL],[Quantity]])</f>
        <v>3</v>
      </c>
      <c r="H32" s="84">
        <v>3.0</v>
      </c>
      <c r="I32" s="34">
        <f t="shared" si="5"/>
        <v>0</v>
      </c>
      <c r="J32" s="4"/>
      <c r="K32" s="36">
        <f t="shared" si="3"/>
        <v>0</v>
      </c>
      <c r="L32" s="36">
        <f t="shared" si="4"/>
        <v>0</v>
      </c>
      <c r="M32" s="4"/>
      <c r="N32" s="4"/>
      <c r="O32" s="4"/>
      <c r="P32" s="4"/>
      <c r="Q32" s="4"/>
      <c r="R32" s="4"/>
    </row>
    <row r="33" ht="22.5" customHeight="1">
      <c r="A33" s="87" t="s">
        <v>63</v>
      </c>
      <c r="B33" s="88" t="s">
        <v>125</v>
      </c>
      <c r="C33" s="87">
        <v>650.0</v>
      </c>
      <c r="D33" s="87">
        <v>850.0</v>
      </c>
      <c r="E33" s="87">
        <v>5.0</v>
      </c>
      <c r="F33" s="87">
        <f t="shared" si="1"/>
        <v>195</v>
      </c>
      <c r="G33" s="87">
        <f>SUMIF(Table1[[#ALL],[Order Details]],"أسفار الكتاب المقدس",Table1[[#ALL],[Quantity]])</f>
        <v>19</v>
      </c>
      <c r="H33" s="87">
        <f>Stock!H54</f>
        <v>21</v>
      </c>
      <c r="I33" s="53">
        <f t="shared" si="5"/>
        <v>2</v>
      </c>
      <c r="J33" s="4"/>
      <c r="K33" s="36">
        <f t="shared" si="3"/>
        <v>1300</v>
      </c>
      <c r="L33" s="36">
        <f t="shared" si="4"/>
        <v>1700</v>
      </c>
      <c r="M33" s="4"/>
      <c r="N33" s="4"/>
      <c r="O33" s="4"/>
      <c r="P33" s="4"/>
      <c r="Q33" s="4"/>
      <c r="R33" s="4"/>
    </row>
    <row r="34" ht="22.5" customHeight="1">
      <c r="A34" s="78" t="s">
        <v>122</v>
      </c>
      <c r="B34" s="80" t="s">
        <v>125</v>
      </c>
      <c r="C34" s="82">
        <v>30.0</v>
      </c>
      <c r="D34" s="82">
        <v>80.0</v>
      </c>
      <c r="E34" s="82">
        <v>5.0</v>
      </c>
      <c r="F34" s="82">
        <f t="shared" si="1"/>
        <v>45</v>
      </c>
      <c r="G34" s="83">
        <f>SUMIF(Table1[[#ALL],[Order Details]],"خيمة الاجتماع",Table1[[#ALL],[Quantity]])</f>
        <v>128</v>
      </c>
      <c r="H34" s="84">
        <f>Stock!K54</f>
        <v>133</v>
      </c>
      <c r="I34" s="34">
        <f t="shared" si="5"/>
        <v>5</v>
      </c>
      <c r="J34" s="4"/>
      <c r="K34" s="36">
        <f t="shared" si="3"/>
        <v>150</v>
      </c>
      <c r="L34" s="36">
        <f t="shared" si="4"/>
        <v>400</v>
      </c>
      <c r="M34" s="4"/>
      <c r="N34" s="4"/>
      <c r="O34" s="4"/>
      <c r="P34" s="4"/>
      <c r="Q34" s="4"/>
      <c r="R34" s="4"/>
    </row>
    <row r="35" ht="22.5" customHeight="1">
      <c r="A35" s="87" t="s">
        <v>185</v>
      </c>
      <c r="B35" s="88" t="s">
        <v>125</v>
      </c>
      <c r="C35" s="87">
        <v>30.0</v>
      </c>
      <c r="D35" s="87">
        <v>80.0</v>
      </c>
      <c r="E35" s="87">
        <v>5.0</v>
      </c>
      <c r="F35" s="87">
        <f t="shared" si="1"/>
        <v>45</v>
      </c>
      <c r="G35" s="87">
        <f>SUMIF(Table1[[#ALL],[Order Details]],"أحاد الخماسين",Table1[[#ALL],[Quantity]])</f>
        <v>94</v>
      </c>
      <c r="H35" s="87">
        <f>Stock!N54</f>
        <v>101</v>
      </c>
      <c r="I35" s="53">
        <f t="shared" si="5"/>
        <v>7</v>
      </c>
      <c r="J35" s="4"/>
      <c r="K35" s="36">
        <f t="shared" si="3"/>
        <v>210</v>
      </c>
      <c r="L35" s="36">
        <f t="shared" si="4"/>
        <v>560</v>
      </c>
      <c r="M35" s="4"/>
      <c r="N35" s="4"/>
      <c r="O35" s="4"/>
      <c r="P35" s="4"/>
      <c r="Q35" s="4"/>
      <c r="R35" s="4"/>
    </row>
    <row r="36" ht="22.5" customHeight="1">
      <c r="A36" s="78" t="s">
        <v>187</v>
      </c>
      <c r="B36" s="80" t="s">
        <v>125</v>
      </c>
      <c r="C36" s="82">
        <v>200.0</v>
      </c>
      <c r="D36" s="82">
        <v>400.0</v>
      </c>
      <c r="E36" s="82">
        <v>5.0</v>
      </c>
      <c r="F36" s="82">
        <f t="shared" si="1"/>
        <v>195</v>
      </c>
      <c r="G36" s="83">
        <f>SUMIF(Table1[[#ALL],[Order Details]],"رحلات بولس خشب",Table1[[#ALL],[Quantity]])</f>
        <v>120</v>
      </c>
      <c r="H36" s="84">
        <f>Stock!Z82</f>
        <v>142</v>
      </c>
      <c r="I36" s="34">
        <f t="shared" si="5"/>
        <v>22</v>
      </c>
      <c r="J36" s="4"/>
      <c r="K36" s="36">
        <f t="shared" si="3"/>
        <v>4400</v>
      </c>
      <c r="L36" s="36">
        <f t="shared" si="4"/>
        <v>8800</v>
      </c>
      <c r="M36" s="4"/>
      <c r="N36" s="4"/>
      <c r="O36" s="4"/>
      <c r="P36" s="4"/>
      <c r="Q36" s="4"/>
      <c r="R36" s="4"/>
    </row>
    <row r="37" ht="22.5" customHeight="1">
      <c r="A37" s="87" t="s">
        <v>190</v>
      </c>
      <c r="B37" s="88" t="s">
        <v>125</v>
      </c>
      <c r="C37" s="87">
        <v>130.0</v>
      </c>
      <c r="D37" s="87">
        <v>200.0</v>
      </c>
      <c r="E37" s="87">
        <v>5.0</v>
      </c>
      <c r="F37" s="87">
        <f t="shared" si="1"/>
        <v>65</v>
      </c>
      <c r="G37" s="87">
        <f>SUMIF(Table1[[#ALL],[Order Details]],"رحلات بولس ورق",Table1[[#ALL],[Quantity]])</f>
        <v>55</v>
      </c>
      <c r="H37" s="87">
        <f>Stock!AC82</f>
        <v>63</v>
      </c>
      <c r="I37" s="53">
        <f t="shared" si="5"/>
        <v>8</v>
      </c>
      <c r="J37" s="4"/>
      <c r="K37" s="36">
        <f t="shared" si="3"/>
        <v>1040</v>
      </c>
      <c r="L37" s="36">
        <f t="shared" si="4"/>
        <v>1600</v>
      </c>
      <c r="M37" s="4"/>
      <c r="N37" s="4"/>
      <c r="O37" s="4"/>
      <c r="P37" s="4"/>
      <c r="Q37" s="4"/>
      <c r="R37" s="4"/>
    </row>
    <row r="38" ht="22.5" customHeight="1">
      <c r="A38" s="78" t="s">
        <v>192</v>
      </c>
      <c r="B38" s="80" t="s">
        <v>125</v>
      </c>
      <c r="C38" s="82">
        <v>100.0</v>
      </c>
      <c r="D38" s="82">
        <v>200.0</v>
      </c>
      <c r="E38" s="82">
        <v>5.0</v>
      </c>
      <c r="F38" s="82">
        <f t="shared" si="1"/>
        <v>95</v>
      </c>
      <c r="G38" s="83">
        <f>SUMIF(Table1[[#ALL],[Order Details]],"رحلات بولس خرايط",Table1[[#ALL],[Quantity]])</f>
        <v>0</v>
      </c>
      <c r="H38" s="84">
        <f>Stock!B112</f>
        <v>0</v>
      </c>
      <c r="I38" s="34">
        <f t="shared" si="5"/>
        <v>0</v>
      </c>
      <c r="J38" s="4"/>
      <c r="K38" s="36">
        <f t="shared" si="3"/>
        <v>0</v>
      </c>
      <c r="L38" s="36">
        <f t="shared" si="4"/>
        <v>0</v>
      </c>
      <c r="M38" s="4"/>
      <c r="N38" s="4"/>
      <c r="O38" s="4"/>
      <c r="P38" s="4"/>
      <c r="Q38" s="4"/>
      <c r="R38" s="4"/>
    </row>
    <row r="39" ht="22.5" customHeight="1">
      <c r="A39" s="87" t="s">
        <v>194</v>
      </c>
      <c r="B39" s="88" t="s">
        <v>125</v>
      </c>
      <c r="C39" s="87">
        <v>10.0</v>
      </c>
      <c r="D39" s="87">
        <v>20.0</v>
      </c>
      <c r="E39" s="87">
        <v>5.0</v>
      </c>
      <c r="F39" s="87">
        <f t="shared" si="1"/>
        <v>5</v>
      </c>
      <c r="G39" s="87">
        <f>SUMIF(Table1[[#ALL],[Order Details]],"استيكر خيمة الاجتماع",Table1[[#ALL],[Quantity]])</f>
        <v>0</v>
      </c>
      <c r="H39" s="87">
        <f>Stock!B166</f>
        <v>0</v>
      </c>
      <c r="I39" s="53">
        <f t="shared" si="5"/>
        <v>0</v>
      </c>
      <c r="J39" s="4"/>
      <c r="K39" s="36">
        <f t="shared" si="3"/>
        <v>0</v>
      </c>
      <c r="L39" s="36">
        <f t="shared" si="4"/>
        <v>0</v>
      </c>
      <c r="M39" s="4"/>
      <c r="N39" s="4"/>
      <c r="O39" s="4"/>
      <c r="P39" s="4"/>
      <c r="Q39" s="4"/>
      <c r="R39" s="4"/>
    </row>
    <row r="40" ht="22.5" customHeight="1">
      <c r="A40" s="78" t="s">
        <v>198</v>
      </c>
      <c r="B40" s="80" t="s">
        <v>125</v>
      </c>
      <c r="C40" s="82">
        <v>10.0</v>
      </c>
      <c r="D40" s="82">
        <v>20.0</v>
      </c>
      <c r="E40" s="82">
        <v>5.0</v>
      </c>
      <c r="F40" s="82">
        <f t="shared" si="1"/>
        <v>5</v>
      </c>
      <c r="G40" s="83">
        <f>SUMIF(Table1[[#ALL],[Order Details]],"استيكر خماسين",Table1[[#ALL],[Quantity]])</f>
        <v>0</v>
      </c>
      <c r="H40" s="84">
        <f>Stock!K82</f>
        <v>9</v>
      </c>
      <c r="I40" s="34">
        <f t="shared" si="5"/>
        <v>9</v>
      </c>
      <c r="J40" s="4"/>
      <c r="K40" s="36">
        <f t="shared" si="3"/>
        <v>90</v>
      </c>
      <c r="L40" s="36">
        <f t="shared" si="4"/>
        <v>180</v>
      </c>
      <c r="M40" s="4"/>
      <c r="N40" s="4"/>
      <c r="O40" s="4"/>
      <c r="P40" s="4"/>
      <c r="Q40" s="4"/>
      <c r="R40" s="4"/>
    </row>
    <row r="41" ht="22.5" customHeight="1">
      <c r="A41" s="87" t="s">
        <v>201</v>
      </c>
      <c r="B41" s="88" t="s">
        <v>125</v>
      </c>
      <c r="C41" s="87">
        <v>50.0</v>
      </c>
      <c r="D41" s="87">
        <v>80.0</v>
      </c>
      <c r="E41" s="87">
        <v>5.0</v>
      </c>
      <c r="F41" s="87">
        <f t="shared" si="1"/>
        <v>25</v>
      </c>
      <c r="G41" s="87">
        <f>SUMIF(Table1[[#ALL],[Order Details]],"الخروج",Table1[[#ALL],[Quantity]])</f>
        <v>59</v>
      </c>
      <c r="H41" s="87">
        <f>Stock!E112</f>
        <v>89</v>
      </c>
      <c r="I41" s="53">
        <f t="shared" si="5"/>
        <v>30</v>
      </c>
      <c r="J41" s="4"/>
      <c r="K41" s="36">
        <f t="shared" si="3"/>
        <v>1500</v>
      </c>
      <c r="L41" s="36">
        <f t="shared" si="4"/>
        <v>2400</v>
      </c>
      <c r="M41" s="4"/>
      <c r="N41" s="4"/>
      <c r="O41" s="4"/>
      <c r="P41" s="4"/>
      <c r="Q41" s="4"/>
      <c r="R41" s="4"/>
    </row>
    <row r="42" ht="22.5" customHeight="1">
      <c r="A42" s="78" t="s">
        <v>205</v>
      </c>
      <c r="B42" s="80" t="s">
        <v>125</v>
      </c>
      <c r="C42" s="82">
        <v>50.0</v>
      </c>
      <c r="D42" s="82">
        <v>100.0</v>
      </c>
      <c r="E42" s="82">
        <v>5.0</v>
      </c>
      <c r="F42" s="82">
        <f t="shared" si="1"/>
        <v>45</v>
      </c>
      <c r="G42" s="83">
        <f>SUMIF(Table1[[#ALL],[Order Details]],"اختام الرؤيا",Table1[[#ALL],[Quantity]])</f>
        <v>79</v>
      </c>
      <c r="H42" s="84">
        <f>Stock!H112</f>
        <v>104</v>
      </c>
      <c r="I42" s="34">
        <f t="shared" si="5"/>
        <v>25</v>
      </c>
      <c r="J42" s="4"/>
      <c r="K42" s="36">
        <f t="shared" si="3"/>
        <v>1250</v>
      </c>
      <c r="L42" s="36">
        <f t="shared" si="4"/>
        <v>2500</v>
      </c>
      <c r="M42" s="4"/>
      <c r="N42" s="4"/>
      <c r="O42" s="4"/>
      <c r="P42" s="4"/>
      <c r="Q42" s="4"/>
      <c r="R42" s="4"/>
    </row>
    <row r="43" ht="22.5" customHeight="1">
      <c r="A43" s="87" t="s">
        <v>207</v>
      </c>
      <c r="B43" s="88" t="s">
        <v>125</v>
      </c>
      <c r="C43" s="87">
        <v>30.0</v>
      </c>
      <c r="D43" s="87">
        <v>80.0</v>
      </c>
      <c r="E43" s="87">
        <v>5.0</v>
      </c>
      <c r="F43" s="87">
        <f t="shared" si="1"/>
        <v>45</v>
      </c>
      <c r="G43" s="87">
        <f>SUMIF(Table1[[#ALL],[Order Details]],"الروح القدس",Table1[[#ALL],[Quantity]])</f>
        <v>49</v>
      </c>
      <c r="H43" s="87">
        <f>Stock!K112</f>
        <v>79</v>
      </c>
      <c r="I43" s="53">
        <f t="shared" si="5"/>
        <v>30</v>
      </c>
      <c r="J43" s="4"/>
      <c r="K43" s="36">
        <f t="shared" si="3"/>
        <v>900</v>
      </c>
      <c r="L43" s="36">
        <f t="shared" si="4"/>
        <v>2400</v>
      </c>
      <c r="M43" s="4"/>
      <c r="N43" s="4"/>
      <c r="O43" s="4"/>
      <c r="P43" s="4"/>
      <c r="Q43" s="4"/>
      <c r="R43" s="4"/>
    </row>
    <row r="44" ht="22.5" customHeight="1">
      <c r="A44" s="78" t="s">
        <v>210</v>
      </c>
      <c r="B44" s="80" t="s">
        <v>125</v>
      </c>
      <c r="C44" s="82">
        <v>30.0</v>
      </c>
      <c r="D44" s="82">
        <v>80.0</v>
      </c>
      <c r="E44" s="82">
        <v>5.0</v>
      </c>
      <c r="F44" s="82">
        <f t="shared" si="1"/>
        <v>45</v>
      </c>
      <c r="G44" s="83">
        <f>SUMIF(Table1[[#ALL],[Order Details]],"قضاه",Table1[[#ALL],[Quantity]])</f>
        <v>50</v>
      </c>
      <c r="H44" s="84">
        <f>Stock!T112</f>
        <v>77</v>
      </c>
      <c r="I44" s="34">
        <f t="shared" si="5"/>
        <v>27</v>
      </c>
      <c r="J44" s="4"/>
      <c r="K44" s="36">
        <f t="shared" si="3"/>
        <v>810</v>
      </c>
      <c r="L44" s="36">
        <f t="shared" si="4"/>
        <v>2160</v>
      </c>
      <c r="M44" s="4"/>
      <c r="N44" s="4"/>
      <c r="O44" s="4"/>
      <c r="P44" s="4"/>
      <c r="Q44" s="4"/>
      <c r="R44" s="4"/>
    </row>
    <row r="45" ht="22.5" customHeight="1">
      <c r="A45" s="87" t="s">
        <v>212</v>
      </c>
      <c r="B45" s="88" t="s">
        <v>125</v>
      </c>
      <c r="C45" s="87">
        <v>30.0</v>
      </c>
      <c r="D45" s="87">
        <v>80.0</v>
      </c>
      <c r="E45" s="87">
        <v>5.0</v>
      </c>
      <c r="F45" s="87">
        <f t="shared" si="1"/>
        <v>45</v>
      </c>
      <c r="G45" s="87">
        <f>SUMIF(Table1[[#ALL],[Order Details]],"ملوك",Table1[[#ALL],[Quantity]])</f>
        <v>16</v>
      </c>
      <c r="H45" s="87">
        <f>Stock!W112</f>
        <v>20</v>
      </c>
      <c r="I45" s="53">
        <f t="shared" si="5"/>
        <v>4</v>
      </c>
      <c r="J45" s="4"/>
      <c r="K45" s="36">
        <f t="shared" si="3"/>
        <v>120</v>
      </c>
      <c r="L45" s="36">
        <f t="shared" si="4"/>
        <v>320</v>
      </c>
      <c r="M45" s="4"/>
      <c r="N45" s="4"/>
      <c r="O45" s="4"/>
      <c r="P45" s="4"/>
      <c r="Q45" s="4"/>
      <c r="R45" s="4"/>
    </row>
    <row r="46" ht="22.5" customHeight="1">
      <c r="A46" s="78" t="s">
        <v>214</v>
      </c>
      <c r="B46" s="80" t="s">
        <v>125</v>
      </c>
      <c r="C46" s="82">
        <v>70.0</v>
      </c>
      <c r="D46" s="82">
        <v>120.0</v>
      </c>
      <c r="E46" s="82">
        <v>5.0</v>
      </c>
      <c r="F46" s="82">
        <f t="shared" si="1"/>
        <v>45</v>
      </c>
      <c r="G46" s="83">
        <f>SUMIF(Table1[[#ALL],[Order Details]],"اعمال الرسل",Table1[[#ALL],[Quantity]])</f>
        <v>22</v>
      </c>
      <c r="H46" s="84">
        <f>Stock!Q112</f>
        <v>70</v>
      </c>
      <c r="I46" s="34">
        <f t="shared" si="5"/>
        <v>48</v>
      </c>
      <c r="J46" s="4"/>
      <c r="K46" s="36">
        <f t="shared" si="3"/>
        <v>3360</v>
      </c>
      <c r="L46" s="36">
        <f t="shared" si="4"/>
        <v>5760</v>
      </c>
      <c r="M46" s="4"/>
      <c r="N46" s="4"/>
      <c r="O46" s="4"/>
      <c r="P46" s="4"/>
      <c r="Q46" s="4"/>
      <c r="R46" s="4"/>
    </row>
    <row r="47" ht="22.5" customHeight="1">
      <c r="A47" s="25" t="s">
        <v>217</v>
      </c>
      <c r="B47" s="24" t="s">
        <v>125</v>
      </c>
      <c r="C47" s="25">
        <v>30.0</v>
      </c>
      <c r="D47" s="25">
        <v>80.0</v>
      </c>
      <c r="E47" s="25">
        <v>5.0</v>
      </c>
      <c r="F47" s="25">
        <f t="shared" si="1"/>
        <v>45</v>
      </c>
      <c r="G47" s="25">
        <f>SUMIF(Table1[[#ALL],[Order Details]],"خريطة البشارة",Table1[[#ALL],[Quantity]])</f>
        <v>13</v>
      </c>
      <c r="H47" s="25">
        <f>Stock!E193</f>
        <v>19</v>
      </c>
      <c r="I47" s="53">
        <f t="shared" si="5"/>
        <v>6</v>
      </c>
      <c r="J47" s="4"/>
      <c r="K47" s="36">
        <f t="shared" si="3"/>
        <v>180</v>
      </c>
      <c r="L47" s="36">
        <f t="shared" si="4"/>
        <v>480</v>
      </c>
      <c r="M47" s="4"/>
      <c r="N47" s="4"/>
      <c r="O47" s="4"/>
      <c r="P47" s="4"/>
      <c r="Q47" s="4"/>
      <c r="R47" s="4"/>
    </row>
    <row r="48" ht="22.5" customHeight="1">
      <c r="A48" s="78" t="s">
        <v>222</v>
      </c>
      <c r="B48" s="80" t="s">
        <v>125</v>
      </c>
      <c r="C48" s="82">
        <v>30.0</v>
      </c>
      <c r="D48" s="82">
        <v>80.0</v>
      </c>
      <c r="E48" s="82">
        <v>5.0</v>
      </c>
      <c r="F48" s="82">
        <f t="shared" si="1"/>
        <v>45</v>
      </c>
      <c r="G48" s="83">
        <f>SUMIF(Table1[[#ALL],[Order Details]],"خريطة بداية الخدمة",Table1[[#ALL],[Quantity]])</f>
        <v>34</v>
      </c>
      <c r="H48" s="84">
        <f>Stock!H193</f>
        <v>39</v>
      </c>
      <c r="I48" s="34">
        <f t="shared" si="5"/>
        <v>5</v>
      </c>
      <c r="J48" s="4"/>
      <c r="K48" s="36">
        <f t="shared" si="3"/>
        <v>150</v>
      </c>
      <c r="L48" s="36">
        <f t="shared" si="4"/>
        <v>400</v>
      </c>
      <c r="M48" s="4"/>
      <c r="N48" s="4"/>
      <c r="O48" s="4"/>
      <c r="P48" s="4"/>
      <c r="Q48" s="4"/>
      <c r="R48" s="4"/>
    </row>
    <row r="49" ht="22.5" customHeight="1">
      <c r="A49" s="87" t="s">
        <v>224</v>
      </c>
      <c r="B49" s="88" t="s">
        <v>125</v>
      </c>
      <c r="C49" s="87">
        <v>30.0</v>
      </c>
      <c r="D49" s="87">
        <v>80.0</v>
      </c>
      <c r="E49" s="87">
        <v>5.0</v>
      </c>
      <c r="F49" s="87">
        <f t="shared" si="1"/>
        <v>45</v>
      </c>
      <c r="G49" s="87">
        <f>SUMIF(Table1[[#ALL],[Order Details]],"خريطة الخدمة الاولي",Table1[[#ALL],[Quantity]])</f>
        <v>0</v>
      </c>
      <c r="H49" s="87">
        <f>Stock!K193</f>
        <v>10</v>
      </c>
      <c r="I49" s="53">
        <f t="shared" si="5"/>
        <v>10</v>
      </c>
      <c r="J49" s="4"/>
      <c r="K49" s="36">
        <f t="shared" si="3"/>
        <v>300</v>
      </c>
      <c r="L49" s="36">
        <f t="shared" si="4"/>
        <v>800</v>
      </c>
      <c r="M49" s="4"/>
      <c r="N49" s="4"/>
      <c r="O49" s="4"/>
      <c r="P49" s="4"/>
      <c r="Q49" s="4"/>
      <c r="R49" s="4"/>
    </row>
    <row r="50" ht="22.5" customHeight="1">
      <c r="A50" s="78" t="s">
        <v>226</v>
      </c>
      <c r="B50" s="80" t="s">
        <v>125</v>
      </c>
      <c r="C50" s="82">
        <v>50.0</v>
      </c>
      <c r="D50" s="82">
        <v>100.0</v>
      </c>
      <c r="E50" s="82">
        <v>5.0</v>
      </c>
      <c r="F50" s="82">
        <f t="shared" si="1"/>
        <v>45</v>
      </c>
      <c r="G50" s="83">
        <f>SUMIF(Table1[[#ALL],[Order Details]],"الخليقة ابتدائي",Table1[[#ALL],[Quantity]])</f>
        <v>19</v>
      </c>
      <c r="H50" s="84">
        <f>Stock!H166</f>
        <v>36</v>
      </c>
      <c r="I50" s="34">
        <f t="shared" si="5"/>
        <v>17</v>
      </c>
      <c r="J50" s="4"/>
      <c r="K50" s="36">
        <f t="shared" si="3"/>
        <v>850</v>
      </c>
      <c r="L50" s="36">
        <f t="shared" si="4"/>
        <v>1700</v>
      </c>
      <c r="M50" s="4"/>
      <c r="N50" s="4"/>
      <c r="O50" s="4"/>
      <c r="P50" s="4"/>
      <c r="Q50" s="4"/>
      <c r="R50" s="4"/>
    </row>
    <row r="51" ht="22.5" customHeight="1">
      <c r="A51" s="87" t="s">
        <v>230</v>
      </c>
      <c r="B51" s="88" t="s">
        <v>125</v>
      </c>
      <c r="C51" s="87">
        <v>50.0</v>
      </c>
      <c r="D51" s="87">
        <v>80.0</v>
      </c>
      <c r="E51" s="87">
        <v>5.0</v>
      </c>
      <c r="F51" s="87">
        <f t="shared" si="1"/>
        <v>25</v>
      </c>
      <c r="G51" s="87">
        <f>SUMIF(Table1[[#ALL],[Order Details]],"حامل الايقونات ",Table1[[#ALL],[Quantity]])</f>
        <v>0</v>
      </c>
      <c r="H51" s="87">
        <f>Stock!N193</f>
        <v>0</v>
      </c>
      <c r="I51" s="53">
        <f t="shared" si="5"/>
        <v>0</v>
      </c>
      <c r="J51" s="4"/>
      <c r="K51" s="36">
        <f t="shared" si="3"/>
        <v>0</v>
      </c>
      <c r="L51" s="36">
        <f t="shared" si="4"/>
        <v>0</v>
      </c>
      <c r="M51" s="4"/>
      <c r="N51" s="4"/>
      <c r="O51" s="4"/>
      <c r="P51" s="4"/>
      <c r="Q51" s="4"/>
      <c r="R51" s="4"/>
    </row>
    <row r="52" ht="22.5" customHeight="1">
      <c r="A52" s="78" t="s">
        <v>232</v>
      </c>
      <c r="B52" s="80" t="s">
        <v>125</v>
      </c>
      <c r="C52" s="82">
        <v>8.0</v>
      </c>
      <c r="D52" s="82">
        <v>15.0</v>
      </c>
      <c r="E52" s="82">
        <v>5.0</v>
      </c>
      <c r="F52" s="82">
        <f t="shared" si="1"/>
        <v>2</v>
      </c>
      <c r="G52" s="83">
        <f>SUMIF(Table1[[#ALL],[Order Details]],"خيمة الاجتماع فردي ",Table1[[#ALL],[Quantity]])</f>
        <v>55</v>
      </c>
      <c r="H52" s="84">
        <f>Stock!Q193</f>
        <v>68</v>
      </c>
      <c r="I52" s="34">
        <f t="shared" si="5"/>
        <v>13</v>
      </c>
      <c r="J52" s="4"/>
      <c r="K52" s="36">
        <f t="shared" si="3"/>
        <v>104</v>
      </c>
      <c r="L52" s="36">
        <f t="shared" si="4"/>
        <v>195</v>
      </c>
      <c r="M52" s="4"/>
      <c r="N52" s="4"/>
      <c r="O52" s="4"/>
      <c r="P52" s="4"/>
      <c r="Q52" s="4"/>
      <c r="R52" s="4"/>
    </row>
    <row r="53" ht="22.5" customHeight="1">
      <c r="A53" s="87" t="s">
        <v>237</v>
      </c>
      <c r="B53" s="88" t="s">
        <v>125</v>
      </c>
      <c r="C53" s="87">
        <v>8.0</v>
      </c>
      <c r="D53" s="87">
        <v>15.0</v>
      </c>
      <c r="E53" s="87">
        <v>5.0</v>
      </c>
      <c r="F53" s="87">
        <f t="shared" si="1"/>
        <v>2</v>
      </c>
      <c r="G53" s="87">
        <f>SUMIF(Table1[[#ALL],[Order Details]],"حامل الايقونات  فردي",Table1[[#ALL],[Quantity]])</f>
        <v>62</v>
      </c>
      <c r="H53" s="87">
        <f>Stock!T193</f>
        <v>62</v>
      </c>
      <c r="I53" s="53">
        <f t="shared" si="5"/>
        <v>0</v>
      </c>
      <c r="J53" s="4"/>
      <c r="K53" s="36">
        <f t="shared" si="3"/>
        <v>0</v>
      </c>
      <c r="L53" s="36">
        <f t="shared" si="4"/>
        <v>0</v>
      </c>
      <c r="M53" s="4"/>
      <c r="N53" s="4"/>
      <c r="O53" s="4"/>
      <c r="P53" s="4"/>
      <c r="Q53" s="4"/>
      <c r="R53" s="4"/>
    </row>
    <row r="54" ht="22.5" customHeight="1">
      <c r="A54" s="78" t="s">
        <v>240</v>
      </c>
      <c r="B54" s="80" t="s">
        <v>125</v>
      </c>
      <c r="C54" s="82">
        <v>6.0</v>
      </c>
      <c r="D54" s="82">
        <v>11.0</v>
      </c>
      <c r="E54" s="82">
        <v>5.0</v>
      </c>
      <c r="F54" s="82">
        <f t="shared" si="1"/>
        <v>0</v>
      </c>
      <c r="G54" s="83">
        <f>SUMIF(Table1[[#ALL],[Order Details]],"عمل الفلك",Table1[[#ALL],[Quantity]])</f>
        <v>1</v>
      </c>
      <c r="H54" s="84">
        <f>Stock!W193</f>
        <v>1</v>
      </c>
      <c r="I54" s="34">
        <f t="shared" si="5"/>
        <v>0</v>
      </c>
      <c r="J54" s="4"/>
      <c r="K54" s="36">
        <f t="shared" si="3"/>
        <v>0</v>
      </c>
      <c r="L54" s="36">
        <f t="shared" si="4"/>
        <v>0</v>
      </c>
      <c r="M54" s="4"/>
      <c r="N54" s="4"/>
      <c r="O54" s="4"/>
      <c r="P54" s="4"/>
      <c r="Q54" s="4"/>
      <c r="R54" s="4"/>
    </row>
    <row r="55" ht="22.5" customHeight="1">
      <c r="A55" s="87" t="s">
        <v>244</v>
      </c>
      <c r="B55" s="88" t="s">
        <v>125</v>
      </c>
      <c r="C55" s="87">
        <v>80.0</v>
      </c>
      <c r="D55" s="87">
        <v>120.0</v>
      </c>
      <c r="E55" s="87">
        <v>5.0</v>
      </c>
      <c r="F55" s="87">
        <f t="shared" si="1"/>
        <v>35</v>
      </c>
      <c r="G55" s="87">
        <f>SUMIF(Table1[[#ALL],[Order Details]],"ابطال ١ ",Table1[[#ALL],[Quantity]])</f>
        <v>18</v>
      </c>
      <c r="H55" s="87">
        <f>Stock!Z193</f>
        <v>52</v>
      </c>
      <c r="I55" s="53">
        <f t="shared" si="5"/>
        <v>34</v>
      </c>
      <c r="J55" s="4"/>
      <c r="K55" s="36">
        <f t="shared" si="3"/>
        <v>2720</v>
      </c>
      <c r="L55" s="36">
        <f t="shared" si="4"/>
        <v>4080</v>
      </c>
      <c r="M55" s="4"/>
      <c r="N55" s="4"/>
      <c r="O55" s="4"/>
      <c r="P55" s="4"/>
      <c r="Q55" s="4"/>
      <c r="R55" s="4"/>
    </row>
    <row r="56" ht="22.5" customHeight="1">
      <c r="A56" s="78" t="s">
        <v>246</v>
      </c>
      <c r="B56" s="80" t="s">
        <v>125</v>
      </c>
      <c r="C56" s="82">
        <v>5.0</v>
      </c>
      <c r="D56" s="82">
        <v>7.0</v>
      </c>
      <c r="E56" s="82">
        <v>0.0</v>
      </c>
      <c r="F56" s="82">
        <f t="shared" si="1"/>
        <v>2</v>
      </c>
      <c r="G56" s="83">
        <f>SUMIF(Table1[[#ALL],[Order Details]],"حظاظة ",Table1[[#ALL],[Quantity]])</f>
        <v>30</v>
      </c>
      <c r="H56" s="84">
        <f>Stock!AC193</f>
        <v>30</v>
      </c>
      <c r="I56" s="34">
        <f t="shared" si="5"/>
        <v>0</v>
      </c>
      <c r="J56" s="4"/>
      <c r="K56" s="36">
        <f t="shared" si="3"/>
        <v>0</v>
      </c>
      <c r="L56" s="36">
        <f t="shared" si="4"/>
        <v>0</v>
      </c>
      <c r="M56" s="4"/>
      <c r="N56" s="4"/>
      <c r="O56" s="4"/>
      <c r="P56" s="4"/>
      <c r="Q56" s="4"/>
      <c r="R56" s="4"/>
    </row>
    <row r="57" ht="22.5" customHeight="1">
      <c r="A57" s="87" t="s">
        <v>248</v>
      </c>
      <c r="B57" s="88" t="s">
        <v>125</v>
      </c>
      <c r="C57" s="87">
        <v>15.0</v>
      </c>
      <c r="D57" s="87">
        <v>20.0</v>
      </c>
      <c r="E57" s="87">
        <v>5.0</v>
      </c>
      <c r="F57" s="87">
        <f t="shared" si="1"/>
        <v>0</v>
      </c>
      <c r="G57" s="87">
        <f>SUMIF(Table1[[#ALL],[Order Details]],"الخليقة فردية",Table1[[#ALL],[Quantity]])</f>
        <v>20</v>
      </c>
      <c r="H57" s="87">
        <f>Stock!B220</f>
        <v>20</v>
      </c>
      <c r="I57" s="53">
        <f t="shared" si="5"/>
        <v>0</v>
      </c>
      <c r="J57" s="4"/>
      <c r="K57" s="36">
        <f t="shared" si="3"/>
        <v>0</v>
      </c>
      <c r="L57" s="36">
        <f t="shared" si="4"/>
        <v>0</v>
      </c>
      <c r="M57" s="4"/>
      <c r="N57" s="4"/>
      <c r="O57" s="4"/>
      <c r="P57" s="4"/>
      <c r="Q57" s="4"/>
      <c r="R57" s="4"/>
    </row>
    <row r="58" ht="22.5" customHeight="1">
      <c r="A58" s="78" t="s">
        <v>251</v>
      </c>
      <c r="B58" s="80" t="s">
        <v>125</v>
      </c>
      <c r="C58" s="82">
        <v>30.0</v>
      </c>
      <c r="D58" s="82">
        <v>80.0</v>
      </c>
      <c r="E58" s="82">
        <v>5.0</v>
      </c>
      <c r="F58" s="82">
        <f t="shared" si="1"/>
        <v>45</v>
      </c>
      <c r="G58" s="83">
        <f>SUMIF(Table1[[#ALL],[Order Details]],"ورشة يعقوب",Table1[[#ALL],[Quantity]])</f>
        <v>0</v>
      </c>
      <c r="H58" s="84">
        <f>Stock!E220</f>
        <v>24</v>
      </c>
      <c r="I58" s="34">
        <f t="shared" si="5"/>
        <v>24</v>
      </c>
      <c r="J58" s="4"/>
      <c r="K58" s="36">
        <f t="shared" si="3"/>
        <v>720</v>
      </c>
      <c r="L58" s="36">
        <f t="shared" si="4"/>
        <v>1920</v>
      </c>
      <c r="M58" s="4"/>
      <c r="N58" s="4"/>
      <c r="O58" s="4"/>
      <c r="P58" s="4"/>
      <c r="Q58" s="4"/>
      <c r="R58" s="4"/>
    </row>
    <row r="59" ht="22.5" customHeight="1">
      <c r="A59" s="113" t="s">
        <v>253</v>
      </c>
      <c r="B59" s="114" t="s">
        <v>125</v>
      </c>
      <c r="C59" s="113">
        <v>20.0</v>
      </c>
      <c r="D59" s="113">
        <v>50.0</v>
      </c>
      <c r="E59" s="113">
        <v>5.0</v>
      </c>
      <c r="F59" s="113">
        <v>25.0</v>
      </c>
      <c r="G59" s="113">
        <f>SUMIF(Table1[[#ALL],[Order Details]],"قصة تلوين",Table1[[#ALL],[Quantity]])</f>
        <v>0</v>
      </c>
      <c r="H59" s="113">
        <f>Stock!H220</f>
        <v>0</v>
      </c>
      <c r="I59" s="34">
        <v>0.0</v>
      </c>
      <c r="J59" s="4"/>
      <c r="K59" s="36">
        <f t="shared" si="3"/>
        <v>0</v>
      </c>
      <c r="L59" s="36">
        <f t="shared" si="4"/>
        <v>0</v>
      </c>
      <c r="M59" s="4"/>
      <c r="N59" s="4"/>
      <c r="O59" s="4"/>
      <c r="P59" s="4"/>
      <c r="Q59" s="4"/>
      <c r="R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115">
        <f t="shared" ref="K61:L61" si="6">SUM(K2:K59)</f>
        <v>25177</v>
      </c>
      <c r="L61" s="115">
        <f t="shared" si="6"/>
        <v>50848</v>
      </c>
      <c r="M61" s="4"/>
      <c r="N61" s="4"/>
      <c r="O61" s="4"/>
      <c r="P61" s="4"/>
      <c r="Q61" s="4"/>
      <c r="R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</sheetData>
  <conditionalFormatting sqref="I2:I59">
    <cfRule type="cellIs" dxfId="5" priority="1" operator="lessThan">
      <formula>0</formula>
    </cfRule>
  </conditionalFormatting>
  <conditionalFormatting sqref="I2:I59">
    <cfRule type="cellIs" dxfId="6" priority="2" operator="greaterThan">
      <formula>0</formula>
    </cfRule>
  </conditionalFormatting>
  <conditionalFormatting sqref="I2:I59">
    <cfRule type="cellIs" dxfId="7" priority="3" operator="equal">
      <formula>0</formula>
    </cfRule>
  </conditionalFormatting>
  <conditionalFormatting sqref="F2 F4 F6 F8 F10 F12 F14 F16 F18 F20 F22 F24 F26 F28 F30 F32 F34 F36 F38 F40 F42 F44 F46 F48 F50 F52 F54 F56 F58:F92">
    <cfRule type="cellIs" dxfId="8" priority="4" stopIfTrue="1" operator="lessThan">
      <formula>0</formula>
    </cfRule>
  </conditionalFormatting>
  <dataValidations>
    <dataValidation type="list" allowBlank="1" showDropDown="1" showErrorMessage="1" sqref="B2:B59">
      <formula1>"Workshop,Brand,Digital"</formula1>
    </dataValidation>
    <dataValidation type="custom" allowBlank="1" showDropDown="1" sqref="C2:F5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9.13"/>
    <col customWidth="1" min="3" max="3" width="9.5"/>
    <col customWidth="1" min="4" max="4" width="5.38"/>
    <col customWidth="1" min="5" max="5" width="9.13"/>
    <col customWidth="1" min="6" max="6" width="7.5"/>
    <col customWidth="1" min="7" max="7" width="5.38"/>
    <col customWidth="1" min="8" max="8" width="9.13"/>
    <col customWidth="1" min="9" max="9" width="7.5"/>
    <col customWidth="1" min="10" max="10" width="5.38"/>
    <col customWidth="1" min="11" max="11" width="9.13"/>
    <col customWidth="1" min="12" max="12" width="7.75"/>
    <col customWidth="1" min="13" max="13" width="5.38"/>
    <col customWidth="1" min="14" max="14" width="9.13"/>
    <col customWidth="1" min="15" max="15" width="7.5"/>
    <col customWidth="1" min="16" max="16" width="5.38"/>
    <col customWidth="1" min="17" max="17" width="9.13"/>
    <col customWidth="1" min="18" max="18" width="7.5"/>
    <col customWidth="1" min="19" max="19" width="5.38"/>
    <col customWidth="1" min="20" max="20" width="9.13"/>
    <col customWidth="1" min="21" max="21" width="7.5"/>
    <col customWidth="1" min="22" max="22" width="5.38"/>
    <col customWidth="1" min="23" max="23" width="9.13"/>
    <col customWidth="1" min="24" max="24" width="7.5"/>
    <col customWidth="1" min="25" max="25" width="5.38"/>
    <col customWidth="1" min="26" max="26" width="9.13"/>
    <col customWidth="1" min="27" max="27" width="7.5"/>
    <col customWidth="1" min="28" max="28" width="5.38"/>
    <col customWidth="1" min="29" max="29" width="9.13"/>
    <col customWidth="1" min="30" max="30" width="7.5"/>
    <col customWidth="1" min="31" max="31" width="4.38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8"/>
      <c r="AA1" s="118"/>
      <c r="AB1" s="117"/>
      <c r="AC1" s="119"/>
      <c r="AD1" s="119"/>
      <c r="AE1" s="117"/>
    </row>
    <row r="2">
      <c r="A2" s="117"/>
      <c r="B2" s="120" t="s">
        <v>275</v>
      </c>
      <c r="C2" s="121"/>
      <c r="D2" s="117"/>
      <c r="E2" s="120" t="s">
        <v>151</v>
      </c>
      <c r="F2" s="121"/>
      <c r="G2" s="117"/>
      <c r="H2" s="120" t="s">
        <v>153</v>
      </c>
      <c r="I2" s="121"/>
      <c r="J2" s="117"/>
      <c r="K2" s="120" t="s">
        <v>158</v>
      </c>
      <c r="L2" s="121"/>
      <c r="M2" s="117"/>
      <c r="N2" s="120" t="s">
        <v>161</v>
      </c>
      <c r="O2" s="121"/>
      <c r="P2" s="117"/>
      <c r="Q2" s="120" t="s">
        <v>165</v>
      </c>
      <c r="R2" s="121"/>
      <c r="S2" s="117"/>
      <c r="T2" s="120" t="s">
        <v>277</v>
      </c>
      <c r="U2" s="121"/>
      <c r="V2" s="117"/>
      <c r="W2" s="120" t="s">
        <v>170</v>
      </c>
      <c r="X2" s="121"/>
      <c r="Y2" s="117"/>
      <c r="Z2" s="122" t="s">
        <v>173</v>
      </c>
      <c r="AA2" s="121"/>
      <c r="AB2" s="117"/>
      <c r="AC2" s="123" t="s">
        <v>278</v>
      </c>
      <c r="AD2" s="121"/>
      <c r="AE2" s="117"/>
    </row>
    <row r="3">
      <c r="A3" s="124"/>
      <c r="B3" s="125" t="s">
        <v>279</v>
      </c>
      <c r="C3" s="126" t="s">
        <v>3</v>
      </c>
      <c r="D3" s="124"/>
      <c r="E3" s="125" t="s">
        <v>279</v>
      </c>
      <c r="F3" s="126" t="s">
        <v>3</v>
      </c>
      <c r="G3" s="124"/>
      <c r="H3" s="125" t="s">
        <v>279</v>
      </c>
      <c r="I3" s="126" t="s">
        <v>3</v>
      </c>
      <c r="J3" s="124"/>
      <c r="K3" s="125" t="s">
        <v>279</v>
      </c>
      <c r="L3" s="126" t="s">
        <v>3</v>
      </c>
      <c r="M3" s="124"/>
      <c r="N3" s="125" t="s">
        <v>279</v>
      </c>
      <c r="O3" s="126" t="s">
        <v>3</v>
      </c>
      <c r="P3" s="124"/>
      <c r="Q3" s="125" t="s">
        <v>279</v>
      </c>
      <c r="R3" s="126" t="s">
        <v>3</v>
      </c>
      <c r="S3" s="124"/>
      <c r="T3" s="125" t="s">
        <v>279</v>
      </c>
      <c r="U3" s="126" t="s">
        <v>3</v>
      </c>
      <c r="V3" s="124"/>
      <c r="W3" s="125" t="s">
        <v>279</v>
      </c>
      <c r="X3" s="126" t="s">
        <v>3</v>
      </c>
      <c r="Y3" s="124"/>
      <c r="Z3" s="125" t="s">
        <v>279</v>
      </c>
      <c r="AA3" s="126" t="s">
        <v>3</v>
      </c>
      <c r="AB3" s="124"/>
      <c r="AC3" s="125" t="s">
        <v>279</v>
      </c>
      <c r="AD3" s="126" t="s">
        <v>3</v>
      </c>
      <c r="AE3" s="124"/>
    </row>
    <row r="4">
      <c r="A4" s="124"/>
      <c r="B4" s="127">
        <v>6.0</v>
      </c>
      <c r="C4" s="128">
        <v>46102.0</v>
      </c>
      <c r="D4" s="124"/>
      <c r="E4" s="127">
        <v>3.0</v>
      </c>
      <c r="F4" s="129">
        <v>46146.0</v>
      </c>
      <c r="G4" s="124"/>
      <c r="H4" s="127">
        <v>6.0</v>
      </c>
      <c r="I4" s="128">
        <v>46102.0</v>
      </c>
      <c r="J4" s="124"/>
      <c r="K4" s="127">
        <v>3.0</v>
      </c>
      <c r="L4" s="129">
        <v>46146.0</v>
      </c>
      <c r="M4" s="124"/>
      <c r="N4" s="127">
        <v>50.0</v>
      </c>
      <c r="O4" s="128">
        <v>46111.0</v>
      </c>
      <c r="P4" s="124"/>
      <c r="Q4" s="127">
        <v>1.0</v>
      </c>
      <c r="R4" s="129">
        <v>46146.0</v>
      </c>
      <c r="S4" s="124"/>
      <c r="T4" s="130">
        <v>50.0</v>
      </c>
      <c r="U4" s="129">
        <v>46113.0</v>
      </c>
      <c r="V4" s="124"/>
      <c r="W4" s="127">
        <v>15.0</v>
      </c>
      <c r="X4" s="129">
        <v>46146.0</v>
      </c>
      <c r="Y4" s="124"/>
      <c r="Z4" s="127">
        <v>150.0</v>
      </c>
      <c r="AA4" s="129">
        <v>46111.0</v>
      </c>
      <c r="AB4" s="124"/>
      <c r="AC4" s="127">
        <v>20.0</v>
      </c>
      <c r="AD4" s="128">
        <v>46146.0</v>
      </c>
      <c r="AE4" s="124"/>
    </row>
    <row r="5">
      <c r="A5" s="124"/>
      <c r="B5" s="130">
        <v>20.0</v>
      </c>
      <c r="C5" s="129">
        <v>46102.0</v>
      </c>
      <c r="D5" s="124"/>
      <c r="E5" s="130">
        <v>10.0</v>
      </c>
      <c r="F5" s="129">
        <v>46271.0</v>
      </c>
      <c r="G5" s="124"/>
      <c r="H5" s="130">
        <v>10.0</v>
      </c>
      <c r="I5" s="129">
        <v>46102.0</v>
      </c>
      <c r="J5" s="124"/>
      <c r="K5" s="130"/>
      <c r="L5" s="129"/>
      <c r="M5" s="124"/>
      <c r="N5" s="130">
        <v>50.0</v>
      </c>
      <c r="O5" s="129">
        <v>46113.0</v>
      </c>
      <c r="P5" s="124"/>
      <c r="Q5" s="130"/>
      <c r="R5" s="129"/>
      <c r="S5" s="124"/>
      <c r="T5" s="130">
        <v>50.0</v>
      </c>
      <c r="U5" s="129">
        <v>46116.0</v>
      </c>
      <c r="V5" s="124"/>
      <c r="W5" s="130"/>
      <c r="X5" s="129"/>
      <c r="Y5" s="124"/>
      <c r="Z5" s="130">
        <v>120.0</v>
      </c>
      <c r="AA5" s="129">
        <v>46116.0</v>
      </c>
      <c r="AB5" s="124"/>
      <c r="AC5" s="130"/>
      <c r="AD5" s="129"/>
      <c r="AE5" s="124"/>
    </row>
    <row r="6">
      <c r="A6" s="124"/>
      <c r="B6" s="130">
        <v>100.0</v>
      </c>
      <c r="C6" s="129">
        <v>46103.0</v>
      </c>
      <c r="D6" s="124"/>
      <c r="E6" s="130"/>
      <c r="F6" s="129"/>
      <c r="G6" s="124"/>
      <c r="H6" s="130">
        <v>20.0</v>
      </c>
      <c r="I6" s="129">
        <v>46103.0</v>
      </c>
      <c r="J6" s="124"/>
      <c r="K6" s="130"/>
      <c r="L6" s="129"/>
      <c r="M6" s="124"/>
      <c r="N6" s="130">
        <v>20.0</v>
      </c>
      <c r="O6" s="129">
        <v>46126.0</v>
      </c>
      <c r="P6" s="124"/>
      <c r="Q6" s="130"/>
      <c r="R6" s="129"/>
      <c r="S6" s="124"/>
      <c r="T6" s="130">
        <v>100.0</v>
      </c>
      <c r="U6" s="129">
        <v>46116.0</v>
      </c>
      <c r="V6" s="124"/>
      <c r="W6" s="130"/>
      <c r="X6" s="129"/>
      <c r="Y6" s="124"/>
      <c r="Z6" s="130">
        <v>150.0</v>
      </c>
      <c r="AA6" s="129">
        <v>46116.0</v>
      </c>
      <c r="AB6" s="124"/>
      <c r="AC6" s="130"/>
      <c r="AD6" s="129"/>
      <c r="AE6" s="124"/>
    </row>
    <row r="7">
      <c r="A7" s="124"/>
      <c r="B7" s="130">
        <v>25.0</v>
      </c>
      <c r="C7" s="129">
        <v>46103.0</v>
      </c>
      <c r="D7" s="124"/>
      <c r="E7" s="130"/>
      <c r="F7" s="129"/>
      <c r="G7" s="124"/>
      <c r="H7" s="130">
        <v>12.0</v>
      </c>
      <c r="I7" s="129">
        <v>46105.0</v>
      </c>
      <c r="J7" s="124"/>
      <c r="K7" s="130"/>
      <c r="L7" s="129"/>
      <c r="M7" s="124"/>
      <c r="N7" s="130">
        <v>3.0</v>
      </c>
      <c r="O7" s="129">
        <v>46127.0</v>
      </c>
      <c r="P7" s="124"/>
      <c r="Q7" s="130"/>
      <c r="R7" s="129"/>
      <c r="S7" s="124"/>
      <c r="T7" s="130">
        <v>100.0</v>
      </c>
      <c r="U7" s="129">
        <v>46118.0</v>
      </c>
      <c r="V7" s="124"/>
      <c r="W7" s="130"/>
      <c r="X7" s="129"/>
      <c r="Y7" s="124"/>
      <c r="Z7" s="130">
        <v>50.0</v>
      </c>
      <c r="AA7" s="129">
        <v>46121.0</v>
      </c>
      <c r="AB7" s="124"/>
      <c r="AC7" s="130"/>
      <c r="AD7" s="129"/>
      <c r="AE7" s="124"/>
    </row>
    <row r="8">
      <c r="A8" s="124"/>
      <c r="B8" s="130">
        <v>50.0</v>
      </c>
      <c r="C8" s="129">
        <v>46104.0</v>
      </c>
      <c r="D8" s="124"/>
      <c r="E8" s="130"/>
      <c r="F8" s="129"/>
      <c r="G8" s="124"/>
      <c r="H8" s="130">
        <v>5.0</v>
      </c>
      <c r="I8" s="129">
        <v>46194.0</v>
      </c>
      <c r="J8" s="124"/>
      <c r="K8" s="130"/>
      <c r="L8" s="129"/>
      <c r="M8" s="124"/>
      <c r="N8" s="130">
        <v>1.0</v>
      </c>
      <c r="O8" s="129">
        <v>46216.0</v>
      </c>
      <c r="P8" s="124"/>
      <c r="Q8" s="130"/>
      <c r="R8" s="129"/>
      <c r="S8" s="124"/>
      <c r="T8" s="130">
        <v>50.0</v>
      </c>
      <c r="U8" s="129">
        <v>46119.0</v>
      </c>
      <c r="V8" s="124"/>
      <c r="W8" s="130"/>
      <c r="X8" s="129"/>
      <c r="Y8" s="124"/>
      <c r="Z8" s="130">
        <v>20.0</v>
      </c>
      <c r="AA8" s="129">
        <v>46130.0</v>
      </c>
      <c r="AB8" s="124"/>
      <c r="AC8" s="130"/>
      <c r="AD8" s="129"/>
      <c r="AE8" s="124"/>
    </row>
    <row r="9">
      <c r="A9" s="124"/>
      <c r="B9" s="130">
        <v>125.0</v>
      </c>
      <c r="C9" s="129">
        <v>46104.0</v>
      </c>
      <c r="D9" s="124"/>
      <c r="E9" s="131"/>
      <c r="F9" s="132"/>
      <c r="G9" s="124"/>
      <c r="H9" s="130">
        <v>5.0</v>
      </c>
      <c r="I9" s="129">
        <v>46215.0</v>
      </c>
      <c r="J9" s="124"/>
      <c r="K9" s="131"/>
      <c r="L9" s="132"/>
      <c r="M9" s="124"/>
      <c r="N9" s="130">
        <v>14.0</v>
      </c>
      <c r="O9" s="129">
        <v>46217.0</v>
      </c>
      <c r="P9" s="124"/>
      <c r="Q9" s="131"/>
      <c r="R9" s="132"/>
      <c r="S9" s="124"/>
      <c r="T9" s="130">
        <v>30.0</v>
      </c>
      <c r="U9" s="129">
        <v>46126.0</v>
      </c>
      <c r="V9" s="124"/>
      <c r="W9" s="130"/>
      <c r="X9" s="129"/>
      <c r="Y9" s="124"/>
      <c r="Z9" s="130">
        <v>9.0</v>
      </c>
      <c r="AA9" s="129">
        <v>46146.0</v>
      </c>
      <c r="AB9" s="124"/>
      <c r="AC9" s="130"/>
      <c r="AD9" s="129"/>
      <c r="AE9" s="124"/>
    </row>
    <row r="10">
      <c r="A10" s="124"/>
      <c r="B10" s="130">
        <v>27.0</v>
      </c>
      <c r="C10" s="129">
        <v>46105.0</v>
      </c>
      <c r="D10" s="124"/>
      <c r="E10" s="131"/>
      <c r="F10" s="132"/>
      <c r="G10" s="124"/>
      <c r="H10" s="130">
        <v>3.0</v>
      </c>
      <c r="I10" s="129">
        <v>46216.0</v>
      </c>
      <c r="J10" s="124"/>
      <c r="K10" s="131"/>
      <c r="L10" s="132"/>
      <c r="M10" s="124"/>
      <c r="N10" s="131"/>
      <c r="O10" s="132"/>
      <c r="P10" s="124"/>
      <c r="Q10" s="131"/>
      <c r="R10" s="132"/>
      <c r="S10" s="124"/>
      <c r="T10" s="130">
        <v>20.0</v>
      </c>
      <c r="U10" s="129">
        <v>46127.0</v>
      </c>
      <c r="V10" s="124"/>
      <c r="W10" s="130"/>
      <c r="X10" s="129"/>
      <c r="Y10" s="124"/>
      <c r="Z10" s="130"/>
      <c r="AA10" s="129"/>
      <c r="AB10" s="124"/>
      <c r="AC10" s="130"/>
      <c r="AD10" s="129"/>
      <c r="AE10" s="124"/>
    </row>
    <row r="11">
      <c r="A11" s="124"/>
      <c r="B11" s="130">
        <v>49.0</v>
      </c>
      <c r="C11" s="129">
        <v>46106.0</v>
      </c>
      <c r="D11" s="124"/>
      <c r="E11" s="131"/>
      <c r="F11" s="132"/>
      <c r="G11" s="124"/>
      <c r="H11" s="131"/>
      <c r="I11" s="132"/>
      <c r="J11" s="124"/>
      <c r="K11" s="131"/>
      <c r="L11" s="132"/>
      <c r="M11" s="124"/>
      <c r="N11" s="131"/>
      <c r="O11" s="132"/>
      <c r="P11" s="124"/>
      <c r="Q11" s="131"/>
      <c r="R11" s="132"/>
      <c r="S11" s="124"/>
      <c r="T11" s="130">
        <v>30.0</v>
      </c>
      <c r="U11" s="129">
        <v>46127.0</v>
      </c>
      <c r="V11" s="124"/>
      <c r="W11" s="130"/>
      <c r="X11" s="129"/>
      <c r="Y11" s="124"/>
      <c r="Z11" s="130"/>
      <c r="AA11" s="129"/>
      <c r="AB11" s="124"/>
      <c r="AC11" s="130"/>
      <c r="AD11" s="129"/>
      <c r="AE11" s="124"/>
    </row>
    <row r="12">
      <c r="A12" s="124"/>
      <c r="B12" s="130">
        <v>12.0</v>
      </c>
      <c r="C12" s="129">
        <v>46107.0</v>
      </c>
      <c r="D12" s="124"/>
      <c r="E12" s="131"/>
      <c r="F12" s="132"/>
      <c r="G12" s="124"/>
      <c r="H12" s="131"/>
      <c r="I12" s="132"/>
      <c r="J12" s="124"/>
      <c r="K12" s="131"/>
      <c r="L12" s="132"/>
      <c r="M12" s="124"/>
      <c r="N12" s="131"/>
      <c r="O12" s="132"/>
      <c r="P12" s="124"/>
      <c r="Q12" s="131"/>
      <c r="R12" s="132"/>
      <c r="S12" s="124"/>
      <c r="T12" s="130">
        <v>20.0</v>
      </c>
      <c r="U12" s="129">
        <v>46130.0</v>
      </c>
      <c r="V12" s="124"/>
      <c r="W12" s="130"/>
      <c r="X12" s="129"/>
      <c r="Y12" s="124"/>
      <c r="Z12" s="130"/>
      <c r="AA12" s="129"/>
      <c r="AB12" s="124"/>
      <c r="AC12" s="130"/>
      <c r="AD12" s="129"/>
      <c r="AE12" s="124"/>
    </row>
    <row r="13">
      <c r="A13" s="124"/>
      <c r="B13" s="130">
        <v>20.0</v>
      </c>
      <c r="C13" s="129">
        <v>46109.0</v>
      </c>
      <c r="D13" s="124"/>
      <c r="E13" s="131"/>
      <c r="F13" s="132"/>
      <c r="G13" s="124"/>
      <c r="H13" s="131"/>
      <c r="I13" s="132"/>
      <c r="J13" s="124"/>
      <c r="K13" s="131"/>
      <c r="L13" s="132"/>
      <c r="M13" s="124"/>
      <c r="N13" s="131"/>
      <c r="O13" s="132"/>
      <c r="P13" s="124"/>
      <c r="Q13" s="131"/>
      <c r="R13" s="132"/>
      <c r="S13" s="124"/>
      <c r="T13" s="130">
        <v>10.0</v>
      </c>
      <c r="U13" s="129">
        <v>46132.0</v>
      </c>
      <c r="V13" s="124"/>
      <c r="W13" s="130"/>
      <c r="X13" s="129"/>
      <c r="Y13" s="124"/>
      <c r="Z13" s="130"/>
      <c r="AA13" s="129"/>
      <c r="AB13" s="124"/>
      <c r="AC13" s="130"/>
      <c r="AD13" s="129"/>
      <c r="AE13" s="124"/>
    </row>
    <row r="14">
      <c r="A14" s="124"/>
      <c r="B14" s="130">
        <v>10.0</v>
      </c>
      <c r="C14" s="129">
        <v>46111.0</v>
      </c>
      <c r="D14" s="124"/>
      <c r="E14" s="131"/>
      <c r="F14" s="132"/>
      <c r="G14" s="124"/>
      <c r="H14" s="131"/>
      <c r="I14" s="132"/>
      <c r="J14" s="124"/>
      <c r="K14" s="131"/>
      <c r="L14" s="132"/>
      <c r="M14" s="124"/>
      <c r="N14" s="131"/>
      <c r="O14" s="132"/>
      <c r="P14" s="124"/>
      <c r="Q14" s="131"/>
      <c r="R14" s="132"/>
      <c r="S14" s="124"/>
      <c r="T14" s="130">
        <v>10.0</v>
      </c>
      <c r="U14" s="129">
        <v>46138.0</v>
      </c>
      <c r="V14" s="124"/>
      <c r="W14" s="131"/>
      <c r="X14" s="132"/>
      <c r="Y14" s="124"/>
      <c r="Z14" s="131"/>
      <c r="AA14" s="132"/>
      <c r="AB14" s="124"/>
      <c r="AC14" s="131"/>
      <c r="AD14" s="132"/>
      <c r="AE14" s="124"/>
    </row>
    <row r="15">
      <c r="A15" s="124"/>
      <c r="B15" s="130">
        <v>10.0</v>
      </c>
      <c r="C15" s="129">
        <v>46112.0</v>
      </c>
      <c r="D15" s="124"/>
      <c r="E15" s="131"/>
      <c r="F15" s="132"/>
      <c r="G15" s="124"/>
      <c r="H15" s="131"/>
      <c r="I15" s="132"/>
      <c r="J15" s="124"/>
      <c r="K15" s="131"/>
      <c r="L15" s="132"/>
      <c r="M15" s="124"/>
      <c r="N15" s="131"/>
      <c r="O15" s="132"/>
      <c r="P15" s="124"/>
      <c r="Q15" s="131"/>
      <c r="R15" s="132"/>
      <c r="S15" s="124"/>
      <c r="T15" s="130">
        <v>10.0</v>
      </c>
      <c r="U15" s="129">
        <v>46183.0</v>
      </c>
      <c r="V15" s="124"/>
      <c r="W15" s="131"/>
      <c r="X15" s="132"/>
      <c r="Y15" s="124"/>
      <c r="Z15" s="131"/>
      <c r="AA15" s="132"/>
      <c r="AB15" s="124"/>
      <c r="AC15" s="131"/>
      <c r="AD15" s="132"/>
      <c r="AE15" s="124"/>
    </row>
    <row r="16">
      <c r="A16" s="124"/>
      <c r="B16" s="130">
        <v>10.0</v>
      </c>
      <c r="C16" s="129">
        <v>46112.0</v>
      </c>
      <c r="D16" s="124"/>
      <c r="E16" s="131"/>
      <c r="F16" s="132"/>
      <c r="G16" s="124"/>
      <c r="H16" s="131"/>
      <c r="I16" s="132"/>
      <c r="J16" s="124"/>
      <c r="K16" s="131"/>
      <c r="L16" s="132"/>
      <c r="M16" s="124"/>
      <c r="N16" s="131"/>
      <c r="O16" s="132"/>
      <c r="P16" s="124"/>
      <c r="Q16" s="131"/>
      <c r="R16" s="132"/>
      <c r="S16" s="124"/>
      <c r="T16" s="130">
        <v>1.0</v>
      </c>
      <c r="U16" s="129">
        <v>46194.0</v>
      </c>
      <c r="V16" s="124"/>
      <c r="W16" s="131"/>
      <c r="X16" s="132"/>
      <c r="Y16" s="124"/>
      <c r="Z16" s="131"/>
      <c r="AA16" s="132"/>
      <c r="AB16" s="124"/>
      <c r="AC16" s="131"/>
      <c r="AD16" s="132"/>
      <c r="AE16" s="124"/>
    </row>
    <row r="17">
      <c r="A17" s="124"/>
      <c r="B17" s="130">
        <v>10.0</v>
      </c>
      <c r="C17" s="129">
        <v>46271.0</v>
      </c>
      <c r="D17" s="124"/>
      <c r="E17" s="131"/>
      <c r="F17" s="132"/>
      <c r="G17" s="124"/>
      <c r="H17" s="131"/>
      <c r="I17" s="132"/>
      <c r="J17" s="124"/>
      <c r="K17" s="131"/>
      <c r="L17" s="132"/>
      <c r="M17" s="124"/>
      <c r="N17" s="131"/>
      <c r="O17" s="132"/>
      <c r="P17" s="124"/>
      <c r="Q17" s="131"/>
      <c r="R17" s="132"/>
      <c r="S17" s="124"/>
      <c r="T17" s="131"/>
      <c r="U17" s="132"/>
      <c r="V17" s="124"/>
      <c r="W17" s="131"/>
      <c r="X17" s="132"/>
      <c r="Y17" s="124"/>
      <c r="Z17" s="131"/>
      <c r="AA17" s="132"/>
      <c r="AB17" s="124"/>
      <c r="AC17" s="131"/>
      <c r="AD17" s="132"/>
      <c r="AE17" s="124"/>
    </row>
    <row r="18">
      <c r="A18" s="124"/>
      <c r="B18" s="130">
        <v>4.0</v>
      </c>
      <c r="C18" s="133">
        <v>46029.0</v>
      </c>
      <c r="D18" s="124"/>
      <c r="E18" s="131"/>
      <c r="F18" s="132"/>
      <c r="G18" s="124"/>
      <c r="H18" s="131"/>
      <c r="I18" s="132"/>
      <c r="J18" s="124"/>
      <c r="K18" s="131"/>
      <c r="L18" s="132"/>
      <c r="M18" s="124"/>
      <c r="N18" s="131"/>
      <c r="O18" s="132"/>
      <c r="P18" s="124"/>
      <c r="Q18" s="131"/>
      <c r="R18" s="132"/>
      <c r="S18" s="124"/>
      <c r="T18" s="131"/>
      <c r="U18" s="132"/>
      <c r="V18" s="124"/>
      <c r="W18" s="131"/>
      <c r="X18" s="132"/>
      <c r="Y18" s="124"/>
      <c r="Z18" s="131"/>
      <c r="AA18" s="132"/>
      <c r="AB18" s="124"/>
      <c r="AC18" s="131"/>
      <c r="AD18" s="132"/>
      <c r="AE18" s="124"/>
    </row>
    <row r="19">
      <c r="A19" s="124"/>
      <c r="B19" s="131"/>
      <c r="C19" s="132"/>
      <c r="D19" s="124"/>
      <c r="E19" s="131"/>
      <c r="F19" s="132"/>
      <c r="G19" s="124"/>
      <c r="H19" s="131"/>
      <c r="I19" s="132"/>
      <c r="J19" s="124"/>
      <c r="K19" s="131"/>
      <c r="L19" s="132"/>
      <c r="M19" s="124"/>
      <c r="N19" s="131"/>
      <c r="O19" s="132"/>
      <c r="P19" s="124"/>
      <c r="Q19" s="131"/>
      <c r="R19" s="132"/>
      <c r="S19" s="124"/>
      <c r="T19" s="131"/>
      <c r="U19" s="132"/>
      <c r="V19" s="124"/>
      <c r="W19" s="131"/>
      <c r="X19" s="132"/>
      <c r="Y19" s="124"/>
      <c r="Z19" s="131"/>
      <c r="AA19" s="132"/>
      <c r="AB19" s="124"/>
      <c r="AC19" s="131"/>
      <c r="AD19" s="132"/>
      <c r="AE19" s="124"/>
    </row>
    <row r="20">
      <c r="A20" s="124"/>
      <c r="B20" s="131"/>
      <c r="C20" s="132"/>
      <c r="D20" s="124"/>
      <c r="E20" s="131"/>
      <c r="F20" s="132"/>
      <c r="G20" s="124"/>
      <c r="H20" s="131"/>
      <c r="I20" s="132"/>
      <c r="J20" s="124"/>
      <c r="K20" s="131"/>
      <c r="L20" s="132"/>
      <c r="M20" s="124"/>
      <c r="N20" s="131"/>
      <c r="O20" s="132"/>
      <c r="P20" s="124"/>
      <c r="Q20" s="131"/>
      <c r="R20" s="132"/>
      <c r="S20" s="124"/>
      <c r="T20" s="131"/>
      <c r="U20" s="132"/>
      <c r="V20" s="124"/>
      <c r="W20" s="131"/>
      <c r="X20" s="132"/>
      <c r="Y20" s="124"/>
      <c r="Z20" s="131"/>
      <c r="AA20" s="132"/>
      <c r="AB20" s="124"/>
      <c r="AC20" s="131"/>
      <c r="AD20" s="132"/>
      <c r="AE20" s="124"/>
    </row>
    <row r="21">
      <c r="A21" s="124"/>
      <c r="B21" s="131"/>
      <c r="C21" s="132"/>
      <c r="D21" s="124"/>
      <c r="E21" s="131"/>
      <c r="F21" s="132"/>
      <c r="G21" s="124"/>
      <c r="H21" s="131"/>
      <c r="I21" s="132"/>
      <c r="J21" s="124"/>
      <c r="K21" s="131"/>
      <c r="L21" s="132"/>
      <c r="M21" s="124"/>
      <c r="N21" s="131"/>
      <c r="O21" s="132"/>
      <c r="P21" s="124"/>
      <c r="Q21" s="131"/>
      <c r="R21" s="132"/>
      <c r="S21" s="124"/>
      <c r="T21" s="131"/>
      <c r="U21" s="132"/>
      <c r="V21" s="124"/>
      <c r="W21" s="131"/>
      <c r="X21" s="132"/>
      <c r="Y21" s="124"/>
      <c r="Z21" s="131"/>
      <c r="AA21" s="132"/>
      <c r="AB21" s="124"/>
      <c r="AC21" s="131"/>
      <c r="AD21" s="132"/>
      <c r="AE21" s="124"/>
    </row>
    <row r="22">
      <c r="A22" s="124"/>
      <c r="B22" s="131"/>
      <c r="C22" s="132"/>
      <c r="D22" s="124"/>
      <c r="E22" s="131"/>
      <c r="F22" s="132"/>
      <c r="G22" s="124"/>
      <c r="H22" s="131"/>
      <c r="I22" s="132"/>
      <c r="J22" s="124"/>
      <c r="K22" s="131"/>
      <c r="L22" s="132"/>
      <c r="M22" s="124"/>
      <c r="N22" s="131"/>
      <c r="O22" s="132"/>
      <c r="P22" s="124"/>
      <c r="Q22" s="131"/>
      <c r="R22" s="132"/>
      <c r="S22" s="124"/>
      <c r="T22" s="131"/>
      <c r="U22" s="132"/>
      <c r="V22" s="124"/>
      <c r="W22" s="131"/>
      <c r="X22" s="132"/>
      <c r="Y22" s="124"/>
      <c r="Z22" s="131"/>
      <c r="AA22" s="132"/>
      <c r="AB22" s="124"/>
      <c r="AC22" s="131"/>
      <c r="AD22" s="132"/>
      <c r="AE22" s="124"/>
    </row>
    <row r="23">
      <c r="A23" s="124"/>
      <c r="B23" s="131"/>
      <c r="C23" s="132"/>
      <c r="D23" s="124"/>
      <c r="E23" s="131"/>
      <c r="F23" s="132"/>
      <c r="G23" s="124"/>
      <c r="H23" s="131"/>
      <c r="I23" s="132"/>
      <c r="J23" s="124"/>
      <c r="K23" s="131"/>
      <c r="L23" s="132"/>
      <c r="M23" s="124"/>
      <c r="N23" s="131"/>
      <c r="O23" s="132"/>
      <c r="P23" s="124"/>
      <c r="Q23" s="131"/>
      <c r="R23" s="132"/>
      <c r="S23" s="124"/>
      <c r="T23" s="131"/>
      <c r="U23" s="132"/>
      <c r="V23" s="124"/>
      <c r="W23" s="131"/>
      <c r="X23" s="132"/>
      <c r="Y23" s="124"/>
      <c r="Z23" s="131"/>
      <c r="AA23" s="132"/>
      <c r="AB23" s="124"/>
      <c r="AC23" s="131"/>
      <c r="AD23" s="132"/>
      <c r="AE23" s="124"/>
    </row>
    <row r="24">
      <c r="A24" s="124"/>
      <c r="B24" s="131"/>
      <c r="C24" s="132"/>
      <c r="D24" s="124"/>
      <c r="E24" s="131"/>
      <c r="F24" s="132"/>
      <c r="G24" s="124"/>
      <c r="H24" s="131"/>
      <c r="I24" s="132"/>
      <c r="J24" s="124"/>
      <c r="K24" s="131"/>
      <c r="L24" s="132"/>
      <c r="M24" s="124"/>
      <c r="N24" s="131"/>
      <c r="O24" s="132"/>
      <c r="P24" s="124"/>
      <c r="Q24" s="131"/>
      <c r="R24" s="132"/>
      <c r="S24" s="124"/>
      <c r="T24" s="131"/>
      <c r="U24" s="132"/>
      <c r="V24" s="124"/>
      <c r="W24" s="131"/>
      <c r="X24" s="132"/>
      <c r="Y24" s="124"/>
      <c r="Z24" s="131"/>
      <c r="AA24" s="132"/>
      <c r="AB24" s="124"/>
      <c r="AC24" s="131"/>
      <c r="AD24" s="132"/>
      <c r="AE24" s="124"/>
    </row>
    <row r="25">
      <c r="A25" s="124"/>
      <c r="B25" s="134"/>
      <c r="C25" s="135"/>
      <c r="D25" s="124"/>
      <c r="E25" s="134"/>
      <c r="F25" s="135"/>
      <c r="G25" s="124"/>
      <c r="H25" s="134"/>
      <c r="I25" s="135"/>
      <c r="J25" s="124"/>
      <c r="K25" s="134"/>
      <c r="L25" s="135"/>
      <c r="M25" s="124"/>
      <c r="N25" s="134"/>
      <c r="O25" s="135"/>
      <c r="P25" s="124"/>
      <c r="Q25" s="134"/>
      <c r="R25" s="135"/>
      <c r="S25" s="124"/>
      <c r="T25" s="134"/>
      <c r="U25" s="135"/>
      <c r="V25" s="124"/>
      <c r="W25" s="134"/>
      <c r="X25" s="135"/>
      <c r="Y25" s="124"/>
      <c r="Z25" s="134"/>
      <c r="AA25" s="135"/>
      <c r="AB25" s="124"/>
      <c r="AC25" s="134"/>
      <c r="AD25" s="135"/>
      <c r="AE25" s="124"/>
    </row>
    <row r="26">
      <c r="A26" s="124"/>
      <c r="B26" s="137">
        <f>SUM(B4:B25)</f>
        <v>478</v>
      </c>
      <c r="C26" s="3"/>
      <c r="D26" s="124"/>
      <c r="E26" s="137">
        <f>SUM(E4:E25)</f>
        <v>13</v>
      </c>
      <c r="F26" s="3"/>
      <c r="G26" s="124"/>
      <c r="H26" s="137">
        <f>SUM(H4:H25)</f>
        <v>61</v>
      </c>
      <c r="I26" s="3"/>
      <c r="J26" s="124"/>
      <c r="K26" s="137">
        <f>SUM(K4:K25)</f>
        <v>3</v>
      </c>
      <c r="L26" s="3"/>
      <c r="M26" s="124"/>
      <c r="N26" s="137">
        <f>SUM(N4:N25)</f>
        <v>138</v>
      </c>
      <c r="O26" s="3"/>
      <c r="P26" s="124"/>
      <c r="Q26" s="137">
        <f>SUM(Q4:Q25)</f>
        <v>1</v>
      </c>
      <c r="R26" s="3"/>
      <c r="S26" s="124"/>
      <c r="T26" s="137">
        <f>SUM(T4:T25)</f>
        <v>481</v>
      </c>
      <c r="U26" s="3"/>
      <c r="V26" s="124"/>
      <c r="W26" s="137">
        <f>SUM(W4:W25)</f>
        <v>15</v>
      </c>
      <c r="X26" s="3"/>
      <c r="Y26" s="124"/>
      <c r="Z26" s="137">
        <f>SUM(Z4:Z25)</f>
        <v>499</v>
      </c>
      <c r="AA26" s="3"/>
      <c r="AB26" s="124"/>
      <c r="AC26" s="137">
        <f>SUM(AC4:AC25)</f>
        <v>20</v>
      </c>
      <c r="AD26" s="3"/>
      <c r="AE26" s="124"/>
    </row>
    <row r="27">
      <c r="A27" s="124"/>
      <c r="B27" s="139"/>
      <c r="C27" s="140"/>
      <c r="D27" s="124"/>
      <c r="E27" s="139"/>
      <c r="F27" s="140"/>
      <c r="G27" s="124"/>
      <c r="H27" s="139"/>
      <c r="I27" s="140"/>
      <c r="J27" s="124"/>
      <c r="K27" s="139"/>
      <c r="L27" s="140"/>
      <c r="M27" s="124"/>
      <c r="N27" s="139"/>
      <c r="O27" s="140"/>
      <c r="P27" s="124"/>
      <c r="Q27" s="139"/>
      <c r="R27" s="140"/>
      <c r="S27" s="124"/>
      <c r="T27" s="139"/>
      <c r="U27" s="140"/>
      <c r="V27" s="124"/>
      <c r="W27" s="139"/>
      <c r="X27" s="140"/>
      <c r="Y27" s="124"/>
      <c r="Z27" s="139"/>
      <c r="AA27" s="140"/>
      <c r="AB27" s="124"/>
      <c r="AC27" s="139"/>
      <c r="AD27" s="140"/>
      <c r="AE27" s="124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</row>
    <row r="29">
      <c r="A29" s="117"/>
      <c r="B29" s="122" t="s">
        <v>179</v>
      </c>
      <c r="C29" s="121"/>
      <c r="D29" s="117"/>
      <c r="E29" s="120" t="s">
        <v>299</v>
      </c>
      <c r="F29" s="121"/>
      <c r="G29" s="117"/>
      <c r="H29" s="120" t="s">
        <v>63</v>
      </c>
      <c r="I29" s="121"/>
      <c r="J29" s="117"/>
      <c r="K29" s="120" t="s">
        <v>122</v>
      </c>
      <c r="L29" s="121"/>
      <c r="M29" s="117"/>
      <c r="N29" s="120" t="s">
        <v>185</v>
      </c>
      <c r="O29" s="121"/>
      <c r="P29" s="117"/>
      <c r="Q29" s="142" t="s">
        <v>301</v>
      </c>
      <c r="R29" s="121"/>
      <c r="S29" s="117"/>
      <c r="T29" s="142" t="s">
        <v>302</v>
      </c>
      <c r="U29" s="121"/>
      <c r="V29" s="117"/>
      <c r="W29" s="142" t="s">
        <v>303</v>
      </c>
      <c r="X29" s="121"/>
      <c r="Y29" s="117"/>
      <c r="Z29" s="142" t="s">
        <v>304</v>
      </c>
      <c r="AA29" s="121"/>
      <c r="AB29" s="117"/>
      <c r="AC29" s="142" t="s">
        <v>305</v>
      </c>
      <c r="AD29" s="121"/>
      <c r="AE29" s="117"/>
    </row>
    <row r="30">
      <c r="A30" s="124"/>
      <c r="B30" s="125" t="s">
        <v>279</v>
      </c>
      <c r="C30" s="126" t="s">
        <v>3</v>
      </c>
      <c r="D30" s="124"/>
      <c r="E30" s="125" t="s">
        <v>279</v>
      </c>
      <c r="F30" s="126" t="s">
        <v>3</v>
      </c>
      <c r="G30" s="124"/>
      <c r="H30" s="125" t="s">
        <v>279</v>
      </c>
      <c r="I30" s="126" t="s">
        <v>3</v>
      </c>
      <c r="J30" s="124"/>
      <c r="K30" s="125" t="s">
        <v>279</v>
      </c>
      <c r="L30" s="126" t="s">
        <v>3</v>
      </c>
      <c r="M30" s="124"/>
      <c r="N30" s="125" t="s">
        <v>279</v>
      </c>
      <c r="O30" s="126" t="s">
        <v>3</v>
      </c>
      <c r="P30" s="124"/>
      <c r="Q30" s="143" t="s">
        <v>279</v>
      </c>
      <c r="R30" s="144" t="s">
        <v>3</v>
      </c>
      <c r="S30" s="124"/>
      <c r="T30" s="125" t="s">
        <v>279</v>
      </c>
      <c r="U30" s="126" t="s">
        <v>3</v>
      </c>
      <c r="V30" s="124"/>
      <c r="W30" s="125" t="s">
        <v>279</v>
      </c>
      <c r="X30" s="126" t="s">
        <v>3</v>
      </c>
      <c r="Y30" s="124"/>
      <c r="Z30" s="125" t="s">
        <v>279</v>
      </c>
      <c r="AA30" s="126" t="s">
        <v>3</v>
      </c>
      <c r="AB30" s="124"/>
      <c r="AC30" s="125" t="s">
        <v>279</v>
      </c>
      <c r="AD30" s="126" t="s">
        <v>3</v>
      </c>
      <c r="AE30" s="124"/>
    </row>
    <row r="31">
      <c r="A31" s="124"/>
      <c r="B31" s="127"/>
      <c r="C31" s="129"/>
      <c r="D31" s="124"/>
      <c r="E31" s="127">
        <v>3.0</v>
      </c>
      <c r="F31" s="128">
        <v>46101.0</v>
      </c>
      <c r="G31" s="124"/>
      <c r="H31" s="127">
        <v>1.0</v>
      </c>
      <c r="I31" s="128">
        <v>46103.0</v>
      </c>
      <c r="J31" s="124"/>
      <c r="K31" s="127">
        <v>6.0</v>
      </c>
      <c r="L31" s="128">
        <v>46102.0</v>
      </c>
      <c r="M31" s="124"/>
      <c r="N31" s="130">
        <v>10.0</v>
      </c>
      <c r="O31" s="129">
        <v>46132.0</v>
      </c>
      <c r="P31" s="124"/>
      <c r="Q31" s="127">
        <v>6.0</v>
      </c>
      <c r="R31" s="128">
        <v>46113.0</v>
      </c>
      <c r="S31" s="124"/>
      <c r="T31" s="127">
        <v>20.0</v>
      </c>
      <c r="U31" s="128">
        <v>46143.0</v>
      </c>
      <c r="V31" s="124"/>
      <c r="W31" s="127">
        <v>20.0</v>
      </c>
      <c r="X31" s="128">
        <v>46143.0</v>
      </c>
      <c r="Y31" s="124"/>
      <c r="Z31" s="127">
        <v>9.0</v>
      </c>
      <c r="AA31" s="128">
        <v>46143.0</v>
      </c>
      <c r="AB31" s="124"/>
      <c r="AC31" s="127">
        <v>200.0</v>
      </c>
      <c r="AD31" s="128">
        <v>46146.0</v>
      </c>
      <c r="AE31" s="124"/>
    </row>
    <row r="32">
      <c r="A32" s="124"/>
      <c r="B32" s="130"/>
      <c r="C32" s="129"/>
      <c r="D32" s="124"/>
      <c r="E32" s="130"/>
      <c r="F32" s="129"/>
      <c r="G32" s="124"/>
      <c r="H32" s="130">
        <v>10.0</v>
      </c>
      <c r="I32" s="129">
        <v>46187.0</v>
      </c>
      <c r="J32" s="124"/>
      <c r="K32" s="130">
        <v>5.0</v>
      </c>
      <c r="L32" s="129">
        <v>46105.0</v>
      </c>
      <c r="M32" s="124"/>
      <c r="N32" s="130">
        <v>50.0</v>
      </c>
      <c r="O32" s="129">
        <v>46142.0</v>
      </c>
      <c r="P32" s="124"/>
      <c r="Q32" s="130">
        <v>27.0</v>
      </c>
      <c r="R32" s="129">
        <v>46143.0</v>
      </c>
      <c r="S32" s="124"/>
      <c r="T32" s="130">
        <v>50.0</v>
      </c>
      <c r="U32" s="129">
        <v>46147.0</v>
      </c>
      <c r="V32" s="124"/>
      <c r="W32" s="130">
        <v>50.0</v>
      </c>
      <c r="X32" s="129">
        <v>46147.0</v>
      </c>
      <c r="Y32" s="124"/>
      <c r="Z32" s="130">
        <v>154.0</v>
      </c>
      <c r="AA32" s="129">
        <v>46194.0</v>
      </c>
      <c r="AB32" s="124"/>
      <c r="AC32" s="130"/>
      <c r="AD32" s="129"/>
      <c r="AE32" s="124"/>
    </row>
    <row r="33">
      <c r="A33" s="124"/>
      <c r="B33" s="130"/>
      <c r="C33" s="129"/>
      <c r="D33" s="124"/>
      <c r="E33" s="130"/>
      <c r="F33" s="129"/>
      <c r="G33" s="124"/>
      <c r="H33" s="130">
        <v>10.0</v>
      </c>
      <c r="I33" s="129">
        <v>46202.0</v>
      </c>
      <c r="J33" s="124"/>
      <c r="K33" s="130">
        <v>1.0</v>
      </c>
      <c r="L33" s="129">
        <v>46106.0</v>
      </c>
      <c r="M33" s="124"/>
      <c r="N33" s="130">
        <v>11.0</v>
      </c>
      <c r="O33" s="129">
        <v>46149.0</v>
      </c>
      <c r="P33" s="124"/>
      <c r="Q33" s="130">
        <v>50.0</v>
      </c>
      <c r="R33" s="129">
        <v>46147.0</v>
      </c>
      <c r="S33" s="124"/>
      <c r="T33" s="130"/>
      <c r="U33" s="129"/>
      <c r="V33" s="124"/>
      <c r="W33" s="130">
        <v>-2.0</v>
      </c>
      <c r="X33" s="129"/>
      <c r="Y33" s="124"/>
      <c r="Z33" s="130">
        <v>100.0</v>
      </c>
      <c r="AA33" s="129">
        <v>46302.0</v>
      </c>
      <c r="AB33" s="124"/>
      <c r="AC33" s="130"/>
      <c r="AD33" s="129"/>
      <c r="AE33" s="124"/>
    </row>
    <row r="34">
      <c r="A34" s="124"/>
      <c r="B34" s="130"/>
      <c r="C34" s="129"/>
      <c r="D34" s="124"/>
      <c r="E34" s="130"/>
      <c r="F34" s="129"/>
      <c r="G34" s="124"/>
      <c r="H34" s="130"/>
      <c r="I34" s="129"/>
      <c r="J34" s="124"/>
      <c r="K34" s="130">
        <v>10.0</v>
      </c>
      <c r="L34" s="129">
        <v>46271.0</v>
      </c>
      <c r="M34" s="124"/>
      <c r="N34" s="130">
        <v>30.0</v>
      </c>
      <c r="O34" s="129">
        <v>46194.0</v>
      </c>
      <c r="P34" s="124"/>
      <c r="Q34" s="130"/>
      <c r="R34" s="129"/>
      <c r="S34" s="124"/>
      <c r="T34" s="130"/>
      <c r="U34" s="129"/>
      <c r="V34" s="124"/>
      <c r="W34" s="130"/>
      <c r="X34" s="129"/>
      <c r="Y34" s="124"/>
      <c r="Z34" s="130">
        <v>120.0</v>
      </c>
      <c r="AA34" s="129"/>
      <c r="AB34" s="124"/>
      <c r="AC34" s="130"/>
      <c r="AD34" s="129"/>
      <c r="AE34" s="124"/>
    </row>
    <row r="35">
      <c r="A35" s="124"/>
      <c r="B35" s="130"/>
      <c r="C35" s="129"/>
      <c r="D35" s="124"/>
      <c r="E35" s="130"/>
      <c r="F35" s="129"/>
      <c r="G35" s="124"/>
      <c r="H35" s="130"/>
      <c r="I35" s="129"/>
      <c r="J35" s="124"/>
      <c r="K35" s="130">
        <v>20.0</v>
      </c>
      <c r="L35" s="129">
        <v>46179.0</v>
      </c>
      <c r="M35" s="124"/>
      <c r="N35" s="130"/>
      <c r="O35" s="129"/>
      <c r="P35" s="124"/>
      <c r="Q35" s="130"/>
      <c r="R35" s="129"/>
      <c r="S35" s="124"/>
      <c r="T35" s="130"/>
      <c r="U35" s="129"/>
      <c r="V35" s="124"/>
      <c r="W35" s="130"/>
      <c r="X35" s="129"/>
      <c r="Y35" s="124"/>
      <c r="Z35" s="130"/>
      <c r="AA35" s="129"/>
      <c r="AB35" s="124"/>
      <c r="AC35" s="130"/>
      <c r="AD35" s="129"/>
      <c r="AE35" s="124"/>
    </row>
    <row r="36">
      <c r="A36" s="124"/>
      <c r="B36" s="130"/>
      <c r="C36" s="129"/>
      <c r="D36" s="124"/>
      <c r="E36" s="130"/>
      <c r="F36" s="129"/>
      <c r="G36" s="124"/>
      <c r="H36" s="130"/>
      <c r="I36" s="129"/>
      <c r="J36" s="124"/>
      <c r="K36" s="130">
        <v>50.0</v>
      </c>
      <c r="L36" s="129">
        <v>46190.0</v>
      </c>
      <c r="M36" s="124"/>
      <c r="N36" s="130"/>
      <c r="O36" s="129"/>
      <c r="P36" s="124"/>
      <c r="Q36" s="130"/>
      <c r="R36" s="129"/>
      <c r="S36" s="124"/>
      <c r="T36" s="130"/>
      <c r="U36" s="129"/>
      <c r="V36" s="124"/>
      <c r="W36" s="130"/>
      <c r="X36" s="129"/>
      <c r="Y36" s="124"/>
      <c r="Z36" s="130"/>
      <c r="AA36" s="129"/>
      <c r="AB36" s="124"/>
      <c r="AC36" s="130"/>
      <c r="AD36" s="129"/>
      <c r="AE36" s="124"/>
    </row>
    <row r="37">
      <c r="A37" s="124"/>
      <c r="B37" s="130"/>
      <c r="C37" s="129"/>
      <c r="D37" s="124"/>
      <c r="E37" s="130"/>
      <c r="F37" s="129"/>
      <c r="G37" s="124"/>
      <c r="H37" s="131"/>
      <c r="I37" s="132"/>
      <c r="J37" s="124"/>
      <c r="K37" s="130">
        <v>-5.0</v>
      </c>
      <c r="L37" s="129">
        <v>46194.0</v>
      </c>
      <c r="M37" s="124"/>
      <c r="N37" s="131"/>
      <c r="O37" s="132"/>
      <c r="P37" s="124"/>
      <c r="Q37" s="131"/>
      <c r="R37" s="132"/>
      <c r="S37" s="124"/>
      <c r="T37" s="131"/>
      <c r="U37" s="132"/>
      <c r="V37" s="124"/>
      <c r="W37" s="131"/>
      <c r="X37" s="132"/>
      <c r="Y37" s="124"/>
      <c r="Z37" s="131"/>
      <c r="AA37" s="132"/>
      <c r="AB37" s="124"/>
      <c r="AC37" s="131"/>
      <c r="AD37" s="132"/>
      <c r="AE37" s="124"/>
    </row>
    <row r="38">
      <c r="A38" s="124"/>
      <c r="B38" s="130"/>
      <c r="C38" s="129"/>
      <c r="D38" s="124"/>
      <c r="E38" s="130"/>
      <c r="F38" s="129"/>
      <c r="G38" s="124"/>
      <c r="H38" s="131"/>
      <c r="I38" s="132"/>
      <c r="J38" s="124"/>
      <c r="K38" s="130">
        <v>4.0</v>
      </c>
      <c r="L38" s="133">
        <v>46029.0</v>
      </c>
      <c r="M38" s="124"/>
      <c r="N38" s="131"/>
      <c r="O38" s="132"/>
      <c r="P38" s="124"/>
      <c r="Q38" s="131"/>
      <c r="R38" s="132"/>
      <c r="S38" s="124"/>
      <c r="T38" s="131"/>
      <c r="U38" s="132"/>
      <c r="V38" s="124"/>
      <c r="W38" s="131"/>
      <c r="X38" s="132"/>
      <c r="Y38" s="124"/>
      <c r="Z38" s="131"/>
      <c r="AA38" s="132"/>
      <c r="AB38" s="124"/>
      <c r="AC38" s="131"/>
      <c r="AD38" s="132"/>
      <c r="AE38" s="124"/>
    </row>
    <row r="39">
      <c r="A39" s="124"/>
      <c r="B39" s="130"/>
      <c r="C39" s="129"/>
      <c r="D39" s="124"/>
      <c r="E39" s="130"/>
      <c r="F39" s="129"/>
      <c r="G39" s="124"/>
      <c r="H39" s="131"/>
      <c r="I39" s="132"/>
      <c r="J39" s="124"/>
      <c r="K39" s="130">
        <v>20.0</v>
      </c>
      <c r="L39" s="145">
        <v>46214.0</v>
      </c>
      <c r="M39" s="124"/>
      <c r="N39" s="131"/>
      <c r="O39" s="132"/>
      <c r="P39" s="124"/>
      <c r="Q39" s="131"/>
      <c r="R39" s="132"/>
      <c r="S39" s="124"/>
      <c r="T39" s="131"/>
      <c r="U39" s="132"/>
      <c r="V39" s="124"/>
      <c r="W39" s="131"/>
      <c r="X39" s="132"/>
      <c r="Y39" s="124"/>
      <c r="Z39" s="131"/>
      <c r="AA39" s="132"/>
      <c r="AB39" s="124"/>
      <c r="AC39" s="131"/>
      <c r="AD39" s="132"/>
      <c r="AE39" s="124"/>
    </row>
    <row r="40">
      <c r="A40" s="124"/>
      <c r="B40" s="130"/>
      <c r="C40" s="129"/>
      <c r="D40" s="124"/>
      <c r="E40" s="130"/>
      <c r="F40" s="129"/>
      <c r="G40" s="124"/>
      <c r="H40" s="131"/>
      <c r="I40" s="132"/>
      <c r="J40" s="124"/>
      <c r="K40" s="130">
        <v>2.0</v>
      </c>
      <c r="L40" s="145">
        <v>46216.0</v>
      </c>
      <c r="M40" s="124"/>
      <c r="N40" s="131"/>
      <c r="O40" s="132"/>
      <c r="P40" s="124"/>
      <c r="Q40" s="131"/>
      <c r="R40" s="132"/>
      <c r="S40" s="124"/>
      <c r="T40" s="131"/>
      <c r="U40" s="132"/>
      <c r="V40" s="124"/>
      <c r="W40" s="131"/>
      <c r="X40" s="132"/>
      <c r="Y40" s="124"/>
      <c r="Z40" s="131"/>
      <c r="AA40" s="132"/>
      <c r="AB40" s="124"/>
      <c r="AC40" s="131"/>
      <c r="AD40" s="132"/>
      <c r="AE40" s="124"/>
    </row>
    <row r="41">
      <c r="A41" s="124"/>
      <c r="B41" s="130"/>
      <c r="C41" s="129"/>
      <c r="D41" s="124"/>
      <c r="E41" s="130"/>
      <c r="F41" s="129"/>
      <c r="G41" s="124"/>
      <c r="H41" s="131"/>
      <c r="I41" s="132"/>
      <c r="J41" s="124"/>
      <c r="K41" s="130">
        <v>10.0</v>
      </c>
      <c r="L41" s="145">
        <v>46217.0</v>
      </c>
      <c r="M41" s="124"/>
      <c r="N41" s="131"/>
      <c r="O41" s="132"/>
      <c r="P41" s="124"/>
      <c r="Q41" s="131"/>
      <c r="R41" s="132"/>
      <c r="S41" s="124"/>
      <c r="T41" s="131"/>
      <c r="U41" s="132"/>
      <c r="V41" s="124"/>
      <c r="W41" s="131"/>
      <c r="X41" s="132"/>
      <c r="Y41" s="124"/>
      <c r="Z41" s="131"/>
      <c r="AA41" s="132"/>
      <c r="AB41" s="124"/>
      <c r="AC41" s="131"/>
      <c r="AD41" s="132"/>
      <c r="AE41" s="124"/>
    </row>
    <row r="42">
      <c r="A42" s="124"/>
      <c r="B42" s="131"/>
      <c r="C42" s="132"/>
      <c r="D42" s="124"/>
      <c r="E42" s="131"/>
      <c r="F42" s="132"/>
      <c r="G42" s="124"/>
      <c r="H42" s="131"/>
      <c r="I42" s="132"/>
      <c r="J42" s="124"/>
      <c r="K42" s="130">
        <v>10.0</v>
      </c>
      <c r="L42" s="145">
        <v>46230.0</v>
      </c>
      <c r="M42" s="124"/>
      <c r="N42" s="131"/>
      <c r="O42" s="132"/>
      <c r="P42" s="124"/>
      <c r="Q42" s="131"/>
      <c r="R42" s="132"/>
      <c r="S42" s="124"/>
      <c r="T42" s="131"/>
      <c r="U42" s="132"/>
      <c r="V42" s="124"/>
      <c r="W42" s="131"/>
      <c r="X42" s="132"/>
      <c r="Y42" s="124"/>
      <c r="Z42" s="131"/>
      <c r="AA42" s="132"/>
      <c r="AB42" s="124"/>
      <c r="AC42" s="131"/>
      <c r="AD42" s="132"/>
      <c r="AE42" s="124"/>
    </row>
    <row r="43">
      <c r="A43" s="124"/>
      <c r="B43" s="131"/>
      <c r="C43" s="132"/>
      <c r="D43" s="124"/>
      <c r="E43" s="131"/>
      <c r="F43" s="132"/>
      <c r="G43" s="124"/>
      <c r="H43" s="131"/>
      <c r="I43" s="132"/>
      <c r="J43" s="124"/>
      <c r="K43" s="131"/>
      <c r="L43" s="146"/>
      <c r="M43" s="124"/>
      <c r="N43" s="131"/>
      <c r="O43" s="132"/>
      <c r="P43" s="124"/>
      <c r="Q43" s="131"/>
      <c r="R43" s="132"/>
      <c r="S43" s="124"/>
      <c r="T43" s="131"/>
      <c r="U43" s="132"/>
      <c r="V43" s="124"/>
      <c r="W43" s="131"/>
      <c r="X43" s="132"/>
      <c r="Y43" s="124"/>
      <c r="Z43" s="131"/>
      <c r="AA43" s="132"/>
      <c r="AB43" s="124"/>
      <c r="AC43" s="131"/>
      <c r="AD43" s="132"/>
      <c r="AE43" s="124"/>
    </row>
    <row r="44">
      <c r="A44" s="124"/>
      <c r="B44" s="131"/>
      <c r="C44" s="132"/>
      <c r="D44" s="124"/>
      <c r="E44" s="131"/>
      <c r="F44" s="132"/>
      <c r="G44" s="124"/>
      <c r="H44" s="131"/>
      <c r="I44" s="132"/>
      <c r="J44" s="124"/>
      <c r="K44" s="131"/>
      <c r="L44" s="132"/>
      <c r="M44" s="124"/>
      <c r="N44" s="131"/>
      <c r="O44" s="132"/>
      <c r="P44" s="124"/>
      <c r="Q44" s="131"/>
      <c r="R44" s="132"/>
      <c r="S44" s="124"/>
      <c r="T44" s="131"/>
      <c r="U44" s="132"/>
      <c r="V44" s="124"/>
      <c r="W44" s="131"/>
      <c r="X44" s="132"/>
      <c r="Y44" s="124"/>
      <c r="Z44" s="131"/>
      <c r="AA44" s="132"/>
      <c r="AB44" s="124"/>
      <c r="AC44" s="131"/>
      <c r="AD44" s="132"/>
      <c r="AE44" s="124"/>
    </row>
    <row r="45">
      <c r="A45" s="124"/>
      <c r="B45" s="131"/>
      <c r="C45" s="132"/>
      <c r="D45" s="124"/>
      <c r="E45" s="131"/>
      <c r="F45" s="132"/>
      <c r="G45" s="124"/>
      <c r="H45" s="131"/>
      <c r="I45" s="132"/>
      <c r="J45" s="124"/>
      <c r="K45" s="131"/>
      <c r="L45" s="132"/>
      <c r="M45" s="124"/>
      <c r="N45" s="131"/>
      <c r="O45" s="132"/>
      <c r="P45" s="124"/>
      <c r="Q45" s="131"/>
      <c r="R45" s="132"/>
      <c r="S45" s="124"/>
      <c r="T45" s="131"/>
      <c r="U45" s="132"/>
      <c r="V45" s="124"/>
      <c r="W45" s="131"/>
      <c r="X45" s="132"/>
      <c r="Y45" s="124"/>
      <c r="Z45" s="131"/>
      <c r="AA45" s="132"/>
      <c r="AB45" s="124"/>
      <c r="AC45" s="131"/>
      <c r="AD45" s="132"/>
      <c r="AE45" s="124"/>
    </row>
    <row r="46">
      <c r="A46" s="124"/>
      <c r="B46" s="131"/>
      <c r="C46" s="132"/>
      <c r="D46" s="124"/>
      <c r="E46" s="131"/>
      <c r="F46" s="132"/>
      <c r="G46" s="124"/>
      <c r="H46" s="131"/>
      <c r="I46" s="132"/>
      <c r="J46" s="124"/>
      <c r="K46" s="131"/>
      <c r="L46" s="132"/>
      <c r="M46" s="124"/>
      <c r="N46" s="131"/>
      <c r="O46" s="132"/>
      <c r="P46" s="124"/>
      <c r="Q46" s="131"/>
      <c r="R46" s="132"/>
      <c r="S46" s="124"/>
      <c r="T46" s="131"/>
      <c r="U46" s="132"/>
      <c r="V46" s="124"/>
      <c r="W46" s="131"/>
      <c r="X46" s="132"/>
      <c r="Y46" s="124"/>
      <c r="Z46" s="131"/>
      <c r="AA46" s="132"/>
      <c r="AB46" s="124"/>
      <c r="AC46" s="131"/>
      <c r="AD46" s="132"/>
      <c r="AE46" s="124"/>
    </row>
    <row r="47">
      <c r="A47" s="124"/>
      <c r="B47" s="131"/>
      <c r="C47" s="132"/>
      <c r="D47" s="124"/>
      <c r="E47" s="131"/>
      <c r="F47" s="132"/>
      <c r="G47" s="124"/>
      <c r="H47" s="131"/>
      <c r="I47" s="132"/>
      <c r="J47" s="124"/>
      <c r="K47" s="131"/>
      <c r="L47" s="132"/>
      <c r="M47" s="124"/>
      <c r="N47" s="131"/>
      <c r="O47" s="132"/>
      <c r="P47" s="124"/>
      <c r="Q47" s="131"/>
      <c r="R47" s="132"/>
      <c r="S47" s="124"/>
      <c r="T47" s="131"/>
      <c r="U47" s="132"/>
      <c r="V47" s="124"/>
      <c r="W47" s="131"/>
      <c r="X47" s="132"/>
      <c r="Y47" s="124"/>
      <c r="Z47" s="131"/>
      <c r="AA47" s="132"/>
      <c r="AB47" s="124"/>
      <c r="AC47" s="131"/>
      <c r="AD47" s="132"/>
      <c r="AE47" s="124"/>
    </row>
    <row r="48">
      <c r="A48" s="124"/>
      <c r="B48" s="131"/>
      <c r="C48" s="132"/>
      <c r="D48" s="124"/>
      <c r="E48" s="131"/>
      <c r="F48" s="132"/>
      <c r="G48" s="124"/>
      <c r="H48" s="131"/>
      <c r="I48" s="132"/>
      <c r="J48" s="124"/>
      <c r="K48" s="131"/>
      <c r="L48" s="132"/>
      <c r="M48" s="124"/>
      <c r="N48" s="131"/>
      <c r="O48" s="132"/>
      <c r="P48" s="124"/>
      <c r="Q48" s="131"/>
      <c r="R48" s="132"/>
      <c r="S48" s="124"/>
      <c r="T48" s="131"/>
      <c r="U48" s="132"/>
      <c r="V48" s="124"/>
      <c r="W48" s="131"/>
      <c r="X48" s="132"/>
      <c r="Y48" s="124"/>
      <c r="Z48" s="131"/>
      <c r="AA48" s="132"/>
      <c r="AB48" s="124"/>
      <c r="AC48" s="131"/>
      <c r="AD48" s="132"/>
      <c r="AE48" s="124"/>
    </row>
    <row r="49">
      <c r="A49" s="124"/>
      <c r="B49" s="131"/>
      <c r="C49" s="132"/>
      <c r="D49" s="124"/>
      <c r="E49" s="131"/>
      <c r="F49" s="132"/>
      <c r="G49" s="124"/>
      <c r="H49" s="131"/>
      <c r="I49" s="132"/>
      <c r="J49" s="124"/>
      <c r="K49" s="131"/>
      <c r="L49" s="132"/>
      <c r="M49" s="124"/>
      <c r="N49" s="131"/>
      <c r="O49" s="132"/>
      <c r="P49" s="124"/>
      <c r="Q49" s="131"/>
      <c r="R49" s="132"/>
      <c r="S49" s="124"/>
      <c r="T49" s="131"/>
      <c r="U49" s="132"/>
      <c r="V49" s="124"/>
      <c r="W49" s="131"/>
      <c r="X49" s="132"/>
      <c r="Y49" s="124"/>
      <c r="Z49" s="131"/>
      <c r="AA49" s="132"/>
      <c r="AB49" s="124"/>
      <c r="AC49" s="131"/>
      <c r="AD49" s="132"/>
      <c r="AE49" s="124"/>
    </row>
    <row r="50">
      <c r="A50" s="124"/>
      <c r="B50" s="131"/>
      <c r="C50" s="132"/>
      <c r="D50" s="124"/>
      <c r="E50" s="131"/>
      <c r="F50" s="132"/>
      <c r="G50" s="124"/>
      <c r="H50" s="131"/>
      <c r="I50" s="132"/>
      <c r="J50" s="124"/>
      <c r="K50" s="131"/>
      <c r="L50" s="132"/>
      <c r="M50" s="124"/>
      <c r="N50" s="131"/>
      <c r="O50" s="132"/>
      <c r="P50" s="124"/>
      <c r="Q50" s="131"/>
      <c r="R50" s="132"/>
      <c r="S50" s="124"/>
      <c r="T50" s="131"/>
      <c r="U50" s="132"/>
      <c r="V50" s="124"/>
      <c r="W50" s="131"/>
      <c r="X50" s="132"/>
      <c r="Y50" s="124"/>
      <c r="Z50" s="131"/>
      <c r="AA50" s="132"/>
      <c r="AB50" s="124"/>
      <c r="AC50" s="131"/>
      <c r="AD50" s="132"/>
      <c r="AE50" s="124"/>
    </row>
    <row r="51">
      <c r="A51" s="124"/>
      <c r="B51" s="131"/>
      <c r="C51" s="132"/>
      <c r="D51" s="124"/>
      <c r="E51" s="131"/>
      <c r="F51" s="132"/>
      <c r="G51" s="124"/>
      <c r="H51" s="131"/>
      <c r="I51" s="132"/>
      <c r="J51" s="124"/>
      <c r="K51" s="131"/>
      <c r="L51" s="132"/>
      <c r="M51" s="124"/>
      <c r="N51" s="131"/>
      <c r="O51" s="132"/>
      <c r="P51" s="124"/>
      <c r="Q51" s="131"/>
      <c r="R51" s="132"/>
      <c r="S51" s="124"/>
      <c r="T51" s="131"/>
      <c r="U51" s="132"/>
      <c r="V51" s="124"/>
      <c r="W51" s="131"/>
      <c r="X51" s="132"/>
      <c r="Y51" s="124"/>
      <c r="Z51" s="131"/>
      <c r="AA51" s="132"/>
      <c r="AB51" s="124"/>
      <c r="AC51" s="131"/>
      <c r="AD51" s="132"/>
      <c r="AE51" s="124"/>
    </row>
    <row r="52">
      <c r="A52" s="124"/>
      <c r="B52" s="131"/>
      <c r="C52" s="132"/>
      <c r="D52" s="124"/>
      <c r="E52" s="131"/>
      <c r="F52" s="132"/>
      <c r="G52" s="124"/>
      <c r="H52" s="131"/>
      <c r="I52" s="132"/>
      <c r="J52" s="124"/>
      <c r="K52" s="131"/>
      <c r="L52" s="132"/>
      <c r="M52" s="124"/>
      <c r="N52" s="131"/>
      <c r="O52" s="132"/>
      <c r="P52" s="124"/>
      <c r="Q52" s="131"/>
      <c r="R52" s="132"/>
      <c r="S52" s="124"/>
      <c r="T52" s="131"/>
      <c r="U52" s="132"/>
      <c r="V52" s="124"/>
      <c r="W52" s="131"/>
      <c r="X52" s="132"/>
      <c r="Y52" s="124"/>
      <c r="Z52" s="131"/>
      <c r="AA52" s="132"/>
      <c r="AB52" s="124"/>
      <c r="AC52" s="131"/>
      <c r="AD52" s="132"/>
      <c r="AE52" s="124"/>
    </row>
    <row r="53">
      <c r="A53" s="124"/>
      <c r="B53" s="134"/>
      <c r="C53" s="135"/>
      <c r="D53" s="124"/>
      <c r="E53" s="134"/>
      <c r="F53" s="135"/>
      <c r="G53" s="124"/>
      <c r="H53" s="134"/>
      <c r="I53" s="135"/>
      <c r="J53" s="124"/>
      <c r="K53" s="134"/>
      <c r="L53" s="135"/>
      <c r="M53" s="124"/>
      <c r="N53" s="134"/>
      <c r="O53" s="135"/>
      <c r="P53" s="124"/>
      <c r="Q53" s="134"/>
      <c r="R53" s="135"/>
      <c r="S53" s="124"/>
      <c r="T53" s="134"/>
      <c r="U53" s="135"/>
      <c r="V53" s="124"/>
      <c r="W53" s="134"/>
      <c r="X53" s="135"/>
      <c r="Y53" s="124"/>
      <c r="Z53" s="134"/>
      <c r="AA53" s="135"/>
      <c r="AB53" s="124"/>
      <c r="AC53" s="134"/>
      <c r="AD53" s="135"/>
      <c r="AE53" s="124"/>
    </row>
    <row r="54">
      <c r="A54" s="124"/>
      <c r="B54" s="137">
        <f>SUM(B31:B53)</f>
        <v>0</v>
      </c>
      <c r="C54" s="3"/>
      <c r="D54" s="124"/>
      <c r="E54" s="137">
        <f>SUM(E31:E53)</f>
        <v>3</v>
      </c>
      <c r="F54" s="3"/>
      <c r="G54" s="124"/>
      <c r="H54" s="137">
        <f>SUM(H31:H53)</f>
        <v>21</v>
      </c>
      <c r="I54" s="3"/>
      <c r="J54" s="124"/>
      <c r="K54" s="137">
        <f>SUM(K31:K53)</f>
        <v>133</v>
      </c>
      <c r="L54" s="3"/>
      <c r="M54" s="124"/>
      <c r="N54" s="137">
        <f>SUM(N31:N53)</f>
        <v>101</v>
      </c>
      <c r="O54" s="3"/>
      <c r="P54" s="124"/>
      <c r="Q54" s="137">
        <f>SUM(Q31:Q53)</f>
        <v>83</v>
      </c>
      <c r="R54" s="3"/>
      <c r="S54" s="124"/>
      <c r="T54" s="137">
        <f>SUM(T31:T53)</f>
        <v>70</v>
      </c>
      <c r="U54" s="3"/>
      <c r="V54" s="124"/>
      <c r="W54" s="137">
        <f>SUM(W31:W53)</f>
        <v>68</v>
      </c>
      <c r="X54" s="3"/>
      <c r="Y54" s="124"/>
      <c r="Z54" s="137">
        <f>SUM(Z31:Z53)</f>
        <v>383</v>
      </c>
      <c r="AA54" s="3"/>
      <c r="AB54" s="124"/>
      <c r="AC54" s="137">
        <f>SUM(AC31:AC53)</f>
        <v>200</v>
      </c>
      <c r="AD54" s="3"/>
      <c r="AE54" s="124"/>
    </row>
    <row r="55">
      <c r="A55" s="124"/>
      <c r="B55" s="139"/>
      <c r="C55" s="140"/>
      <c r="D55" s="124"/>
      <c r="E55" s="139"/>
      <c r="F55" s="140"/>
      <c r="G55" s="124"/>
      <c r="H55" s="139"/>
      <c r="I55" s="140"/>
      <c r="J55" s="124"/>
      <c r="K55" s="139"/>
      <c r="L55" s="140"/>
      <c r="M55" s="124"/>
      <c r="N55" s="139"/>
      <c r="O55" s="140"/>
      <c r="P55" s="124"/>
      <c r="Q55" s="139"/>
      <c r="R55" s="140"/>
      <c r="S55" s="124"/>
      <c r="T55" s="139"/>
      <c r="U55" s="140"/>
      <c r="V55" s="124"/>
      <c r="W55" s="139"/>
      <c r="X55" s="140"/>
      <c r="Y55" s="124"/>
      <c r="Z55" s="139"/>
      <c r="AA55" s="140"/>
      <c r="AB55" s="124"/>
      <c r="AC55" s="139"/>
      <c r="AD55" s="140"/>
      <c r="AE55" s="124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</row>
    <row r="57">
      <c r="A57" s="117"/>
      <c r="B57" s="142" t="s">
        <v>101</v>
      </c>
      <c r="C57" s="121"/>
      <c r="D57" s="117"/>
      <c r="E57" s="142" t="s">
        <v>106</v>
      </c>
      <c r="F57" s="121"/>
      <c r="G57" s="117"/>
      <c r="H57" s="147"/>
      <c r="I57" s="121"/>
      <c r="J57" s="117"/>
      <c r="K57" s="142" t="s">
        <v>325</v>
      </c>
      <c r="L57" s="121"/>
      <c r="M57" s="117"/>
      <c r="N57" s="142" t="s">
        <v>326</v>
      </c>
      <c r="O57" s="121"/>
      <c r="P57" s="117"/>
      <c r="Q57" s="142" t="s">
        <v>327</v>
      </c>
      <c r="R57" s="121"/>
      <c r="S57" s="117"/>
      <c r="T57" s="142" t="s">
        <v>328</v>
      </c>
      <c r="U57" s="121"/>
      <c r="V57" s="117"/>
      <c r="W57" s="142" t="s">
        <v>329</v>
      </c>
      <c r="X57" s="121"/>
      <c r="Y57" s="117"/>
      <c r="Z57" s="148" t="s">
        <v>187</v>
      </c>
      <c r="AA57" s="121"/>
      <c r="AB57" s="117"/>
      <c r="AC57" s="120" t="s">
        <v>330</v>
      </c>
      <c r="AD57" s="121"/>
      <c r="AE57" s="117"/>
    </row>
    <row r="58">
      <c r="A58" s="124"/>
      <c r="B58" s="125" t="s">
        <v>279</v>
      </c>
      <c r="C58" s="126" t="s">
        <v>3</v>
      </c>
      <c r="D58" s="124"/>
      <c r="E58" s="125" t="s">
        <v>279</v>
      </c>
      <c r="F58" s="126" t="s">
        <v>3</v>
      </c>
      <c r="G58" s="124"/>
      <c r="H58" s="125" t="s">
        <v>279</v>
      </c>
      <c r="I58" s="126" t="s">
        <v>3</v>
      </c>
      <c r="J58" s="124"/>
      <c r="K58" s="125" t="s">
        <v>279</v>
      </c>
      <c r="L58" s="126" t="s">
        <v>3</v>
      </c>
      <c r="M58" s="124"/>
      <c r="N58" s="125" t="s">
        <v>279</v>
      </c>
      <c r="O58" s="126" t="s">
        <v>3</v>
      </c>
      <c r="P58" s="124"/>
      <c r="Q58" s="125" t="s">
        <v>279</v>
      </c>
      <c r="R58" s="126" t="s">
        <v>3</v>
      </c>
      <c r="S58" s="124"/>
      <c r="T58" s="125" t="s">
        <v>279</v>
      </c>
      <c r="U58" s="126" t="s">
        <v>3</v>
      </c>
      <c r="V58" s="124"/>
      <c r="W58" s="125" t="s">
        <v>279</v>
      </c>
      <c r="X58" s="126" t="s">
        <v>3</v>
      </c>
      <c r="Y58" s="124"/>
      <c r="Z58" s="125" t="s">
        <v>279</v>
      </c>
      <c r="AA58" s="126" t="s">
        <v>3</v>
      </c>
      <c r="AB58" s="124"/>
      <c r="AC58" s="125" t="s">
        <v>279</v>
      </c>
      <c r="AD58" s="126" t="s">
        <v>3</v>
      </c>
      <c r="AE58" s="124"/>
    </row>
    <row r="59">
      <c r="A59" s="124"/>
      <c r="B59" s="127">
        <v>10.0</v>
      </c>
      <c r="C59" s="128">
        <v>46234.0</v>
      </c>
      <c r="D59" s="124"/>
      <c r="E59" s="127"/>
      <c r="F59" s="128"/>
      <c r="G59" s="124"/>
      <c r="H59" s="127"/>
      <c r="I59" s="128"/>
      <c r="J59" s="124"/>
      <c r="K59" s="127">
        <v>9.0</v>
      </c>
      <c r="L59" s="128">
        <v>46146.0</v>
      </c>
      <c r="M59" s="124"/>
      <c r="N59" s="127">
        <v>8.0</v>
      </c>
      <c r="O59" s="128">
        <v>46146.0</v>
      </c>
      <c r="P59" s="124"/>
      <c r="Q59" s="127">
        <v>5.0</v>
      </c>
      <c r="R59" s="128">
        <v>46146.0</v>
      </c>
      <c r="S59" s="124"/>
      <c r="T59" s="127">
        <v>11.0</v>
      </c>
      <c r="U59" s="128">
        <v>46146.0</v>
      </c>
      <c r="V59" s="124"/>
      <c r="W59" s="127">
        <v>7.0</v>
      </c>
      <c r="X59" s="128">
        <v>46146.0</v>
      </c>
      <c r="Y59" s="124"/>
      <c r="Z59" s="127">
        <v>18.0</v>
      </c>
      <c r="AA59" s="149">
        <v>46149.0</v>
      </c>
      <c r="AB59" s="124"/>
      <c r="AC59" s="130">
        <v>10.0</v>
      </c>
      <c r="AD59" s="129">
        <v>46155.0</v>
      </c>
      <c r="AE59" s="124"/>
    </row>
    <row r="60">
      <c r="A60" s="124"/>
      <c r="B60" s="130"/>
      <c r="C60" s="129"/>
      <c r="D60" s="124"/>
      <c r="E60" s="130"/>
      <c r="F60" s="129"/>
      <c r="G60" s="124"/>
      <c r="H60" s="130"/>
      <c r="I60" s="129"/>
      <c r="J60" s="124"/>
      <c r="K60" s="130"/>
      <c r="L60" s="129"/>
      <c r="M60" s="124"/>
      <c r="N60" s="130"/>
      <c r="O60" s="129"/>
      <c r="P60" s="124"/>
      <c r="Q60" s="130"/>
      <c r="R60" s="129"/>
      <c r="S60" s="124"/>
      <c r="T60" s="130"/>
      <c r="U60" s="129"/>
      <c r="V60" s="124"/>
      <c r="W60" s="130"/>
      <c r="X60" s="129"/>
      <c r="Y60" s="124"/>
      <c r="Z60" s="130">
        <v>5.0</v>
      </c>
      <c r="AA60" s="129">
        <v>46152.0</v>
      </c>
      <c r="AB60" s="124"/>
      <c r="AC60" s="130">
        <v>16.0</v>
      </c>
      <c r="AD60" s="129"/>
      <c r="AE60" s="124"/>
    </row>
    <row r="61">
      <c r="A61" s="124"/>
      <c r="B61" s="130"/>
      <c r="C61" s="129"/>
      <c r="D61" s="124"/>
      <c r="E61" s="130"/>
      <c r="F61" s="129"/>
      <c r="G61" s="124"/>
      <c r="H61" s="130"/>
      <c r="I61" s="129"/>
      <c r="J61" s="124"/>
      <c r="K61" s="130"/>
      <c r="L61" s="129"/>
      <c r="M61" s="124"/>
      <c r="N61" s="130"/>
      <c r="O61" s="129"/>
      <c r="P61" s="124"/>
      <c r="Q61" s="130"/>
      <c r="R61" s="129"/>
      <c r="S61" s="124"/>
      <c r="T61" s="130"/>
      <c r="U61" s="129"/>
      <c r="V61" s="124"/>
      <c r="W61" s="130"/>
      <c r="X61" s="129"/>
      <c r="Y61" s="124"/>
      <c r="Z61" s="130">
        <v>6.0</v>
      </c>
      <c r="AA61" s="129">
        <v>46156.0</v>
      </c>
      <c r="AB61" s="124"/>
      <c r="AC61" s="130">
        <v>5.0</v>
      </c>
      <c r="AD61" s="129">
        <v>46029.0</v>
      </c>
      <c r="AE61" s="124"/>
    </row>
    <row r="62">
      <c r="A62" s="124"/>
      <c r="B62" s="130"/>
      <c r="C62" s="129"/>
      <c r="D62" s="124"/>
      <c r="E62" s="130"/>
      <c r="F62" s="129"/>
      <c r="G62" s="124"/>
      <c r="H62" s="130"/>
      <c r="I62" s="129"/>
      <c r="J62" s="124"/>
      <c r="K62" s="130"/>
      <c r="L62" s="129"/>
      <c r="M62" s="124"/>
      <c r="N62" s="130"/>
      <c r="O62" s="129"/>
      <c r="P62" s="124"/>
      <c r="Q62" s="130"/>
      <c r="R62" s="129"/>
      <c r="S62" s="124"/>
      <c r="T62" s="130"/>
      <c r="U62" s="129"/>
      <c r="V62" s="124"/>
      <c r="W62" s="130"/>
      <c r="X62" s="129"/>
      <c r="Y62" s="124"/>
      <c r="Z62" s="130">
        <v>10.0</v>
      </c>
      <c r="AA62" s="129">
        <v>46181.0</v>
      </c>
      <c r="AB62" s="124"/>
      <c r="AC62" s="130">
        <v>11.0</v>
      </c>
      <c r="AD62" s="129">
        <v>46209.0</v>
      </c>
      <c r="AE62" s="124"/>
    </row>
    <row r="63">
      <c r="A63" s="124"/>
      <c r="B63" s="130"/>
      <c r="C63" s="129"/>
      <c r="D63" s="124"/>
      <c r="E63" s="130"/>
      <c r="F63" s="129"/>
      <c r="G63" s="124"/>
      <c r="H63" s="130"/>
      <c r="I63" s="129"/>
      <c r="J63" s="124"/>
      <c r="K63" s="130"/>
      <c r="L63" s="129"/>
      <c r="M63" s="124"/>
      <c r="N63" s="130"/>
      <c r="O63" s="129"/>
      <c r="P63" s="124"/>
      <c r="Q63" s="130"/>
      <c r="R63" s="129"/>
      <c r="S63" s="124"/>
      <c r="T63" s="130"/>
      <c r="U63" s="129"/>
      <c r="V63" s="124"/>
      <c r="W63" s="130"/>
      <c r="X63" s="129"/>
      <c r="Y63" s="124"/>
      <c r="Z63" s="130">
        <v>20.0</v>
      </c>
      <c r="AA63" s="129">
        <v>46189.0</v>
      </c>
      <c r="AB63" s="124"/>
      <c r="AC63" s="130">
        <v>11.0</v>
      </c>
      <c r="AD63" s="129">
        <v>46216.0</v>
      </c>
      <c r="AE63" s="124"/>
    </row>
    <row r="64">
      <c r="A64" s="124"/>
      <c r="B64" s="130"/>
      <c r="C64" s="129"/>
      <c r="D64" s="124"/>
      <c r="E64" s="130"/>
      <c r="F64" s="129"/>
      <c r="G64" s="124"/>
      <c r="H64" s="130"/>
      <c r="I64" s="129"/>
      <c r="J64" s="124"/>
      <c r="K64" s="130"/>
      <c r="L64" s="129"/>
      <c r="M64" s="124"/>
      <c r="N64" s="130"/>
      <c r="O64" s="129"/>
      <c r="P64" s="124"/>
      <c r="Q64" s="130"/>
      <c r="R64" s="129"/>
      <c r="S64" s="124"/>
      <c r="T64" s="130"/>
      <c r="U64" s="129"/>
      <c r="V64" s="124"/>
      <c r="W64" s="130"/>
      <c r="X64" s="129"/>
      <c r="Y64" s="124"/>
      <c r="Z64" s="130">
        <v>6.0</v>
      </c>
      <c r="AA64" s="129">
        <v>46191.0</v>
      </c>
      <c r="AB64" s="124"/>
      <c r="AC64" s="130">
        <v>10.0</v>
      </c>
      <c r="AD64" s="129">
        <v>46217.0</v>
      </c>
      <c r="AE64" s="124"/>
    </row>
    <row r="65">
      <c r="A65" s="124"/>
      <c r="B65" s="131"/>
      <c r="C65" s="132"/>
      <c r="D65" s="124"/>
      <c r="E65" s="131"/>
      <c r="F65" s="132"/>
      <c r="G65" s="124"/>
      <c r="H65" s="131"/>
      <c r="I65" s="132"/>
      <c r="J65" s="124"/>
      <c r="K65" s="131"/>
      <c r="L65" s="132"/>
      <c r="M65" s="124"/>
      <c r="N65" s="130"/>
      <c r="O65" s="132"/>
      <c r="P65" s="124"/>
      <c r="Q65" s="131"/>
      <c r="R65" s="132"/>
      <c r="S65" s="124"/>
      <c r="T65" s="131"/>
      <c r="U65" s="132"/>
      <c r="V65" s="124"/>
      <c r="W65" s="131"/>
      <c r="X65" s="132"/>
      <c r="Y65" s="124"/>
      <c r="Z65" s="130">
        <v>14.0</v>
      </c>
      <c r="AA65" s="129">
        <v>46194.0</v>
      </c>
      <c r="AB65" s="124"/>
      <c r="AC65" s="131"/>
      <c r="AD65" s="132"/>
      <c r="AE65" s="124"/>
    </row>
    <row r="66">
      <c r="A66" s="124"/>
      <c r="B66" s="131"/>
      <c r="C66" s="132"/>
      <c r="D66" s="124"/>
      <c r="E66" s="131"/>
      <c r="F66" s="132"/>
      <c r="G66" s="124"/>
      <c r="H66" s="131"/>
      <c r="I66" s="132"/>
      <c r="J66" s="124"/>
      <c r="K66" s="131"/>
      <c r="L66" s="132"/>
      <c r="M66" s="124"/>
      <c r="N66" s="130"/>
      <c r="O66" s="132"/>
      <c r="P66" s="124"/>
      <c r="Q66" s="131"/>
      <c r="R66" s="132"/>
      <c r="S66" s="124"/>
      <c r="T66" s="131"/>
      <c r="U66" s="132"/>
      <c r="V66" s="124"/>
      <c r="W66" s="131"/>
      <c r="X66" s="132"/>
      <c r="Y66" s="124"/>
      <c r="Z66" s="130">
        <v>20.0</v>
      </c>
      <c r="AA66" s="132"/>
      <c r="AB66" s="124"/>
      <c r="AC66" s="131"/>
      <c r="AD66" s="132"/>
      <c r="AE66" s="124"/>
    </row>
    <row r="67">
      <c r="A67" s="124"/>
      <c r="B67" s="131"/>
      <c r="C67" s="132"/>
      <c r="D67" s="124"/>
      <c r="E67" s="131"/>
      <c r="F67" s="132"/>
      <c r="G67" s="124"/>
      <c r="H67" s="131"/>
      <c r="I67" s="132"/>
      <c r="J67" s="124"/>
      <c r="K67" s="131"/>
      <c r="L67" s="132"/>
      <c r="M67" s="124"/>
      <c r="N67" s="130"/>
      <c r="O67" s="132"/>
      <c r="P67" s="124"/>
      <c r="Q67" s="131"/>
      <c r="R67" s="132"/>
      <c r="S67" s="124"/>
      <c r="T67" s="131"/>
      <c r="U67" s="132"/>
      <c r="V67" s="124"/>
      <c r="W67" s="131"/>
      <c r="X67" s="132"/>
      <c r="Y67" s="124"/>
      <c r="Z67" s="130">
        <v>6.0</v>
      </c>
      <c r="AA67" s="133">
        <v>46029.0</v>
      </c>
      <c r="AB67" s="124"/>
      <c r="AC67" s="131"/>
      <c r="AD67" s="132"/>
      <c r="AE67" s="124"/>
    </row>
    <row r="68">
      <c r="A68" s="124"/>
      <c r="B68" s="131"/>
      <c r="C68" s="132"/>
      <c r="D68" s="124"/>
      <c r="E68" s="131"/>
      <c r="F68" s="132"/>
      <c r="G68" s="124"/>
      <c r="H68" s="131"/>
      <c r="I68" s="132"/>
      <c r="J68" s="124"/>
      <c r="K68" s="131"/>
      <c r="L68" s="132"/>
      <c r="M68" s="124"/>
      <c r="N68" s="130"/>
      <c r="O68" s="132"/>
      <c r="P68" s="124"/>
      <c r="Q68" s="131"/>
      <c r="R68" s="132"/>
      <c r="S68" s="124"/>
      <c r="T68" s="131"/>
      <c r="U68" s="132"/>
      <c r="V68" s="124"/>
      <c r="W68" s="131"/>
      <c r="X68" s="132"/>
      <c r="Y68" s="124"/>
      <c r="Z68" s="130">
        <v>1.0</v>
      </c>
      <c r="AA68" s="133">
        <v>46149.0</v>
      </c>
      <c r="AB68" s="124"/>
      <c r="AC68" s="131"/>
      <c r="AD68" s="132"/>
      <c r="AE68" s="124"/>
    </row>
    <row r="69">
      <c r="A69" s="124"/>
      <c r="B69" s="131"/>
      <c r="C69" s="132"/>
      <c r="D69" s="124"/>
      <c r="E69" s="131"/>
      <c r="F69" s="132"/>
      <c r="G69" s="124"/>
      <c r="H69" s="131"/>
      <c r="I69" s="132"/>
      <c r="J69" s="124"/>
      <c r="K69" s="131"/>
      <c r="L69" s="132"/>
      <c r="M69" s="124"/>
      <c r="N69" s="130"/>
      <c r="O69" s="132"/>
      <c r="P69" s="124"/>
      <c r="Q69" s="131"/>
      <c r="R69" s="132"/>
      <c r="S69" s="124"/>
      <c r="T69" s="131"/>
      <c r="U69" s="132"/>
      <c r="V69" s="124"/>
      <c r="W69" s="131"/>
      <c r="X69" s="132"/>
      <c r="Y69" s="124"/>
      <c r="Z69" s="130">
        <v>12.0</v>
      </c>
      <c r="AA69" s="132"/>
      <c r="AB69" s="124"/>
      <c r="AC69" s="131"/>
      <c r="AD69" s="132"/>
      <c r="AE69" s="124"/>
    </row>
    <row r="70">
      <c r="A70" s="124"/>
      <c r="B70" s="131"/>
      <c r="C70" s="132"/>
      <c r="D70" s="124"/>
      <c r="E70" s="131"/>
      <c r="F70" s="132"/>
      <c r="G70" s="124"/>
      <c r="H70" s="131"/>
      <c r="I70" s="132"/>
      <c r="J70" s="124"/>
      <c r="K70" s="131"/>
      <c r="L70" s="132"/>
      <c r="M70" s="124"/>
      <c r="N70" s="131"/>
      <c r="O70" s="132"/>
      <c r="P70" s="124"/>
      <c r="Q70" s="131"/>
      <c r="R70" s="132"/>
      <c r="S70" s="124"/>
      <c r="T70" s="131"/>
      <c r="U70" s="132"/>
      <c r="V70" s="124"/>
      <c r="W70" s="131"/>
      <c r="X70" s="132"/>
      <c r="Y70" s="124"/>
      <c r="Z70" s="130">
        <v>24.0</v>
      </c>
      <c r="AA70" s="132"/>
      <c r="AB70" s="124"/>
      <c r="AC70" s="131"/>
      <c r="AD70" s="132"/>
      <c r="AE70" s="124"/>
    </row>
    <row r="71">
      <c r="A71" s="124"/>
      <c r="B71" s="131"/>
      <c r="C71" s="132"/>
      <c r="D71" s="124"/>
      <c r="E71" s="131"/>
      <c r="F71" s="132"/>
      <c r="G71" s="124"/>
      <c r="H71" s="131"/>
      <c r="I71" s="132"/>
      <c r="J71" s="124"/>
      <c r="K71" s="131"/>
      <c r="L71" s="132"/>
      <c r="M71" s="124"/>
      <c r="N71" s="131"/>
      <c r="O71" s="132"/>
      <c r="P71" s="124"/>
      <c r="Q71" s="131"/>
      <c r="R71" s="132"/>
      <c r="S71" s="124"/>
      <c r="T71" s="131"/>
      <c r="U71" s="132"/>
      <c r="V71" s="124"/>
      <c r="W71" s="131"/>
      <c r="X71" s="132"/>
      <c r="Y71" s="124"/>
      <c r="Z71" s="131"/>
      <c r="AA71" s="132"/>
      <c r="AB71" s="124"/>
      <c r="AC71" s="131"/>
      <c r="AD71" s="132"/>
      <c r="AE71" s="124"/>
    </row>
    <row r="72">
      <c r="A72" s="124"/>
      <c r="B72" s="131"/>
      <c r="C72" s="132"/>
      <c r="D72" s="124"/>
      <c r="E72" s="131"/>
      <c r="F72" s="132"/>
      <c r="G72" s="124"/>
      <c r="H72" s="131"/>
      <c r="I72" s="132"/>
      <c r="J72" s="124"/>
      <c r="K72" s="131"/>
      <c r="L72" s="132"/>
      <c r="M72" s="124"/>
      <c r="N72" s="131"/>
      <c r="O72" s="132"/>
      <c r="P72" s="124"/>
      <c r="Q72" s="131"/>
      <c r="R72" s="132"/>
      <c r="S72" s="124"/>
      <c r="T72" s="131"/>
      <c r="U72" s="132"/>
      <c r="V72" s="124"/>
      <c r="W72" s="131"/>
      <c r="X72" s="132"/>
      <c r="Y72" s="124"/>
      <c r="Z72" s="131"/>
      <c r="AA72" s="132"/>
      <c r="AB72" s="124"/>
      <c r="AC72" s="131"/>
      <c r="AD72" s="132"/>
      <c r="AE72" s="124"/>
    </row>
    <row r="73">
      <c r="A73" s="124"/>
      <c r="B73" s="131"/>
      <c r="C73" s="132"/>
      <c r="D73" s="124"/>
      <c r="E73" s="131"/>
      <c r="F73" s="132"/>
      <c r="G73" s="124"/>
      <c r="H73" s="131"/>
      <c r="I73" s="132"/>
      <c r="J73" s="124"/>
      <c r="K73" s="131"/>
      <c r="L73" s="132"/>
      <c r="M73" s="124"/>
      <c r="N73" s="131"/>
      <c r="O73" s="132"/>
      <c r="P73" s="124"/>
      <c r="Q73" s="131"/>
      <c r="R73" s="132"/>
      <c r="S73" s="124"/>
      <c r="T73" s="131"/>
      <c r="U73" s="132"/>
      <c r="V73" s="124"/>
      <c r="W73" s="131"/>
      <c r="X73" s="132"/>
      <c r="Y73" s="124"/>
      <c r="Z73" s="131"/>
      <c r="AA73" s="132"/>
      <c r="AB73" s="124"/>
      <c r="AC73" s="131"/>
      <c r="AD73" s="132"/>
      <c r="AE73" s="124"/>
    </row>
    <row r="74">
      <c r="A74" s="124"/>
      <c r="B74" s="131"/>
      <c r="C74" s="132"/>
      <c r="D74" s="124"/>
      <c r="E74" s="131"/>
      <c r="F74" s="132"/>
      <c r="G74" s="124"/>
      <c r="H74" s="131"/>
      <c r="I74" s="132"/>
      <c r="J74" s="124"/>
      <c r="K74" s="131"/>
      <c r="L74" s="132"/>
      <c r="M74" s="124"/>
      <c r="N74" s="131"/>
      <c r="O74" s="132"/>
      <c r="P74" s="124"/>
      <c r="Q74" s="131"/>
      <c r="R74" s="132"/>
      <c r="S74" s="124"/>
      <c r="T74" s="131"/>
      <c r="U74" s="132"/>
      <c r="V74" s="124"/>
      <c r="W74" s="131"/>
      <c r="X74" s="132"/>
      <c r="Y74" s="124"/>
      <c r="Z74" s="131"/>
      <c r="AA74" s="132"/>
      <c r="AB74" s="124"/>
      <c r="AC74" s="131"/>
      <c r="AD74" s="132"/>
      <c r="AE74" s="124"/>
    </row>
    <row r="75">
      <c r="A75" s="124"/>
      <c r="B75" s="131"/>
      <c r="C75" s="132"/>
      <c r="D75" s="124"/>
      <c r="E75" s="131"/>
      <c r="F75" s="132"/>
      <c r="G75" s="124"/>
      <c r="H75" s="131"/>
      <c r="I75" s="132"/>
      <c r="J75" s="124"/>
      <c r="K75" s="131"/>
      <c r="L75" s="132"/>
      <c r="M75" s="124"/>
      <c r="N75" s="131"/>
      <c r="O75" s="132"/>
      <c r="P75" s="124"/>
      <c r="Q75" s="131"/>
      <c r="R75" s="132"/>
      <c r="S75" s="124"/>
      <c r="T75" s="131"/>
      <c r="U75" s="132"/>
      <c r="V75" s="124"/>
      <c r="W75" s="131"/>
      <c r="X75" s="132"/>
      <c r="Y75" s="124"/>
      <c r="Z75" s="131"/>
      <c r="AA75" s="132"/>
      <c r="AB75" s="124"/>
      <c r="AC75" s="131"/>
      <c r="AD75" s="132"/>
      <c r="AE75" s="124"/>
    </row>
    <row r="76">
      <c r="A76" s="124"/>
      <c r="B76" s="131"/>
      <c r="C76" s="132"/>
      <c r="D76" s="124"/>
      <c r="E76" s="131"/>
      <c r="F76" s="132"/>
      <c r="G76" s="124"/>
      <c r="H76" s="131"/>
      <c r="I76" s="132"/>
      <c r="J76" s="124"/>
      <c r="K76" s="131"/>
      <c r="L76" s="132"/>
      <c r="M76" s="124"/>
      <c r="N76" s="131"/>
      <c r="O76" s="132"/>
      <c r="P76" s="124"/>
      <c r="Q76" s="131"/>
      <c r="R76" s="132"/>
      <c r="S76" s="124"/>
      <c r="T76" s="131"/>
      <c r="U76" s="132"/>
      <c r="V76" s="124"/>
      <c r="W76" s="131"/>
      <c r="X76" s="132"/>
      <c r="Y76" s="124"/>
      <c r="Z76" s="131"/>
      <c r="AA76" s="132"/>
      <c r="AB76" s="124"/>
      <c r="AC76" s="131"/>
      <c r="AD76" s="132"/>
      <c r="AE76" s="124"/>
    </row>
    <row r="77">
      <c r="A77" s="124"/>
      <c r="B77" s="131"/>
      <c r="C77" s="132"/>
      <c r="D77" s="124"/>
      <c r="E77" s="131"/>
      <c r="F77" s="132"/>
      <c r="G77" s="124"/>
      <c r="H77" s="131"/>
      <c r="I77" s="132"/>
      <c r="J77" s="124"/>
      <c r="K77" s="131"/>
      <c r="L77" s="132"/>
      <c r="M77" s="124"/>
      <c r="N77" s="131"/>
      <c r="O77" s="132"/>
      <c r="P77" s="124"/>
      <c r="Q77" s="131"/>
      <c r="R77" s="132"/>
      <c r="S77" s="124"/>
      <c r="T77" s="131"/>
      <c r="U77" s="132"/>
      <c r="V77" s="124"/>
      <c r="W77" s="131"/>
      <c r="X77" s="132"/>
      <c r="Y77" s="124"/>
      <c r="Z77" s="131"/>
      <c r="AA77" s="132"/>
      <c r="AB77" s="124"/>
      <c r="AC77" s="131"/>
      <c r="AD77" s="132"/>
      <c r="AE77" s="124"/>
    </row>
    <row r="78">
      <c r="A78" s="124"/>
      <c r="B78" s="131"/>
      <c r="C78" s="132"/>
      <c r="D78" s="124"/>
      <c r="E78" s="131"/>
      <c r="F78" s="132"/>
      <c r="G78" s="124"/>
      <c r="H78" s="131"/>
      <c r="I78" s="132"/>
      <c r="J78" s="124"/>
      <c r="K78" s="131"/>
      <c r="L78" s="132"/>
      <c r="M78" s="124"/>
      <c r="N78" s="131"/>
      <c r="O78" s="132"/>
      <c r="P78" s="124"/>
      <c r="Q78" s="131"/>
      <c r="R78" s="132"/>
      <c r="S78" s="124"/>
      <c r="T78" s="131"/>
      <c r="U78" s="132"/>
      <c r="V78" s="124"/>
      <c r="W78" s="131"/>
      <c r="X78" s="132"/>
      <c r="Y78" s="124"/>
      <c r="Z78" s="131"/>
      <c r="AA78" s="132"/>
      <c r="AB78" s="124"/>
      <c r="AC78" s="131"/>
      <c r="AD78" s="132"/>
      <c r="AE78" s="124"/>
    </row>
    <row r="79">
      <c r="A79" s="124"/>
      <c r="B79" s="131"/>
      <c r="C79" s="132"/>
      <c r="D79" s="124"/>
      <c r="E79" s="131"/>
      <c r="F79" s="132"/>
      <c r="G79" s="124"/>
      <c r="H79" s="131"/>
      <c r="I79" s="132"/>
      <c r="J79" s="124"/>
      <c r="K79" s="131"/>
      <c r="L79" s="132"/>
      <c r="M79" s="124"/>
      <c r="N79" s="131"/>
      <c r="O79" s="132"/>
      <c r="P79" s="124"/>
      <c r="Q79" s="131"/>
      <c r="R79" s="132"/>
      <c r="S79" s="124"/>
      <c r="T79" s="131"/>
      <c r="U79" s="132"/>
      <c r="V79" s="124"/>
      <c r="W79" s="131"/>
      <c r="X79" s="132"/>
      <c r="Y79" s="124"/>
      <c r="Z79" s="131"/>
      <c r="AA79" s="132"/>
      <c r="AB79" s="124"/>
      <c r="AC79" s="131"/>
      <c r="AD79" s="132"/>
      <c r="AE79" s="124"/>
    </row>
    <row r="80">
      <c r="A80" s="124"/>
      <c r="B80" s="131"/>
      <c r="C80" s="132"/>
      <c r="D80" s="124"/>
      <c r="E80" s="131"/>
      <c r="F80" s="132"/>
      <c r="G80" s="124"/>
      <c r="H80" s="131"/>
      <c r="I80" s="132"/>
      <c r="J80" s="124"/>
      <c r="K80" s="131"/>
      <c r="L80" s="132"/>
      <c r="M80" s="124"/>
      <c r="N80" s="131"/>
      <c r="O80" s="132"/>
      <c r="P80" s="124"/>
      <c r="Q80" s="131"/>
      <c r="R80" s="132"/>
      <c r="S80" s="124"/>
      <c r="T80" s="131"/>
      <c r="U80" s="132"/>
      <c r="V80" s="124"/>
      <c r="W80" s="131"/>
      <c r="X80" s="132"/>
      <c r="Y80" s="124"/>
      <c r="Z80" s="131"/>
      <c r="AA80" s="132"/>
      <c r="AB80" s="124"/>
      <c r="AC80" s="131"/>
      <c r="AD80" s="132"/>
      <c r="AE80" s="124"/>
    </row>
    <row r="81">
      <c r="A81" s="124"/>
      <c r="B81" s="134"/>
      <c r="C81" s="135"/>
      <c r="D81" s="124"/>
      <c r="E81" s="134"/>
      <c r="F81" s="135"/>
      <c r="G81" s="124"/>
      <c r="H81" s="134"/>
      <c r="I81" s="135"/>
      <c r="J81" s="124"/>
      <c r="K81" s="134"/>
      <c r="L81" s="135"/>
      <c r="M81" s="124"/>
      <c r="N81" s="134"/>
      <c r="O81" s="135"/>
      <c r="P81" s="124"/>
      <c r="Q81" s="134"/>
      <c r="R81" s="135"/>
      <c r="S81" s="124"/>
      <c r="T81" s="134"/>
      <c r="U81" s="135"/>
      <c r="V81" s="124"/>
      <c r="W81" s="134"/>
      <c r="X81" s="135"/>
      <c r="Y81" s="124"/>
      <c r="Z81" s="134"/>
      <c r="AA81" s="135"/>
      <c r="AB81" s="124"/>
      <c r="AC81" s="134"/>
      <c r="AD81" s="135"/>
      <c r="AE81" s="124"/>
    </row>
    <row r="82">
      <c r="A82" s="124"/>
      <c r="B82" s="137">
        <f>SUM(B59:B81)</f>
        <v>10</v>
      </c>
      <c r="C82" s="3"/>
      <c r="D82" s="124"/>
      <c r="E82" s="137">
        <f>SUM(E59:E81)</f>
        <v>0</v>
      </c>
      <c r="F82" s="3"/>
      <c r="G82" s="124"/>
      <c r="H82" s="137">
        <f>SUM(H59:H81)</f>
        <v>0</v>
      </c>
      <c r="I82" s="3"/>
      <c r="J82" s="124"/>
      <c r="K82" s="137">
        <f>SUM(K59:K81)</f>
        <v>9</v>
      </c>
      <c r="L82" s="3"/>
      <c r="M82" s="124"/>
      <c r="N82" s="137">
        <f>SUM(N59:N81)</f>
        <v>8</v>
      </c>
      <c r="O82" s="3"/>
      <c r="P82" s="124"/>
      <c r="Q82" s="137">
        <f>SUM(Q59:Q81)</f>
        <v>5</v>
      </c>
      <c r="R82" s="3"/>
      <c r="S82" s="124"/>
      <c r="T82" s="137">
        <f>SUM(T59:T81)</f>
        <v>11</v>
      </c>
      <c r="U82" s="3"/>
      <c r="V82" s="124"/>
      <c r="W82" s="137">
        <f>SUM(W59:W81)</f>
        <v>7</v>
      </c>
      <c r="X82" s="3"/>
      <c r="Y82" s="124"/>
      <c r="Z82" s="137">
        <f>SUM(Z59:Z81)</f>
        <v>142</v>
      </c>
      <c r="AA82" s="3"/>
      <c r="AB82" s="124"/>
      <c r="AC82" s="137">
        <f>SUM(AC59:AC81)</f>
        <v>63</v>
      </c>
      <c r="AD82" s="3"/>
      <c r="AE82" s="124"/>
    </row>
    <row r="83">
      <c r="A83" s="124"/>
      <c r="B83" s="139"/>
      <c r="C83" s="140"/>
      <c r="D83" s="124"/>
      <c r="E83" s="139"/>
      <c r="F83" s="140"/>
      <c r="G83" s="124"/>
      <c r="H83" s="139"/>
      <c r="I83" s="140"/>
      <c r="J83" s="124"/>
      <c r="K83" s="139"/>
      <c r="L83" s="140"/>
      <c r="M83" s="124"/>
      <c r="N83" s="139"/>
      <c r="O83" s="140"/>
      <c r="P83" s="124"/>
      <c r="Q83" s="139"/>
      <c r="R83" s="140"/>
      <c r="S83" s="124"/>
      <c r="T83" s="139"/>
      <c r="U83" s="140"/>
      <c r="V83" s="124"/>
      <c r="W83" s="139"/>
      <c r="X83" s="140"/>
      <c r="Y83" s="124"/>
      <c r="Z83" s="139"/>
      <c r="AA83" s="140"/>
      <c r="AB83" s="124"/>
      <c r="AC83" s="139"/>
      <c r="AD83" s="140"/>
      <c r="AE83" s="124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</row>
    <row r="85">
      <c r="A85" s="117"/>
      <c r="B85" s="122" t="s">
        <v>192</v>
      </c>
      <c r="C85" s="121"/>
      <c r="D85" s="117"/>
      <c r="E85" s="120" t="s">
        <v>201</v>
      </c>
      <c r="F85" s="121"/>
      <c r="G85" s="117"/>
      <c r="H85" s="147" t="s">
        <v>351</v>
      </c>
      <c r="I85" s="121"/>
      <c r="J85" s="117"/>
      <c r="K85" s="142" t="s">
        <v>207</v>
      </c>
      <c r="L85" s="121"/>
      <c r="M85" s="117"/>
      <c r="N85" s="142"/>
      <c r="O85" s="121"/>
      <c r="P85" s="117"/>
      <c r="Q85" s="142" t="s">
        <v>353</v>
      </c>
      <c r="R85" s="121"/>
      <c r="S85" s="117"/>
      <c r="T85" s="142" t="s">
        <v>210</v>
      </c>
      <c r="U85" s="121"/>
      <c r="V85" s="117"/>
      <c r="W85" s="142" t="s">
        <v>212</v>
      </c>
      <c r="X85" s="121"/>
      <c r="Y85" s="117"/>
      <c r="Z85" s="142" t="s">
        <v>354</v>
      </c>
      <c r="AA85" s="121"/>
      <c r="AB85" s="117"/>
      <c r="AC85" s="120" t="s">
        <v>355</v>
      </c>
      <c r="AD85" s="121"/>
      <c r="AE85" s="117"/>
    </row>
    <row r="86">
      <c r="A86" s="124"/>
      <c r="B86" s="125" t="s">
        <v>279</v>
      </c>
      <c r="C86" s="126" t="s">
        <v>3</v>
      </c>
      <c r="D86" s="124"/>
      <c r="E86" s="125" t="s">
        <v>279</v>
      </c>
      <c r="F86" s="126" t="s">
        <v>3</v>
      </c>
      <c r="G86" s="124"/>
      <c r="H86" s="125" t="s">
        <v>279</v>
      </c>
      <c r="I86" s="126" t="s">
        <v>3</v>
      </c>
      <c r="J86" s="124"/>
      <c r="K86" s="125" t="s">
        <v>279</v>
      </c>
      <c r="L86" s="126" t="s">
        <v>3</v>
      </c>
      <c r="M86" s="124"/>
      <c r="N86" s="125" t="s">
        <v>279</v>
      </c>
      <c r="O86" s="126" t="s">
        <v>3</v>
      </c>
      <c r="P86" s="124"/>
      <c r="Q86" s="143" t="s">
        <v>279</v>
      </c>
      <c r="R86" s="144" t="s">
        <v>3</v>
      </c>
      <c r="S86" s="124"/>
      <c r="T86" s="125" t="s">
        <v>279</v>
      </c>
      <c r="U86" s="126" t="s">
        <v>3</v>
      </c>
      <c r="V86" s="124"/>
      <c r="W86" s="125" t="s">
        <v>279</v>
      </c>
      <c r="X86" s="126" t="s">
        <v>3</v>
      </c>
      <c r="Y86" s="124"/>
      <c r="Z86" s="125" t="s">
        <v>279</v>
      </c>
      <c r="AA86" s="126" t="s">
        <v>3</v>
      </c>
      <c r="AB86" s="124"/>
      <c r="AC86" s="125" t="s">
        <v>279</v>
      </c>
      <c r="AD86" s="126" t="s">
        <v>3</v>
      </c>
      <c r="AE86" s="124"/>
    </row>
    <row r="87">
      <c r="A87" s="124"/>
      <c r="B87" s="127"/>
      <c r="C87" s="129"/>
      <c r="D87" s="124"/>
      <c r="E87" s="127">
        <v>10.0</v>
      </c>
      <c r="F87" s="128">
        <v>46155.0</v>
      </c>
      <c r="G87" s="124"/>
      <c r="H87" s="127">
        <v>6.0</v>
      </c>
      <c r="I87" s="128"/>
      <c r="J87" s="124"/>
      <c r="K87" s="127">
        <v>5.0</v>
      </c>
      <c r="L87" s="128">
        <v>46175.0</v>
      </c>
      <c r="M87" s="124"/>
      <c r="N87" s="130"/>
      <c r="O87" s="129"/>
      <c r="P87" s="124"/>
      <c r="Q87" s="127">
        <v>10.0</v>
      </c>
      <c r="R87" s="128">
        <v>46271.0</v>
      </c>
      <c r="S87" s="124"/>
      <c r="T87" s="127">
        <v>10.0</v>
      </c>
      <c r="U87" s="128">
        <v>46271.0</v>
      </c>
      <c r="V87" s="124"/>
      <c r="W87" s="127">
        <v>10.0</v>
      </c>
      <c r="X87" s="150" t="s">
        <v>357</v>
      </c>
      <c r="Y87" s="124"/>
      <c r="Z87" s="127">
        <v>11.0</v>
      </c>
      <c r="AA87" s="128">
        <v>46190.0</v>
      </c>
      <c r="AB87" s="124"/>
      <c r="AC87" s="130">
        <v>2.0</v>
      </c>
      <c r="AD87" s="129">
        <v>46190.0</v>
      </c>
      <c r="AE87" s="124"/>
    </row>
    <row r="88">
      <c r="A88" s="124"/>
      <c r="B88" s="151"/>
      <c r="C88" s="129"/>
      <c r="D88" s="124"/>
      <c r="E88" s="151"/>
      <c r="F88" s="152"/>
      <c r="G88" s="124"/>
      <c r="H88" s="151"/>
      <c r="I88" s="152"/>
      <c r="J88" s="124"/>
      <c r="K88" s="151"/>
      <c r="L88" s="152"/>
      <c r="M88" s="124"/>
      <c r="N88" s="130"/>
      <c r="O88" s="129"/>
      <c r="P88" s="124"/>
      <c r="Q88" s="151">
        <v>51.0</v>
      </c>
      <c r="R88" s="152">
        <v>46194.0</v>
      </c>
      <c r="S88" s="124"/>
      <c r="T88" s="151">
        <v>20.0</v>
      </c>
      <c r="U88" s="152"/>
      <c r="V88" s="124"/>
      <c r="W88" s="151">
        <v>10.0</v>
      </c>
      <c r="X88" s="153">
        <v>46230.0</v>
      </c>
      <c r="Y88" s="124"/>
      <c r="Z88" s="151"/>
      <c r="AA88" s="152"/>
      <c r="AB88" s="124"/>
      <c r="AC88" s="130"/>
      <c r="AD88" s="129"/>
      <c r="AE88" s="124"/>
    </row>
    <row r="89">
      <c r="A89" s="124"/>
      <c r="B89" s="130"/>
      <c r="C89" s="129"/>
      <c r="D89" s="124"/>
      <c r="E89" s="130">
        <v>20.0</v>
      </c>
      <c r="F89" s="129">
        <v>46271.0</v>
      </c>
      <c r="G89" s="124"/>
      <c r="H89" s="130">
        <v>30.0</v>
      </c>
      <c r="I89" s="129">
        <v>46271.0</v>
      </c>
      <c r="J89" s="124"/>
      <c r="K89" s="130">
        <v>10.0</v>
      </c>
      <c r="L89" s="129">
        <v>46271.0</v>
      </c>
      <c r="M89" s="124"/>
      <c r="N89" s="130"/>
      <c r="O89" s="129"/>
      <c r="P89" s="124"/>
      <c r="Q89" s="130">
        <v>9.0</v>
      </c>
      <c r="R89" s="129">
        <v>46149.0</v>
      </c>
      <c r="S89" s="124"/>
      <c r="T89" s="130">
        <v>50.0</v>
      </c>
      <c r="U89" s="154" t="s">
        <v>357</v>
      </c>
      <c r="V89" s="124"/>
      <c r="W89" s="130"/>
      <c r="X89" s="129"/>
      <c r="Y89" s="124"/>
      <c r="Z89" s="130"/>
      <c r="AA89" s="129"/>
      <c r="AB89" s="124"/>
      <c r="AC89" s="130"/>
      <c r="AD89" s="154"/>
      <c r="AE89" s="124"/>
    </row>
    <row r="90">
      <c r="A90" s="124"/>
      <c r="B90" s="130"/>
      <c r="C90" s="129"/>
      <c r="D90" s="124"/>
      <c r="E90" s="130"/>
      <c r="F90" s="129"/>
      <c r="G90" s="124"/>
      <c r="H90" s="130"/>
      <c r="I90" s="129"/>
      <c r="J90" s="124"/>
      <c r="K90" s="130"/>
      <c r="L90" s="129"/>
      <c r="M90" s="124"/>
      <c r="N90" s="130"/>
      <c r="O90" s="129"/>
      <c r="P90" s="124"/>
      <c r="Q90" s="130"/>
      <c r="R90" s="129"/>
      <c r="S90" s="124"/>
      <c r="T90" s="130">
        <v>-3.0</v>
      </c>
      <c r="U90" s="129">
        <v>46194.0</v>
      </c>
      <c r="V90" s="124"/>
      <c r="W90" s="130"/>
      <c r="X90" s="129"/>
      <c r="Y90" s="124"/>
      <c r="Z90" s="130"/>
      <c r="AA90" s="129"/>
      <c r="AB90" s="124"/>
      <c r="AC90" s="130"/>
      <c r="AD90" s="154"/>
      <c r="AE90" s="124"/>
    </row>
    <row r="91">
      <c r="A91" s="124"/>
      <c r="B91" s="130"/>
      <c r="C91" s="129"/>
      <c r="D91" s="124"/>
      <c r="E91" s="130">
        <v>10.0</v>
      </c>
      <c r="F91" s="129"/>
      <c r="G91" s="124"/>
      <c r="H91" s="130">
        <v>20.0</v>
      </c>
      <c r="I91" s="129"/>
      <c r="J91" s="124"/>
      <c r="K91" s="130">
        <v>20.0</v>
      </c>
      <c r="L91" s="129"/>
      <c r="M91" s="124"/>
      <c r="N91" s="130"/>
      <c r="O91" s="129"/>
      <c r="P91" s="124"/>
      <c r="Q91" s="130"/>
      <c r="R91" s="129"/>
      <c r="S91" s="124"/>
      <c r="T91" s="130"/>
      <c r="U91" s="154"/>
      <c r="V91" s="124"/>
      <c r="W91" s="130"/>
      <c r="X91" s="129"/>
      <c r="Y91" s="124"/>
      <c r="Z91" s="130"/>
      <c r="AA91" s="129"/>
      <c r="AB91" s="124"/>
      <c r="AC91" s="130"/>
      <c r="AD91" s="154"/>
      <c r="AE91" s="124"/>
    </row>
    <row r="92">
      <c r="A92" s="124"/>
      <c r="B92" s="130"/>
      <c r="C92" s="129"/>
      <c r="D92" s="124"/>
      <c r="E92" s="130">
        <v>50.0</v>
      </c>
      <c r="F92" s="154" t="s">
        <v>357</v>
      </c>
      <c r="G92" s="124"/>
      <c r="H92" s="130">
        <v>49.0</v>
      </c>
      <c r="I92" s="154" t="s">
        <v>357</v>
      </c>
      <c r="J92" s="124"/>
      <c r="K92" s="130">
        <v>50.0</v>
      </c>
      <c r="L92" s="154" t="s">
        <v>357</v>
      </c>
      <c r="M92" s="124"/>
      <c r="N92" s="130"/>
      <c r="O92" s="129"/>
      <c r="P92" s="124"/>
      <c r="Q92" s="130"/>
      <c r="R92" s="129"/>
      <c r="S92" s="124"/>
      <c r="T92" s="130"/>
      <c r="U92" s="129"/>
      <c r="V92" s="124"/>
      <c r="W92" s="130"/>
      <c r="X92" s="129"/>
      <c r="Y92" s="124"/>
      <c r="Z92" s="130"/>
      <c r="AA92" s="129"/>
      <c r="AB92" s="124"/>
      <c r="AC92" s="130"/>
      <c r="AD92" s="129"/>
      <c r="AE92" s="124"/>
    </row>
    <row r="93">
      <c r="A93" s="124"/>
      <c r="B93" s="130"/>
      <c r="C93" s="129"/>
      <c r="D93" s="124"/>
      <c r="E93" s="130">
        <v>-1.0</v>
      </c>
      <c r="F93" s="129">
        <v>46194.0</v>
      </c>
      <c r="G93" s="124"/>
      <c r="H93" s="130">
        <v>-1.0</v>
      </c>
      <c r="I93" s="129">
        <v>46194.0</v>
      </c>
      <c r="J93" s="124"/>
      <c r="K93" s="130">
        <v>-6.0</v>
      </c>
      <c r="L93" s="129">
        <v>46194.0</v>
      </c>
      <c r="M93" s="124"/>
      <c r="N93" s="130"/>
      <c r="O93" s="129"/>
      <c r="P93" s="124"/>
      <c r="Q93" s="130"/>
      <c r="R93" s="129"/>
      <c r="S93" s="124"/>
      <c r="T93" s="130"/>
      <c r="U93" s="129"/>
      <c r="V93" s="124"/>
      <c r="W93" s="130"/>
      <c r="X93" s="129"/>
      <c r="Y93" s="124"/>
      <c r="Z93" s="130"/>
      <c r="AA93" s="129"/>
      <c r="AB93" s="124"/>
      <c r="AC93" s="130"/>
      <c r="AD93" s="129"/>
      <c r="AE93" s="124"/>
    </row>
    <row r="94">
      <c r="A94" s="124"/>
      <c r="B94" s="130"/>
      <c r="C94" s="129"/>
      <c r="D94" s="124"/>
      <c r="E94" s="130"/>
      <c r="F94" s="129"/>
      <c r="G94" s="124"/>
      <c r="H94" s="130"/>
      <c r="I94" s="129"/>
      <c r="J94" s="124"/>
      <c r="K94" s="130"/>
      <c r="L94" s="129"/>
      <c r="M94" s="124"/>
      <c r="N94" s="130"/>
      <c r="O94" s="129"/>
      <c r="P94" s="124"/>
      <c r="Q94" s="130"/>
      <c r="R94" s="129"/>
      <c r="S94" s="124"/>
      <c r="T94" s="130"/>
      <c r="U94" s="129"/>
      <c r="V94" s="124"/>
      <c r="W94" s="130"/>
      <c r="X94" s="129"/>
      <c r="Y94" s="124"/>
      <c r="Z94" s="130"/>
      <c r="AA94" s="129"/>
      <c r="AB94" s="124"/>
      <c r="AC94" s="130"/>
      <c r="AD94" s="129"/>
      <c r="AE94" s="124"/>
    </row>
    <row r="95">
      <c r="A95" s="124"/>
      <c r="B95" s="130"/>
      <c r="C95" s="129"/>
      <c r="D95" s="124"/>
      <c r="E95" s="130"/>
      <c r="F95" s="129"/>
      <c r="G95" s="124"/>
      <c r="H95" s="131"/>
      <c r="I95" s="132"/>
      <c r="J95" s="124"/>
      <c r="K95" s="131"/>
      <c r="L95" s="132"/>
      <c r="M95" s="124"/>
      <c r="N95" s="131"/>
      <c r="O95" s="132"/>
      <c r="P95" s="124"/>
      <c r="Q95" s="131"/>
      <c r="R95" s="132"/>
      <c r="S95" s="124"/>
      <c r="T95" s="131"/>
      <c r="U95" s="132"/>
      <c r="V95" s="124"/>
      <c r="W95" s="131"/>
      <c r="X95" s="132"/>
      <c r="Y95" s="124"/>
      <c r="Z95" s="131"/>
      <c r="AA95" s="132"/>
      <c r="AB95" s="124"/>
      <c r="AC95" s="131"/>
      <c r="AD95" s="132"/>
      <c r="AE95" s="124"/>
    </row>
    <row r="96">
      <c r="A96" s="124"/>
      <c r="B96" s="130"/>
      <c r="C96" s="129"/>
      <c r="D96" s="124"/>
      <c r="E96" s="130"/>
      <c r="F96" s="129"/>
      <c r="G96" s="124"/>
      <c r="H96" s="131"/>
      <c r="I96" s="132"/>
      <c r="J96" s="124"/>
      <c r="K96" s="131"/>
      <c r="L96" s="132"/>
      <c r="M96" s="124"/>
      <c r="N96" s="131"/>
      <c r="O96" s="132"/>
      <c r="P96" s="124"/>
      <c r="Q96" s="131"/>
      <c r="R96" s="132"/>
      <c r="S96" s="124"/>
      <c r="T96" s="131"/>
      <c r="U96" s="132"/>
      <c r="V96" s="124"/>
      <c r="W96" s="131"/>
      <c r="X96" s="132"/>
      <c r="Y96" s="124"/>
      <c r="Z96" s="131"/>
      <c r="AA96" s="132"/>
      <c r="AB96" s="124"/>
      <c r="AC96" s="131"/>
      <c r="AD96" s="132"/>
      <c r="AE96" s="124"/>
    </row>
    <row r="97">
      <c r="A97" s="124"/>
      <c r="B97" s="130"/>
      <c r="C97" s="129"/>
      <c r="D97" s="124"/>
      <c r="E97" s="130"/>
      <c r="F97" s="129"/>
      <c r="G97" s="124"/>
      <c r="H97" s="131"/>
      <c r="I97" s="132"/>
      <c r="J97" s="124"/>
      <c r="K97" s="131"/>
      <c r="L97" s="132"/>
      <c r="M97" s="124"/>
      <c r="N97" s="131"/>
      <c r="O97" s="132"/>
      <c r="P97" s="124"/>
      <c r="Q97" s="131"/>
      <c r="R97" s="132"/>
      <c r="S97" s="124"/>
      <c r="T97" s="131"/>
      <c r="U97" s="132"/>
      <c r="V97" s="124"/>
      <c r="W97" s="131"/>
      <c r="X97" s="132"/>
      <c r="Y97" s="124"/>
      <c r="Z97" s="131"/>
      <c r="AA97" s="132"/>
      <c r="AB97" s="124"/>
      <c r="AC97" s="131"/>
      <c r="AD97" s="132"/>
      <c r="AE97" s="124"/>
    </row>
    <row r="98">
      <c r="A98" s="124"/>
      <c r="B98" s="130"/>
      <c r="C98" s="129"/>
      <c r="D98" s="124"/>
      <c r="E98" s="130"/>
      <c r="F98" s="129"/>
      <c r="G98" s="124"/>
      <c r="H98" s="131"/>
      <c r="I98" s="132"/>
      <c r="J98" s="124"/>
      <c r="K98" s="131"/>
      <c r="L98" s="132"/>
      <c r="M98" s="124"/>
      <c r="N98" s="131"/>
      <c r="O98" s="132"/>
      <c r="P98" s="124"/>
      <c r="Q98" s="131"/>
      <c r="R98" s="132"/>
      <c r="S98" s="124"/>
      <c r="T98" s="131"/>
      <c r="U98" s="132"/>
      <c r="V98" s="124"/>
      <c r="W98" s="131"/>
      <c r="X98" s="132"/>
      <c r="Y98" s="124"/>
      <c r="Z98" s="131"/>
      <c r="AA98" s="132"/>
      <c r="AB98" s="124"/>
      <c r="AC98" s="131"/>
      <c r="AD98" s="132"/>
      <c r="AE98" s="124"/>
    </row>
    <row r="99">
      <c r="A99" s="124"/>
      <c r="B99" s="130"/>
      <c r="C99" s="129"/>
      <c r="D99" s="124"/>
      <c r="E99" s="130"/>
      <c r="F99" s="129"/>
      <c r="G99" s="124"/>
      <c r="H99" s="131"/>
      <c r="I99" s="132"/>
      <c r="J99" s="124"/>
      <c r="K99" s="131"/>
      <c r="L99" s="132"/>
      <c r="M99" s="124"/>
      <c r="N99" s="131"/>
      <c r="O99" s="132"/>
      <c r="P99" s="124"/>
      <c r="Q99" s="131"/>
      <c r="R99" s="132"/>
      <c r="S99" s="124"/>
      <c r="T99" s="131"/>
      <c r="U99" s="132"/>
      <c r="V99" s="124"/>
      <c r="W99" s="131"/>
      <c r="X99" s="132"/>
      <c r="Y99" s="124"/>
      <c r="Z99" s="131"/>
      <c r="AA99" s="132"/>
      <c r="AB99" s="124"/>
      <c r="AC99" s="131"/>
      <c r="AD99" s="132"/>
      <c r="AE99" s="124"/>
    </row>
    <row r="100">
      <c r="A100" s="124"/>
      <c r="B100" s="131"/>
      <c r="C100" s="132"/>
      <c r="D100" s="124"/>
      <c r="E100" s="131"/>
      <c r="F100" s="132"/>
      <c r="G100" s="124"/>
      <c r="H100" s="131"/>
      <c r="I100" s="132"/>
      <c r="J100" s="124"/>
      <c r="K100" s="131"/>
      <c r="L100" s="132"/>
      <c r="M100" s="124"/>
      <c r="N100" s="131"/>
      <c r="O100" s="132"/>
      <c r="P100" s="124"/>
      <c r="Q100" s="131"/>
      <c r="R100" s="132"/>
      <c r="S100" s="124"/>
      <c r="T100" s="131"/>
      <c r="U100" s="132"/>
      <c r="V100" s="124"/>
      <c r="W100" s="131"/>
      <c r="X100" s="132"/>
      <c r="Y100" s="124"/>
      <c r="Z100" s="131"/>
      <c r="AA100" s="132"/>
      <c r="AB100" s="124"/>
      <c r="AC100" s="131"/>
      <c r="AD100" s="132"/>
      <c r="AE100" s="124"/>
    </row>
    <row r="101">
      <c r="A101" s="124"/>
      <c r="B101" s="131"/>
      <c r="C101" s="132"/>
      <c r="D101" s="124"/>
      <c r="E101" s="131"/>
      <c r="F101" s="132"/>
      <c r="G101" s="124"/>
      <c r="H101" s="131"/>
      <c r="I101" s="132"/>
      <c r="J101" s="124"/>
      <c r="K101" s="131"/>
      <c r="L101" s="132"/>
      <c r="M101" s="124"/>
      <c r="N101" s="131"/>
      <c r="O101" s="132"/>
      <c r="P101" s="124"/>
      <c r="Q101" s="131"/>
      <c r="R101" s="132"/>
      <c r="S101" s="124"/>
      <c r="T101" s="131"/>
      <c r="U101" s="132"/>
      <c r="V101" s="124"/>
      <c r="W101" s="131"/>
      <c r="X101" s="132"/>
      <c r="Y101" s="124"/>
      <c r="Z101" s="131"/>
      <c r="AA101" s="132"/>
      <c r="AB101" s="124"/>
      <c r="AC101" s="131"/>
      <c r="AD101" s="132"/>
      <c r="AE101" s="124"/>
    </row>
    <row r="102">
      <c r="A102" s="124"/>
      <c r="B102" s="131"/>
      <c r="C102" s="132"/>
      <c r="D102" s="124"/>
      <c r="E102" s="131"/>
      <c r="F102" s="132"/>
      <c r="G102" s="124"/>
      <c r="H102" s="131"/>
      <c r="I102" s="132"/>
      <c r="J102" s="124"/>
      <c r="K102" s="131"/>
      <c r="L102" s="132"/>
      <c r="M102" s="124"/>
      <c r="N102" s="131"/>
      <c r="O102" s="132"/>
      <c r="P102" s="124"/>
      <c r="Q102" s="131"/>
      <c r="R102" s="132"/>
      <c r="S102" s="124"/>
      <c r="T102" s="131"/>
      <c r="U102" s="132"/>
      <c r="V102" s="124"/>
      <c r="W102" s="131"/>
      <c r="X102" s="132"/>
      <c r="Y102" s="124"/>
      <c r="Z102" s="131"/>
      <c r="AA102" s="132"/>
      <c r="AB102" s="124"/>
      <c r="AC102" s="131"/>
      <c r="AD102" s="132"/>
      <c r="AE102" s="124"/>
    </row>
    <row r="103">
      <c r="A103" s="124"/>
      <c r="B103" s="131"/>
      <c r="C103" s="132"/>
      <c r="D103" s="124"/>
      <c r="E103" s="131"/>
      <c r="F103" s="132"/>
      <c r="G103" s="124"/>
      <c r="H103" s="131"/>
      <c r="I103" s="132"/>
      <c r="J103" s="124"/>
      <c r="K103" s="131"/>
      <c r="L103" s="132"/>
      <c r="M103" s="124"/>
      <c r="N103" s="131"/>
      <c r="O103" s="132"/>
      <c r="P103" s="124"/>
      <c r="Q103" s="131"/>
      <c r="R103" s="132"/>
      <c r="S103" s="124"/>
      <c r="T103" s="131"/>
      <c r="U103" s="132"/>
      <c r="V103" s="124"/>
      <c r="W103" s="131"/>
      <c r="X103" s="132"/>
      <c r="Y103" s="124"/>
      <c r="Z103" s="131"/>
      <c r="AA103" s="132"/>
      <c r="AB103" s="124"/>
      <c r="AC103" s="131"/>
      <c r="AD103" s="132"/>
      <c r="AE103" s="124"/>
    </row>
    <row r="104">
      <c r="A104" s="124"/>
      <c r="B104" s="131"/>
      <c r="C104" s="132"/>
      <c r="D104" s="124"/>
      <c r="E104" s="131"/>
      <c r="F104" s="132"/>
      <c r="G104" s="124"/>
      <c r="H104" s="131"/>
      <c r="I104" s="132"/>
      <c r="J104" s="124"/>
      <c r="K104" s="131"/>
      <c r="L104" s="132"/>
      <c r="M104" s="124"/>
      <c r="N104" s="131"/>
      <c r="O104" s="132"/>
      <c r="P104" s="124"/>
      <c r="Q104" s="131"/>
      <c r="R104" s="132"/>
      <c r="S104" s="124"/>
      <c r="T104" s="131"/>
      <c r="U104" s="132"/>
      <c r="V104" s="124"/>
      <c r="W104" s="131"/>
      <c r="X104" s="132"/>
      <c r="Y104" s="124"/>
      <c r="Z104" s="131"/>
      <c r="AA104" s="132"/>
      <c r="AB104" s="124"/>
      <c r="AC104" s="131"/>
      <c r="AD104" s="132"/>
      <c r="AE104" s="124"/>
    </row>
    <row r="105">
      <c r="A105" s="124"/>
      <c r="B105" s="131"/>
      <c r="C105" s="132"/>
      <c r="D105" s="124"/>
      <c r="E105" s="131"/>
      <c r="F105" s="132"/>
      <c r="G105" s="124"/>
      <c r="H105" s="131"/>
      <c r="I105" s="132"/>
      <c r="J105" s="124"/>
      <c r="K105" s="131"/>
      <c r="L105" s="132"/>
      <c r="M105" s="124"/>
      <c r="N105" s="131"/>
      <c r="O105" s="132"/>
      <c r="P105" s="124"/>
      <c r="Q105" s="131"/>
      <c r="R105" s="132"/>
      <c r="S105" s="124"/>
      <c r="T105" s="131"/>
      <c r="U105" s="132"/>
      <c r="V105" s="124"/>
      <c r="W105" s="131"/>
      <c r="X105" s="132"/>
      <c r="Y105" s="124"/>
      <c r="Z105" s="131"/>
      <c r="AA105" s="132"/>
      <c r="AB105" s="124"/>
      <c r="AC105" s="131"/>
      <c r="AD105" s="132"/>
      <c r="AE105" s="124"/>
    </row>
    <row r="106">
      <c r="A106" s="124"/>
      <c r="B106" s="131"/>
      <c r="C106" s="132"/>
      <c r="D106" s="124"/>
      <c r="E106" s="131"/>
      <c r="F106" s="132"/>
      <c r="G106" s="124"/>
      <c r="H106" s="131"/>
      <c r="I106" s="132"/>
      <c r="J106" s="124"/>
      <c r="K106" s="131"/>
      <c r="L106" s="132"/>
      <c r="M106" s="124"/>
      <c r="N106" s="131"/>
      <c r="O106" s="132"/>
      <c r="P106" s="124"/>
      <c r="Q106" s="131"/>
      <c r="R106" s="132"/>
      <c r="S106" s="124"/>
      <c r="T106" s="131"/>
      <c r="U106" s="132"/>
      <c r="V106" s="124"/>
      <c r="W106" s="131"/>
      <c r="X106" s="132"/>
      <c r="Y106" s="124"/>
      <c r="Z106" s="131"/>
      <c r="AA106" s="132"/>
      <c r="AB106" s="124"/>
      <c r="AC106" s="131"/>
      <c r="AD106" s="132"/>
      <c r="AE106" s="124"/>
    </row>
    <row r="107">
      <c r="A107" s="124"/>
      <c r="B107" s="131"/>
      <c r="C107" s="132"/>
      <c r="D107" s="124"/>
      <c r="E107" s="131"/>
      <c r="F107" s="132"/>
      <c r="G107" s="124"/>
      <c r="H107" s="131"/>
      <c r="I107" s="132"/>
      <c r="J107" s="124"/>
      <c r="K107" s="131"/>
      <c r="L107" s="132"/>
      <c r="M107" s="124"/>
      <c r="N107" s="131"/>
      <c r="O107" s="132"/>
      <c r="P107" s="124"/>
      <c r="Q107" s="131"/>
      <c r="R107" s="132"/>
      <c r="S107" s="124"/>
      <c r="T107" s="131"/>
      <c r="U107" s="132"/>
      <c r="V107" s="124"/>
      <c r="W107" s="131"/>
      <c r="X107" s="132"/>
      <c r="Y107" s="124"/>
      <c r="Z107" s="131"/>
      <c r="AA107" s="132"/>
      <c r="AB107" s="124"/>
      <c r="AC107" s="131"/>
      <c r="AD107" s="132"/>
      <c r="AE107" s="124"/>
    </row>
    <row r="108">
      <c r="A108" s="124"/>
      <c r="B108" s="131"/>
      <c r="C108" s="132"/>
      <c r="D108" s="124"/>
      <c r="E108" s="131"/>
      <c r="F108" s="132"/>
      <c r="G108" s="124"/>
      <c r="H108" s="131"/>
      <c r="I108" s="132"/>
      <c r="J108" s="124"/>
      <c r="K108" s="131"/>
      <c r="L108" s="132"/>
      <c r="M108" s="124"/>
      <c r="N108" s="131"/>
      <c r="O108" s="132"/>
      <c r="P108" s="124"/>
      <c r="Q108" s="131"/>
      <c r="R108" s="132"/>
      <c r="S108" s="124"/>
      <c r="T108" s="131"/>
      <c r="U108" s="132"/>
      <c r="V108" s="124"/>
      <c r="W108" s="131"/>
      <c r="X108" s="132"/>
      <c r="Y108" s="124"/>
      <c r="Z108" s="131"/>
      <c r="AA108" s="132"/>
      <c r="AB108" s="124"/>
      <c r="AC108" s="131"/>
      <c r="AD108" s="132"/>
      <c r="AE108" s="124"/>
    </row>
    <row r="109">
      <c r="A109" s="124"/>
      <c r="B109" s="131"/>
      <c r="C109" s="132"/>
      <c r="D109" s="124"/>
      <c r="E109" s="131"/>
      <c r="F109" s="132"/>
      <c r="G109" s="124"/>
      <c r="H109" s="131"/>
      <c r="I109" s="132"/>
      <c r="J109" s="124"/>
      <c r="K109" s="131"/>
      <c r="L109" s="132"/>
      <c r="M109" s="124"/>
      <c r="N109" s="131"/>
      <c r="O109" s="132"/>
      <c r="P109" s="124"/>
      <c r="Q109" s="131"/>
      <c r="R109" s="132"/>
      <c r="S109" s="124"/>
      <c r="T109" s="131"/>
      <c r="U109" s="132"/>
      <c r="V109" s="124"/>
      <c r="W109" s="131"/>
      <c r="X109" s="132"/>
      <c r="Y109" s="124"/>
      <c r="Z109" s="131"/>
      <c r="AA109" s="132"/>
      <c r="AB109" s="124"/>
      <c r="AC109" s="131"/>
      <c r="AD109" s="132"/>
      <c r="AE109" s="124"/>
    </row>
    <row r="110">
      <c r="A110" s="124"/>
      <c r="B110" s="131"/>
      <c r="C110" s="132"/>
      <c r="D110" s="124"/>
      <c r="E110" s="131"/>
      <c r="F110" s="132"/>
      <c r="G110" s="124"/>
      <c r="H110" s="131"/>
      <c r="I110" s="132"/>
      <c r="J110" s="124"/>
      <c r="K110" s="131"/>
      <c r="L110" s="132"/>
      <c r="M110" s="124"/>
      <c r="N110" s="131"/>
      <c r="O110" s="132"/>
      <c r="P110" s="124"/>
      <c r="Q110" s="131"/>
      <c r="R110" s="132"/>
      <c r="S110" s="124"/>
      <c r="T110" s="131"/>
      <c r="U110" s="132"/>
      <c r="V110" s="124"/>
      <c r="W110" s="131"/>
      <c r="X110" s="132"/>
      <c r="Y110" s="124"/>
      <c r="Z110" s="131"/>
      <c r="AA110" s="132"/>
      <c r="AB110" s="124"/>
      <c r="AC110" s="131"/>
      <c r="AD110" s="132"/>
      <c r="AE110" s="124"/>
    </row>
    <row r="111">
      <c r="A111" s="124"/>
      <c r="B111" s="134"/>
      <c r="C111" s="135"/>
      <c r="D111" s="124"/>
      <c r="E111" s="134"/>
      <c r="F111" s="135"/>
      <c r="G111" s="124"/>
      <c r="H111" s="134"/>
      <c r="I111" s="135"/>
      <c r="J111" s="124"/>
      <c r="K111" s="134"/>
      <c r="L111" s="135"/>
      <c r="M111" s="124"/>
      <c r="N111" s="134"/>
      <c r="O111" s="135"/>
      <c r="P111" s="124"/>
      <c r="Q111" s="134"/>
      <c r="R111" s="135"/>
      <c r="S111" s="124"/>
      <c r="T111" s="134"/>
      <c r="U111" s="135"/>
      <c r="V111" s="124"/>
      <c r="W111" s="134"/>
      <c r="X111" s="135"/>
      <c r="Y111" s="124"/>
      <c r="Z111" s="134"/>
      <c r="AA111" s="135"/>
      <c r="AB111" s="124"/>
      <c r="AC111" s="134"/>
      <c r="AD111" s="135"/>
      <c r="AE111" s="124"/>
    </row>
    <row r="112">
      <c r="A112" s="124"/>
      <c r="B112" s="137">
        <f>SUM(B87:B111)</f>
        <v>0</v>
      </c>
      <c r="C112" s="3"/>
      <c r="D112" s="124"/>
      <c r="E112" s="137">
        <f>SUM(E87:E111)</f>
        <v>89</v>
      </c>
      <c r="F112" s="3"/>
      <c r="G112" s="124"/>
      <c r="H112" s="137">
        <f>SUM(H87:H111)</f>
        <v>104</v>
      </c>
      <c r="I112" s="3"/>
      <c r="J112" s="124"/>
      <c r="K112" s="137">
        <f>SUM(K87:K111)</f>
        <v>79</v>
      </c>
      <c r="L112" s="3"/>
      <c r="M112" s="124"/>
      <c r="N112" s="137">
        <f>SUM(N87:N111)</f>
        <v>0</v>
      </c>
      <c r="O112" s="3"/>
      <c r="P112" s="124"/>
      <c r="Q112" s="137">
        <f>SUM(Q87:Q111)</f>
        <v>70</v>
      </c>
      <c r="R112" s="3"/>
      <c r="S112" s="124"/>
      <c r="T112" s="137">
        <f>SUM(T87:T111)</f>
        <v>77</v>
      </c>
      <c r="U112" s="3"/>
      <c r="V112" s="124"/>
      <c r="W112" s="137">
        <f>SUM(W87:W111)</f>
        <v>20</v>
      </c>
      <c r="X112" s="3"/>
      <c r="Y112" s="124"/>
      <c r="Z112" s="137">
        <f>SUM(Z87:Z111)</f>
        <v>11</v>
      </c>
      <c r="AA112" s="3"/>
      <c r="AB112" s="124"/>
      <c r="AC112" s="137">
        <f>SUM(AC87:AC111)</f>
        <v>2</v>
      </c>
      <c r="AD112" s="3"/>
      <c r="AE112" s="124"/>
    </row>
    <row r="113">
      <c r="A113" s="124"/>
      <c r="B113" s="139"/>
      <c r="C113" s="140"/>
      <c r="D113" s="124"/>
      <c r="E113" s="139"/>
      <c r="F113" s="140"/>
      <c r="G113" s="124"/>
      <c r="H113" s="139"/>
      <c r="I113" s="140"/>
      <c r="J113" s="124"/>
      <c r="K113" s="139"/>
      <c r="L113" s="140"/>
      <c r="M113" s="124"/>
      <c r="N113" s="139"/>
      <c r="O113" s="140"/>
      <c r="P113" s="124"/>
      <c r="Q113" s="139"/>
      <c r="R113" s="140"/>
      <c r="S113" s="124"/>
      <c r="T113" s="139"/>
      <c r="U113" s="140"/>
      <c r="V113" s="124"/>
      <c r="W113" s="139"/>
      <c r="X113" s="140"/>
      <c r="Y113" s="124"/>
      <c r="Z113" s="139"/>
      <c r="AA113" s="140"/>
      <c r="AB113" s="124"/>
      <c r="AC113" s="139"/>
      <c r="AD113" s="140"/>
      <c r="AE113" s="124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</row>
    <row r="115">
      <c r="A115" s="117"/>
      <c r="B115" s="142" t="s">
        <v>381</v>
      </c>
      <c r="C115" s="121"/>
      <c r="D115" s="117"/>
      <c r="E115" s="142"/>
      <c r="F115" s="121"/>
      <c r="G115" s="117"/>
      <c r="H115" s="142" t="s">
        <v>382</v>
      </c>
      <c r="I115" s="121"/>
      <c r="J115" s="117"/>
      <c r="K115" s="155" t="s">
        <v>383</v>
      </c>
      <c r="L115" s="121"/>
      <c r="M115" s="117"/>
      <c r="N115" s="120"/>
      <c r="O115" s="121"/>
      <c r="P115" s="117"/>
      <c r="Q115" s="142" t="s">
        <v>385</v>
      </c>
      <c r="R115" s="121"/>
      <c r="S115" s="117"/>
      <c r="T115" s="142" t="s">
        <v>386</v>
      </c>
      <c r="U115" s="121"/>
      <c r="V115" s="117"/>
      <c r="W115" s="120" t="s">
        <v>387</v>
      </c>
      <c r="X115" s="121"/>
      <c r="Y115" s="117"/>
      <c r="Z115" s="120" t="s">
        <v>138</v>
      </c>
      <c r="AA115" s="121"/>
      <c r="AB115" s="117"/>
      <c r="AC115" s="120" t="s">
        <v>388</v>
      </c>
      <c r="AD115" s="121"/>
      <c r="AE115" s="117"/>
    </row>
    <row r="116">
      <c r="A116" s="124"/>
      <c r="B116" s="125" t="s">
        <v>279</v>
      </c>
      <c r="C116" s="126" t="s">
        <v>3</v>
      </c>
      <c r="D116" s="124"/>
      <c r="E116" s="125" t="s">
        <v>279</v>
      </c>
      <c r="F116" s="126" t="s">
        <v>3</v>
      </c>
      <c r="G116" s="124"/>
      <c r="H116" s="125" t="s">
        <v>279</v>
      </c>
      <c r="I116" s="126" t="s">
        <v>3</v>
      </c>
      <c r="J116" s="124"/>
      <c r="K116" s="125" t="s">
        <v>279</v>
      </c>
      <c r="L116" s="126" t="s">
        <v>3</v>
      </c>
      <c r="M116" s="124"/>
      <c r="N116" s="125" t="s">
        <v>279</v>
      </c>
      <c r="O116" s="126" t="s">
        <v>3</v>
      </c>
      <c r="P116" s="124"/>
      <c r="Q116" s="125" t="s">
        <v>279</v>
      </c>
      <c r="R116" s="126" t="s">
        <v>3</v>
      </c>
      <c r="S116" s="124"/>
      <c r="T116" s="125" t="s">
        <v>279</v>
      </c>
      <c r="U116" s="126" t="s">
        <v>3</v>
      </c>
      <c r="V116" s="124"/>
      <c r="W116" s="125" t="s">
        <v>279</v>
      </c>
      <c r="X116" s="126" t="s">
        <v>3</v>
      </c>
      <c r="Y116" s="124"/>
      <c r="Z116" s="125" t="s">
        <v>279</v>
      </c>
      <c r="AA116" s="126" t="s">
        <v>3</v>
      </c>
      <c r="AB116" s="124"/>
      <c r="AC116" s="125" t="s">
        <v>279</v>
      </c>
      <c r="AD116" s="126" t="s">
        <v>3</v>
      </c>
      <c r="AE116" s="124"/>
    </row>
    <row r="117">
      <c r="A117" s="124"/>
      <c r="B117" s="130">
        <v>12.0</v>
      </c>
      <c r="C117" s="129">
        <v>46182.0</v>
      </c>
      <c r="D117" s="124"/>
      <c r="E117" s="130"/>
      <c r="F117" s="129"/>
      <c r="G117" s="124"/>
      <c r="H117" s="130">
        <v>30.0</v>
      </c>
      <c r="I117" s="129">
        <v>46182.0</v>
      </c>
      <c r="J117" s="124"/>
      <c r="K117" s="127">
        <v>12.0</v>
      </c>
      <c r="L117" s="149">
        <v>46271.0</v>
      </c>
      <c r="M117" s="124"/>
      <c r="N117" s="127"/>
      <c r="O117" s="128"/>
      <c r="P117" s="124"/>
      <c r="Q117" s="127">
        <v>10.0</v>
      </c>
      <c r="R117" s="128">
        <v>46271.0</v>
      </c>
      <c r="S117" s="124"/>
      <c r="T117" s="127">
        <v>10.0</v>
      </c>
      <c r="U117" s="149">
        <v>46271.0</v>
      </c>
      <c r="V117" s="124"/>
      <c r="W117" s="127">
        <v>180.0</v>
      </c>
      <c r="X117" s="150"/>
      <c r="Y117" s="124"/>
      <c r="Z117" s="127">
        <v>4.0</v>
      </c>
      <c r="AA117" s="150"/>
      <c r="AB117" s="124"/>
      <c r="AC117" s="127">
        <v>1.0</v>
      </c>
      <c r="AD117" s="150"/>
      <c r="AE117" s="124"/>
    </row>
    <row r="118">
      <c r="A118" s="124"/>
      <c r="B118" s="130"/>
      <c r="C118" s="129"/>
      <c r="D118" s="124"/>
      <c r="E118" s="130"/>
      <c r="F118" s="129"/>
      <c r="G118" s="124"/>
      <c r="H118" s="130"/>
      <c r="I118" s="129"/>
      <c r="J118" s="124"/>
      <c r="K118" s="130">
        <v>56.0</v>
      </c>
      <c r="L118" s="129">
        <v>46190.0</v>
      </c>
      <c r="M118" s="124"/>
      <c r="N118" s="130"/>
      <c r="O118" s="129"/>
      <c r="P118" s="124"/>
      <c r="Q118" s="130"/>
      <c r="R118" s="129"/>
      <c r="S118" s="124"/>
      <c r="T118" s="130">
        <v>48.0</v>
      </c>
      <c r="U118" s="154" t="s">
        <v>357</v>
      </c>
      <c r="V118" s="124"/>
      <c r="W118" s="130"/>
      <c r="X118" s="129"/>
      <c r="Y118" s="124"/>
      <c r="Z118" s="130">
        <v>5.0</v>
      </c>
      <c r="AA118" s="129">
        <v>46222.0</v>
      </c>
      <c r="AB118" s="124"/>
      <c r="AC118" s="130"/>
      <c r="AD118" s="129"/>
      <c r="AE118" s="124"/>
    </row>
    <row r="119">
      <c r="A119" s="124"/>
      <c r="B119" s="130"/>
      <c r="C119" s="129"/>
      <c r="D119" s="124"/>
      <c r="E119" s="130"/>
      <c r="F119" s="129"/>
      <c r="G119" s="124"/>
      <c r="H119" s="130"/>
      <c r="I119" s="129"/>
      <c r="J119" s="124"/>
      <c r="K119" s="130"/>
      <c r="L119" s="129"/>
      <c r="M119" s="124"/>
      <c r="N119" s="130"/>
      <c r="O119" s="129"/>
      <c r="P119" s="124"/>
      <c r="Q119" s="130"/>
      <c r="R119" s="129"/>
      <c r="S119" s="124"/>
      <c r="T119" s="130"/>
      <c r="U119" s="154"/>
      <c r="V119" s="124"/>
      <c r="W119" s="130"/>
      <c r="X119" s="129"/>
      <c r="Y119" s="124"/>
      <c r="Z119" s="130">
        <v>3.0</v>
      </c>
      <c r="AA119" s="129">
        <v>46223.0</v>
      </c>
      <c r="AB119" s="124"/>
      <c r="AC119" s="130"/>
      <c r="AD119" s="129"/>
      <c r="AE119" s="124"/>
    </row>
    <row r="120">
      <c r="A120" s="124"/>
      <c r="B120" s="130"/>
      <c r="C120" s="129"/>
      <c r="D120" s="124"/>
      <c r="E120" s="130"/>
      <c r="F120" s="129"/>
      <c r="G120" s="124"/>
      <c r="H120" s="130"/>
      <c r="I120" s="129"/>
      <c r="J120" s="124"/>
      <c r="K120" s="130"/>
      <c r="L120" s="129"/>
      <c r="M120" s="124"/>
      <c r="N120" s="130"/>
      <c r="O120" s="129"/>
      <c r="P120" s="124"/>
      <c r="Q120" s="130"/>
      <c r="R120" s="129"/>
      <c r="S120" s="124"/>
      <c r="T120" s="130"/>
      <c r="U120" s="129"/>
      <c r="V120" s="124"/>
      <c r="W120" s="130"/>
      <c r="X120" s="129"/>
      <c r="Y120" s="124"/>
      <c r="Z120" s="130">
        <v>7.0</v>
      </c>
      <c r="AA120" s="129">
        <v>46226.0</v>
      </c>
      <c r="AB120" s="124"/>
      <c r="AC120" s="130"/>
      <c r="AD120" s="129"/>
      <c r="AE120" s="124"/>
    </row>
    <row r="121">
      <c r="A121" s="124"/>
      <c r="B121" s="130"/>
      <c r="C121" s="129"/>
      <c r="D121" s="124"/>
      <c r="E121" s="130"/>
      <c r="F121" s="129"/>
      <c r="G121" s="124"/>
      <c r="H121" s="130"/>
      <c r="I121" s="129"/>
      <c r="J121" s="124"/>
      <c r="K121" s="130"/>
      <c r="L121" s="129"/>
      <c r="M121" s="124"/>
      <c r="N121" s="130"/>
      <c r="O121" s="129"/>
      <c r="P121" s="124"/>
      <c r="Q121" s="130"/>
      <c r="R121" s="129"/>
      <c r="S121" s="124"/>
      <c r="T121" s="130"/>
      <c r="U121" s="129"/>
      <c r="V121" s="124"/>
      <c r="W121" s="130"/>
      <c r="X121" s="129"/>
      <c r="Y121" s="124"/>
      <c r="Z121" s="130">
        <v>1.0</v>
      </c>
      <c r="AA121" s="129">
        <v>46230.0</v>
      </c>
      <c r="AB121" s="124"/>
      <c r="AC121" s="130"/>
      <c r="AD121" s="129"/>
      <c r="AE121" s="124"/>
    </row>
    <row r="122">
      <c r="A122" s="124"/>
      <c r="B122" s="131"/>
      <c r="C122" s="132"/>
      <c r="D122" s="124"/>
      <c r="E122" s="131"/>
      <c r="F122" s="132"/>
      <c r="G122" s="124"/>
      <c r="H122" s="131"/>
      <c r="I122" s="132"/>
      <c r="J122" s="124"/>
      <c r="K122" s="131"/>
      <c r="L122" s="132"/>
      <c r="M122" s="124"/>
      <c r="N122" s="131"/>
      <c r="O122" s="132"/>
      <c r="P122" s="124"/>
      <c r="Q122" s="131"/>
      <c r="R122" s="132"/>
      <c r="S122" s="124"/>
      <c r="T122" s="131"/>
      <c r="U122" s="132"/>
      <c r="V122" s="124"/>
      <c r="W122" s="131"/>
      <c r="X122" s="132"/>
      <c r="Y122" s="124"/>
      <c r="Z122" s="130">
        <v>1.0</v>
      </c>
      <c r="AA122" s="129">
        <v>46231.0</v>
      </c>
      <c r="AB122" s="124"/>
      <c r="AC122" s="131"/>
      <c r="AD122" s="132"/>
      <c r="AE122" s="124"/>
    </row>
    <row r="123">
      <c r="A123" s="124"/>
      <c r="B123" s="131"/>
      <c r="C123" s="132"/>
      <c r="D123" s="124"/>
      <c r="E123" s="131"/>
      <c r="F123" s="132"/>
      <c r="G123" s="124"/>
      <c r="H123" s="131"/>
      <c r="I123" s="132"/>
      <c r="J123" s="124"/>
      <c r="K123" s="131"/>
      <c r="L123" s="132"/>
      <c r="M123" s="124"/>
      <c r="N123" s="131"/>
      <c r="O123" s="132"/>
      <c r="P123" s="124"/>
      <c r="Q123" s="131"/>
      <c r="R123" s="132"/>
      <c r="S123" s="124"/>
      <c r="T123" s="131"/>
      <c r="U123" s="132"/>
      <c r="V123" s="124"/>
      <c r="W123" s="131"/>
      <c r="X123" s="132"/>
      <c r="Y123" s="124"/>
      <c r="Z123" s="130">
        <v>7.0</v>
      </c>
      <c r="AA123" s="129">
        <v>46232.0</v>
      </c>
      <c r="AB123" s="124"/>
      <c r="AC123" s="131"/>
      <c r="AD123" s="132"/>
      <c r="AE123" s="124"/>
    </row>
    <row r="124">
      <c r="A124" s="124"/>
      <c r="B124" s="131"/>
      <c r="C124" s="132"/>
      <c r="D124" s="124"/>
      <c r="E124" s="131"/>
      <c r="F124" s="132"/>
      <c r="G124" s="124"/>
      <c r="H124" s="131"/>
      <c r="I124" s="132"/>
      <c r="J124" s="124"/>
      <c r="K124" s="131"/>
      <c r="L124" s="132"/>
      <c r="M124" s="124"/>
      <c r="N124" s="131"/>
      <c r="O124" s="132"/>
      <c r="P124" s="124"/>
      <c r="Q124" s="131"/>
      <c r="R124" s="132"/>
      <c r="S124" s="124"/>
      <c r="T124" s="131"/>
      <c r="U124" s="132"/>
      <c r="V124" s="124"/>
      <c r="W124" s="131"/>
      <c r="X124" s="132"/>
      <c r="Y124" s="124"/>
      <c r="Z124" s="131"/>
      <c r="AA124" s="132"/>
      <c r="AB124" s="124"/>
      <c r="AC124" s="131"/>
      <c r="AD124" s="132"/>
      <c r="AE124" s="124"/>
    </row>
    <row r="125">
      <c r="A125" s="124"/>
      <c r="B125" s="131"/>
      <c r="C125" s="132"/>
      <c r="D125" s="124"/>
      <c r="E125" s="131"/>
      <c r="F125" s="132"/>
      <c r="G125" s="124"/>
      <c r="H125" s="131"/>
      <c r="I125" s="132"/>
      <c r="J125" s="124"/>
      <c r="K125" s="131"/>
      <c r="L125" s="132"/>
      <c r="M125" s="124"/>
      <c r="N125" s="131"/>
      <c r="O125" s="132"/>
      <c r="P125" s="124"/>
      <c r="Q125" s="131"/>
      <c r="R125" s="132"/>
      <c r="S125" s="124"/>
      <c r="T125" s="131"/>
      <c r="U125" s="132"/>
      <c r="V125" s="124"/>
      <c r="W125" s="131"/>
      <c r="X125" s="132"/>
      <c r="Y125" s="124"/>
      <c r="Z125" s="131"/>
      <c r="AA125" s="132"/>
      <c r="AB125" s="124"/>
      <c r="AC125" s="131"/>
      <c r="AD125" s="132"/>
      <c r="AE125" s="124"/>
    </row>
    <row r="126">
      <c r="A126" s="124"/>
      <c r="B126" s="131"/>
      <c r="C126" s="132"/>
      <c r="D126" s="124"/>
      <c r="E126" s="131"/>
      <c r="F126" s="132"/>
      <c r="G126" s="124"/>
      <c r="H126" s="131"/>
      <c r="I126" s="132"/>
      <c r="J126" s="124"/>
      <c r="K126" s="131"/>
      <c r="L126" s="132"/>
      <c r="M126" s="124"/>
      <c r="N126" s="131"/>
      <c r="O126" s="132"/>
      <c r="P126" s="124"/>
      <c r="Q126" s="131"/>
      <c r="R126" s="132"/>
      <c r="S126" s="124"/>
      <c r="T126" s="131"/>
      <c r="U126" s="132"/>
      <c r="V126" s="124"/>
      <c r="W126" s="131"/>
      <c r="X126" s="132"/>
      <c r="Y126" s="124"/>
      <c r="Z126" s="131"/>
      <c r="AA126" s="132"/>
      <c r="AB126" s="124"/>
      <c r="AC126" s="131"/>
      <c r="AD126" s="132"/>
      <c r="AE126" s="124"/>
    </row>
    <row r="127">
      <c r="A127" s="124"/>
      <c r="B127" s="131"/>
      <c r="C127" s="132"/>
      <c r="D127" s="124"/>
      <c r="E127" s="131"/>
      <c r="F127" s="132"/>
      <c r="G127" s="124"/>
      <c r="H127" s="131"/>
      <c r="I127" s="132"/>
      <c r="J127" s="124"/>
      <c r="K127" s="131"/>
      <c r="L127" s="132"/>
      <c r="M127" s="124"/>
      <c r="N127" s="131"/>
      <c r="O127" s="132"/>
      <c r="P127" s="124"/>
      <c r="Q127" s="131"/>
      <c r="R127" s="132"/>
      <c r="S127" s="124"/>
      <c r="T127" s="131"/>
      <c r="U127" s="132"/>
      <c r="V127" s="124"/>
      <c r="W127" s="131"/>
      <c r="X127" s="132"/>
      <c r="Y127" s="124"/>
      <c r="Z127" s="131"/>
      <c r="AA127" s="132"/>
      <c r="AB127" s="124"/>
      <c r="AC127" s="131"/>
      <c r="AD127" s="132"/>
      <c r="AE127" s="124"/>
    </row>
    <row r="128">
      <c r="A128" s="124"/>
      <c r="B128" s="131"/>
      <c r="C128" s="132"/>
      <c r="D128" s="124"/>
      <c r="E128" s="131"/>
      <c r="F128" s="132"/>
      <c r="G128" s="124"/>
      <c r="H128" s="131"/>
      <c r="I128" s="132"/>
      <c r="J128" s="124"/>
      <c r="K128" s="131"/>
      <c r="L128" s="132"/>
      <c r="M128" s="124"/>
      <c r="N128" s="131"/>
      <c r="O128" s="132"/>
      <c r="P128" s="124"/>
      <c r="Q128" s="131"/>
      <c r="R128" s="132"/>
      <c r="S128" s="124"/>
      <c r="T128" s="131"/>
      <c r="U128" s="132"/>
      <c r="V128" s="124"/>
      <c r="W128" s="131"/>
      <c r="X128" s="132"/>
      <c r="Y128" s="124"/>
      <c r="Z128" s="131"/>
      <c r="AA128" s="132"/>
      <c r="AB128" s="124"/>
      <c r="AC128" s="131"/>
      <c r="AD128" s="132"/>
      <c r="AE128" s="124"/>
    </row>
    <row r="129">
      <c r="A129" s="124"/>
      <c r="B129" s="131"/>
      <c r="C129" s="132"/>
      <c r="D129" s="124"/>
      <c r="E129" s="131"/>
      <c r="F129" s="132"/>
      <c r="G129" s="124"/>
      <c r="H129" s="131"/>
      <c r="I129" s="132"/>
      <c r="J129" s="124"/>
      <c r="K129" s="131"/>
      <c r="L129" s="132"/>
      <c r="M129" s="124"/>
      <c r="N129" s="131"/>
      <c r="O129" s="132"/>
      <c r="P129" s="124"/>
      <c r="Q129" s="131"/>
      <c r="R129" s="132"/>
      <c r="S129" s="124"/>
      <c r="T129" s="131"/>
      <c r="U129" s="132"/>
      <c r="V129" s="124"/>
      <c r="W129" s="131"/>
      <c r="X129" s="132"/>
      <c r="Y129" s="124"/>
      <c r="Z129" s="131"/>
      <c r="AA129" s="132"/>
      <c r="AB129" s="124"/>
      <c r="AC129" s="131"/>
      <c r="AD129" s="132"/>
      <c r="AE129" s="124"/>
    </row>
    <row r="130">
      <c r="A130" s="124"/>
      <c r="B130" s="131"/>
      <c r="C130" s="132"/>
      <c r="D130" s="124"/>
      <c r="E130" s="131"/>
      <c r="F130" s="132"/>
      <c r="G130" s="124"/>
      <c r="H130" s="131"/>
      <c r="I130" s="132"/>
      <c r="J130" s="124"/>
      <c r="K130" s="131"/>
      <c r="L130" s="132"/>
      <c r="M130" s="124"/>
      <c r="N130" s="131"/>
      <c r="O130" s="132"/>
      <c r="P130" s="124"/>
      <c r="Q130" s="131"/>
      <c r="R130" s="132"/>
      <c r="S130" s="124"/>
      <c r="T130" s="131"/>
      <c r="U130" s="132"/>
      <c r="V130" s="124"/>
      <c r="W130" s="131"/>
      <c r="X130" s="132"/>
      <c r="Y130" s="124"/>
      <c r="Z130" s="131"/>
      <c r="AA130" s="132"/>
      <c r="AB130" s="124"/>
      <c r="AC130" s="131"/>
      <c r="AD130" s="132"/>
      <c r="AE130" s="124"/>
    </row>
    <row r="131">
      <c r="A131" s="124"/>
      <c r="B131" s="131"/>
      <c r="C131" s="132"/>
      <c r="D131" s="124"/>
      <c r="E131" s="131"/>
      <c r="F131" s="132"/>
      <c r="G131" s="124"/>
      <c r="H131" s="131"/>
      <c r="I131" s="132"/>
      <c r="J131" s="124"/>
      <c r="K131" s="131"/>
      <c r="L131" s="132"/>
      <c r="M131" s="124"/>
      <c r="N131" s="131"/>
      <c r="O131" s="132"/>
      <c r="P131" s="124"/>
      <c r="Q131" s="131"/>
      <c r="R131" s="132"/>
      <c r="S131" s="124"/>
      <c r="T131" s="131"/>
      <c r="U131" s="132"/>
      <c r="V131" s="124"/>
      <c r="W131" s="131"/>
      <c r="X131" s="132"/>
      <c r="Y131" s="124"/>
      <c r="Z131" s="131"/>
      <c r="AA131" s="132"/>
      <c r="AB131" s="124"/>
      <c r="AC131" s="131"/>
      <c r="AD131" s="132"/>
      <c r="AE131" s="124"/>
    </row>
    <row r="132">
      <c r="A132" s="124"/>
      <c r="B132" s="131"/>
      <c r="C132" s="132"/>
      <c r="D132" s="124"/>
      <c r="E132" s="131"/>
      <c r="F132" s="132"/>
      <c r="G132" s="124"/>
      <c r="H132" s="131"/>
      <c r="I132" s="132"/>
      <c r="J132" s="124"/>
      <c r="K132" s="131"/>
      <c r="L132" s="132"/>
      <c r="M132" s="124"/>
      <c r="N132" s="131"/>
      <c r="O132" s="132"/>
      <c r="P132" s="124"/>
      <c r="Q132" s="131"/>
      <c r="R132" s="132"/>
      <c r="S132" s="124"/>
      <c r="T132" s="131"/>
      <c r="U132" s="132"/>
      <c r="V132" s="124"/>
      <c r="W132" s="131"/>
      <c r="X132" s="132"/>
      <c r="Y132" s="124"/>
      <c r="Z132" s="131"/>
      <c r="AA132" s="132"/>
      <c r="AB132" s="124"/>
      <c r="AC132" s="131"/>
      <c r="AD132" s="132"/>
      <c r="AE132" s="124"/>
    </row>
    <row r="133">
      <c r="A133" s="124"/>
      <c r="B133" s="131"/>
      <c r="C133" s="132"/>
      <c r="D133" s="124"/>
      <c r="E133" s="131"/>
      <c r="F133" s="132"/>
      <c r="G133" s="124"/>
      <c r="H133" s="131"/>
      <c r="I133" s="132"/>
      <c r="J133" s="124"/>
      <c r="K133" s="131"/>
      <c r="L133" s="132"/>
      <c r="M133" s="124"/>
      <c r="N133" s="131"/>
      <c r="O133" s="132"/>
      <c r="P133" s="124"/>
      <c r="Q133" s="131"/>
      <c r="R133" s="132"/>
      <c r="S133" s="124"/>
      <c r="T133" s="131"/>
      <c r="U133" s="132"/>
      <c r="V133" s="124"/>
      <c r="W133" s="131"/>
      <c r="X133" s="132"/>
      <c r="Y133" s="124"/>
      <c r="Z133" s="131"/>
      <c r="AA133" s="132"/>
      <c r="AB133" s="124"/>
      <c r="AC133" s="131"/>
      <c r="AD133" s="132"/>
      <c r="AE133" s="124"/>
    </row>
    <row r="134">
      <c r="A134" s="124"/>
      <c r="B134" s="131"/>
      <c r="C134" s="132"/>
      <c r="D134" s="124"/>
      <c r="E134" s="131"/>
      <c r="F134" s="132"/>
      <c r="G134" s="124"/>
      <c r="H134" s="131"/>
      <c r="I134" s="132"/>
      <c r="J134" s="124"/>
      <c r="K134" s="131"/>
      <c r="L134" s="132"/>
      <c r="M134" s="124"/>
      <c r="N134" s="131"/>
      <c r="O134" s="132"/>
      <c r="P134" s="124"/>
      <c r="Q134" s="131"/>
      <c r="R134" s="132"/>
      <c r="S134" s="124"/>
      <c r="T134" s="131"/>
      <c r="U134" s="132"/>
      <c r="V134" s="124"/>
      <c r="W134" s="131"/>
      <c r="X134" s="132"/>
      <c r="Y134" s="124"/>
      <c r="Z134" s="131"/>
      <c r="AA134" s="132"/>
      <c r="AB134" s="124"/>
      <c r="AC134" s="131"/>
      <c r="AD134" s="132"/>
      <c r="AE134" s="124"/>
    </row>
    <row r="135">
      <c r="A135" s="124"/>
      <c r="B135" s="131"/>
      <c r="C135" s="132"/>
      <c r="D135" s="124"/>
      <c r="E135" s="131"/>
      <c r="F135" s="132"/>
      <c r="G135" s="124"/>
      <c r="H135" s="131"/>
      <c r="I135" s="132"/>
      <c r="J135" s="124"/>
      <c r="K135" s="131"/>
      <c r="L135" s="132"/>
      <c r="M135" s="124"/>
      <c r="N135" s="131"/>
      <c r="O135" s="132"/>
      <c r="P135" s="124"/>
      <c r="Q135" s="131"/>
      <c r="R135" s="132"/>
      <c r="S135" s="124"/>
      <c r="T135" s="131"/>
      <c r="U135" s="132"/>
      <c r="V135" s="124"/>
      <c r="W135" s="131"/>
      <c r="X135" s="132"/>
      <c r="Y135" s="124"/>
      <c r="Z135" s="131"/>
      <c r="AA135" s="132"/>
      <c r="AB135" s="124"/>
      <c r="AC135" s="131"/>
      <c r="AD135" s="132"/>
      <c r="AE135" s="124"/>
    </row>
    <row r="136">
      <c r="A136" s="124"/>
      <c r="B136" s="131"/>
      <c r="C136" s="132"/>
      <c r="D136" s="124"/>
      <c r="E136" s="131"/>
      <c r="F136" s="132"/>
      <c r="G136" s="124"/>
      <c r="H136" s="131"/>
      <c r="I136" s="132"/>
      <c r="J136" s="124"/>
      <c r="K136" s="131"/>
      <c r="L136" s="132"/>
      <c r="M136" s="124"/>
      <c r="N136" s="131"/>
      <c r="O136" s="132"/>
      <c r="P136" s="124"/>
      <c r="Q136" s="131"/>
      <c r="R136" s="132"/>
      <c r="S136" s="124"/>
      <c r="T136" s="131"/>
      <c r="U136" s="132"/>
      <c r="V136" s="124"/>
      <c r="W136" s="131"/>
      <c r="X136" s="132"/>
      <c r="Y136" s="124"/>
      <c r="Z136" s="131"/>
      <c r="AA136" s="132"/>
      <c r="AB136" s="124"/>
      <c r="AC136" s="131"/>
      <c r="AD136" s="132"/>
      <c r="AE136" s="124"/>
    </row>
    <row r="137">
      <c r="A137" s="124"/>
      <c r="B137" s="131"/>
      <c r="C137" s="132"/>
      <c r="D137" s="124"/>
      <c r="E137" s="131"/>
      <c r="F137" s="132"/>
      <c r="G137" s="124"/>
      <c r="H137" s="131"/>
      <c r="I137" s="132"/>
      <c r="J137" s="124"/>
      <c r="K137" s="131"/>
      <c r="L137" s="132"/>
      <c r="M137" s="124"/>
      <c r="N137" s="131"/>
      <c r="O137" s="132"/>
      <c r="P137" s="124"/>
      <c r="Q137" s="131"/>
      <c r="R137" s="132"/>
      <c r="S137" s="124"/>
      <c r="T137" s="131"/>
      <c r="U137" s="132"/>
      <c r="V137" s="124"/>
      <c r="W137" s="131"/>
      <c r="X137" s="132"/>
      <c r="Y137" s="124"/>
      <c r="Z137" s="131"/>
      <c r="AA137" s="132"/>
      <c r="AB137" s="124"/>
      <c r="AC137" s="131"/>
      <c r="AD137" s="132"/>
      <c r="AE137" s="124"/>
    </row>
    <row r="138">
      <c r="A138" s="124"/>
      <c r="B138" s="134"/>
      <c r="C138" s="135"/>
      <c r="D138" s="124"/>
      <c r="E138" s="134"/>
      <c r="F138" s="135"/>
      <c r="G138" s="124"/>
      <c r="H138" s="134"/>
      <c r="I138" s="135"/>
      <c r="J138" s="124"/>
      <c r="K138" s="134"/>
      <c r="L138" s="135"/>
      <c r="M138" s="124"/>
      <c r="N138" s="134"/>
      <c r="O138" s="135"/>
      <c r="P138" s="124"/>
      <c r="Q138" s="134"/>
      <c r="R138" s="135"/>
      <c r="S138" s="124"/>
      <c r="T138" s="134"/>
      <c r="U138" s="135"/>
      <c r="V138" s="124"/>
      <c r="W138" s="134"/>
      <c r="X138" s="135"/>
      <c r="Y138" s="124"/>
      <c r="Z138" s="134"/>
      <c r="AA138" s="135"/>
      <c r="AB138" s="124"/>
      <c r="AC138" s="134"/>
      <c r="AD138" s="135"/>
      <c r="AE138" s="124"/>
    </row>
    <row r="139">
      <c r="A139" s="124"/>
      <c r="B139" s="137">
        <f>SUM(B117:B138)</f>
        <v>12</v>
      </c>
      <c r="C139" s="3"/>
      <c r="D139" s="124"/>
      <c r="E139" s="137">
        <f>SUM(E117:E138)</f>
        <v>0</v>
      </c>
      <c r="F139" s="3"/>
      <c r="G139" s="124"/>
      <c r="H139" s="137">
        <f>SUM(H117:H138)</f>
        <v>30</v>
      </c>
      <c r="I139" s="3"/>
      <c r="J139" s="124"/>
      <c r="K139" s="137">
        <f>SUM(K117:K138)</f>
        <v>68</v>
      </c>
      <c r="L139" s="3"/>
      <c r="M139" s="124"/>
      <c r="N139" s="137">
        <f>SUM(N117:N138)</f>
        <v>0</v>
      </c>
      <c r="O139" s="3"/>
      <c r="P139" s="124"/>
      <c r="Q139" s="137">
        <f>SUM(Q117:Q138)</f>
        <v>10</v>
      </c>
      <c r="R139" s="3"/>
      <c r="S139" s="124"/>
      <c r="T139" s="137">
        <f>SUM(T117:T138)</f>
        <v>58</v>
      </c>
      <c r="U139" s="3"/>
      <c r="V139" s="124"/>
      <c r="W139" s="137">
        <f>SUM(W117:W138)</f>
        <v>180</v>
      </c>
      <c r="X139" s="3"/>
      <c r="Y139" s="124"/>
      <c r="Z139" s="137">
        <f>SUM(Z117:Z138)</f>
        <v>28</v>
      </c>
      <c r="AA139" s="3"/>
      <c r="AB139" s="124"/>
      <c r="AC139" s="137">
        <f>SUM(AC117:AC138)</f>
        <v>1</v>
      </c>
      <c r="AD139" s="3"/>
      <c r="AE139" s="124"/>
    </row>
    <row r="140">
      <c r="A140" s="124"/>
      <c r="B140" s="139"/>
      <c r="C140" s="140"/>
      <c r="D140" s="124"/>
      <c r="E140" s="139"/>
      <c r="F140" s="140"/>
      <c r="G140" s="124"/>
      <c r="H140" s="139"/>
      <c r="I140" s="140"/>
      <c r="J140" s="124"/>
      <c r="K140" s="139"/>
      <c r="L140" s="140"/>
      <c r="M140" s="124"/>
      <c r="N140" s="139"/>
      <c r="O140" s="140"/>
      <c r="P140" s="124"/>
      <c r="Q140" s="139"/>
      <c r="R140" s="140"/>
      <c r="S140" s="124"/>
      <c r="T140" s="139"/>
      <c r="U140" s="140"/>
      <c r="V140" s="124"/>
      <c r="W140" s="139"/>
      <c r="X140" s="140"/>
      <c r="Y140" s="124"/>
      <c r="Z140" s="139"/>
      <c r="AA140" s="140"/>
      <c r="AB140" s="124"/>
      <c r="AC140" s="139"/>
      <c r="AD140" s="140"/>
      <c r="AE140" s="124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  <c r="AE141" s="141"/>
    </row>
    <row r="142">
      <c r="A142" s="117"/>
      <c r="B142" s="120" t="s">
        <v>194</v>
      </c>
      <c r="C142" s="121"/>
      <c r="D142" s="117"/>
      <c r="E142" s="120" t="s">
        <v>198</v>
      </c>
      <c r="F142" s="121"/>
      <c r="G142" s="117"/>
      <c r="H142" s="142" t="s">
        <v>405</v>
      </c>
      <c r="I142" s="121"/>
      <c r="J142" s="117"/>
      <c r="K142" s="155" t="s">
        <v>90</v>
      </c>
      <c r="L142" s="121"/>
      <c r="M142" s="117"/>
      <c r="N142" s="120" t="s">
        <v>124</v>
      </c>
      <c r="O142" s="121"/>
      <c r="P142" s="117"/>
      <c r="Q142" s="120" t="s">
        <v>128</v>
      </c>
      <c r="R142" s="121"/>
      <c r="S142" s="117"/>
      <c r="T142" s="120" t="s">
        <v>130</v>
      </c>
      <c r="U142" s="121"/>
      <c r="V142" s="117"/>
      <c r="W142" s="120" t="s">
        <v>133</v>
      </c>
      <c r="X142" s="121"/>
      <c r="Y142" s="117"/>
      <c r="Z142" s="120" t="s">
        <v>136</v>
      </c>
      <c r="AA142" s="121"/>
      <c r="AB142" s="117"/>
      <c r="AC142" s="142" t="s">
        <v>145</v>
      </c>
      <c r="AD142" s="121"/>
      <c r="AE142" s="117"/>
    </row>
    <row r="143">
      <c r="A143" s="124"/>
      <c r="B143" s="125" t="s">
        <v>279</v>
      </c>
      <c r="C143" s="126" t="s">
        <v>3</v>
      </c>
      <c r="D143" s="124"/>
      <c r="E143" s="125" t="s">
        <v>279</v>
      </c>
      <c r="F143" s="126" t="s">
        <v>3</v>
      </c>
      <c r="G143" s="124"/>
      <c r="H143" s="125" t="s">
        <v>279</v>
      </c>
      <c r="I143" s="126" t="s">
        <v>3</v>
      </c>
      <c r="J143" s="124"/>
      <c r="K143" s="125" t="s">
        <v>279</v>
      </c>
      <c r="L143" s="126" t="s">
        <v>3</v>
      </c>
      <c r="M143" s="124"/>
      <c r="N143" s="125" t="s">
        <v>279</v>
      </c>
      <c r="O143" s="126" t="s">
        <v>3</v>
      </c>
      <c r="P143" s="124"/>
      <c r="Q143" s="125" t="s">
        <v>279</v>
      </c>
      <c r="R143" s="126" t="s">
        <v>3</v>
      </c>
      <c r="S143" s="124"/>
      <c r="T143" s="125" t="s">
        <v>279</v>
      </c>
      <c r="U143" s="126" t="s">
        <v>3</v>
      </c>
      <c r="V143" s="124"/>
      <c r="W143" s="125" t="s">
        <v>279</v>
      </c>
      <c r="X143" s="126" t="s">
        <v>3</v>
      </c>
      <c r="Y143" s="124"/>
      <c r="Z143" s="125" t="s">
        <v>279</v>
      </c>
      <c r="AA143" s="126" t="s">
        <v>3</v>
      </c>
      <c r="AB143" s="124"/>
      <c r="AC143" s="125" t="s">
        <v>279</v>
      </c>
      <c r="AD143" s="126" t="s">
        <v>3</v>
      </c>
      <c r="AE143" s="124"/>
    </row>
    <row r="144">
      <c r="A144" s="124"/>
      <c r="B144" s="127"/>
      <c r="C144" s="128"/>
      <c r="D144" s="124"/>
      <c r="E144" s="127"/>
      <c r="F144" s="128"/>
      <c r="G144" s="124"/>
      <c r="H144" s="127">
        <v>6.0</v>
      </c>
      <c r="I144" s="128">
        <v>46029.0</v>
      </c>
      <c r="J144" s="124"/>
      <c r="K144" s="127"/>
      <c r="L144" s="128"/>
      <c r="M144" s="124"/>
      <c r="N144" s="127">
        <v>1000.0</v>
      </c>
      <c r="O144" s="128">
        <v>46222.0</v>
      </c>
      <c r="P144" s="124"/>
      <c r="Q144" s="127">
        <v>200.0</v>
      </c>
      <c r="R144" s="128"/>
      <c r="S144" s="124"/>
      <c r="T144" s="127"/>
      <c r="U144" s="150"/>
      <c r="V144" s="124"/>
      <c r="W144" s="127">
        <v>25.0</v>
      </c>
      <c r="X144" s="128">
        <v>46231.0</v>
      </c>
      <c r="Y144" s="124"/>
      <c r="Z144" s="127">
        <v>500.0</v>
      </c>
      <c r="AA144" s="128">
        <v>46233.0</v>
      </c>
      <c r="AB144" s="124"/>
      <c r="AC144" s="127"/>
      <c r="AD144" s="150"/>
      <c r="AE144" s="124"/>
    </row>
    <row r="145">
      <c r="A145" s="124"/>
      <c r="B145" s="130"/>
      <c r="C145" s="129"/>
      <c r="D145" s="124"/>
      <c r="E145" s="130"/>
      <c r="F145" s="129"/>
      <c r="G145" s="124"/>
      <c r="H145" s="130">
        <v>30.0</v>
      </c>
      <c r="I145" s="129">
        <v>46226.0</v>
      </c>
      <c r="J145" s="124"/>
      <c r="K145" s="130"/>
      <c r="L145" s="129"/>
      <c r="M145" s="124"/>
      <c r="N145" s="130">
        <v>150.0</v>
      </c>
      <c r="O145" s="129">
        <v>46210.0</v>
      </c>
      <c r="P145" s="124"/>
      <c r="Q145" s="130"/>
      <c r="R145" s="129"/>
      <c r="S145" s="124"/>
      <c r="T145" s="130"/>
      <c r="U145" s="129"/>
      <c r="V145" s="124"/>
      <c r="W145" s="130">
        <v>25.0</v>
      </c>
      <c r="X145" s="129"/>
      <c r="Y145" s="124"/>
      <c r="Z145" s="130">
        <v>500.0</v>
      </c>
      <c r="AA145" s="129">
        <v>46233.0</v>
      </c>
      <c r="AB145" s="124"/>
      <c r="AC145" s="130"/>
      <c r="AD145" s="129"/>
      <c r="AE145" s="124"/>
    </row>
    <row r="146">
      <c r="A146" s="124"/>
      <c r="B146" s="130"/>
      <c r="C146" s="129"/>
      <c r="D146" s="124"/>
      <c r="E146" s="130"/>
      <c r="F146" s="129"/>
      <c r="G146" s="124"/>
      <c r="H146" s="130"/>
      <c r="I146" s="129"/>
      <c r="J146" s="124"/>
      <c r="K146" s="130"/>
      <c r="L146" s="129"/>
      <c r="M146" s="124"/>
      <c r="N146" s="130">
        <v>150.0</v>
      </c>
      <c r="O146" s="129">
        <v>46211.0</v>
      </c>
      <c r="P146" s="124"/>
      <c r="Q146" s="130"/>
      <c r="R146" s="129"/>
      <c r="S146" s="124"/>
      <c r="T146" s="130"/>
      <c r="U146" s="129"/>
      <c r="V146" s="124"/>
      <c r="W146" s="130"/>
      <c r="X146" s="129"/>
      <c r="Y146" s="124"/>
      <c r="Z146" s="130"/>
      <c r="AA146" s="129"/>
      <c r="AB146" s="124"/>
      <c r="AC146" s="130"/>
      <c r="AD146" s="129"/>
      <c r="AE146" s="124"/>
    </row>
    <row r="147">
      <c r="A147" s="124"/>
      <c r="B147" s="130"/>
      <c r="C147" s="129"/>
      <c r="D147" s="124"/>
      <c r="E147" s="130"/>
      <c r="F147" s="129"/>
      <c r="G147" s="124"/>
      <c r="H147" s="130"/>
      <c r="I147" s="129"/>
      <c r="J147" s="124"/>
      <c r="K147" s="130"/>
      <c r="L147" s="129"/>
      <c r="M147" s="124"/>
      <c r="N147" s="130">
        <v>25.0</v>
      </c>
      <c r="O147" s="129">
        <v>46223.0</v>
      </c>
      <c r="P147" s="124"/>
      <c r="Q147" s="130"/>
      <c r="R147" s="129"/>
      <c r="S147" s="124"/>
      <c r="T147" s="130"/>
      <c r="U147" s="129"/>
      <c r="V147" s="124"/>
      <c r="W147" s="130"/>
      <c r="X147" s="129"/>
      <c r="Y147" s="124"/>
      <c r="Z147" s="130"/>
      <c r="AA147" s="129"/>
      <c r="AB147" s="124"/>
      <c r="AC147" s="130"/>
      <c r="AD147" s="129"/>
      <c r="AE147" s="124"/>
    </row>
    <row r="148">
      <c r="A148" s="124"/>
      <c r="B148" s="130"/>
      <c r="C148" s="129"/>
      <c r="D148" s="124"/>
      <c r="E148" s="130"/>
      <c r="F148" s="129"/>
      <c r="G148" s="124"/>
      <c r="H148" s="130"/>
      <c r="I148" s="129"/>
      <c r="J148" s="124"/>
      <c r="K148" s="130"/>
      <c r="L148" s="129"/>
      <c r="M148" s="124"/>
      <c r="N148" s="130">
        <v>100.0</v>
      </c>
      <c r="O148" s="129">
        <v>46223.0</v>
      </c>
      <c r="P148" s="124"/>
      <c r="Q148" s="130"/>
      <c r="R148" s="129"/>
      <c r="S148" s="124"/>
      <c r="T148" s="130"/>
      <c r="U148" s="129"/>
      <c r="V148" s="124"/>
      <c r="W148" s="130"/>
      <c r="X148" s="129"/>
      <c r="Y148" s="124"/>
      <c r="Z148" s="130"/>
      <c r="AA148" s="129"/>
      <c r="AB148" s="124"/>
      <c r="AC148" s="130"/>
      <c r="AD148" s="129"/>
      <c r="AE148" s="124"/>
    </row>
    <row r="149">
      <c r="A149" s="124"/>
      <c r="B149" s="131"/>
      <c r="C149" s="132"/>
      <c r="D149" s="124"/>
      <c r="E149" s="131"/>
      <c r="F149" s="132"/>
      <c r="G149" s="124"/>
      <c r="H149" s="131"/>
      <c r="I149" s="132"/>
      <c r="J149" s="124"/>
      <c r="K149" s="131"/>
      <c r="L149" s="132"/>
      <c r="M149" s="124"/>
      <c r="N149" s="130">
        <v>60.0</v>
      </c>
      <c r="O149" s="129">
        <v>46225.0</v>
      </c>
      <c r="P149" s="124"/>
      <c r="Q149" s="131"/>
      <c r="R149" s="132"/>
      <c r="S149" s="124"/>
      <c r="T149" s="131"/>
      <c r="U149" s="132"/>
      <c r="V149" s="124"/>
      <c r="W149" s="131"/>
      <c r="X149" s="132"/>
      <c r="Y149" s="124"/>
      <c r="Z149" s="131"/>
      <c r="AA149" s="132"/>
      <c r="AB149" s="124"/>
      <c r="AC149" s="131"/>
      <c r="AD149" s="132"/>
      <c r="AE149" s="124"/>
    </row>
    <row r="150">
      <c r="A150" s="124"/>
      <c r="B150" s="131"/>
      <c r="C150" s="132"/>
      <c r="D150" s="124"/>
      <c r="E150" s="131"/>
      <c r="F150" s="132"/>
      <c r="G150" s="124"/>
      <c r="H150" s="131"/>
      <c r="I150" s="132"/>
      <c r="J150" s="124"/>
      <c r="K150" s="131"/>
      <c r="L150" s="132"/>
      <c r="M150" s="124"/>
      <c r="N150" s="130">
        <v>60.0</v>
      </c>
      <c r="O150" s="129">
        <v>46226.0</v>
      </c>
      <c r="P150" s="124"/>
      <c r="Q150" s="131"/>
      <c r="R150" s="132"/>
      <c r="S150" s="124"/>
      <c r="T150" s="131"/>
      <c r="U150" s="132"/>
      <c r="V150" s="124"/>
      <c r="W150" s="131"/>
      <c r="X150" s="132"/>
      <c r="Y150" s="124"/>
      <c r="Z150" s="131"/>
      <c r="AA150" s="132"/>
      <c r="AB150" s="124"/>
      <c r="AC150" s="131"/>
      <c r="AD150" s="132"/>
      <c r="AE150" s="124"/>
    </row>
    <row r="151">
      <c r="A151" s="124"/>
      <c r="B151" s="131"/>
      <c r="C151" s="132"/>
      <c r="D151" s="124"/>
      <c r="E151" s="131"/>
      <c r="F151" s="132"/>
      <c r="G151" s="124"/>
      <c r="H151" s="131"/>
      <c r="I151" s="132"/>
      <c r="J151" s="124"/>
      <c r="K151" s="131"/>
      <c r="L151" s="132"/>
      <c r="M151" s="124"/>
      <c r="N151" s="130">
        <v>500.0</v>
      </c>
      <c r="O151" s="129">
        <v>46226.0</v>
      </c>
      <c r="P151" s="124"/>
      <c r="Q151" s="131"/>
      <c r="R151" s="132"/>
      <c r="S151" s="124"/>
      <c r="T151" s="131"/>
      <c r="U151" s="132"/>
      <c r="V151" s="124"/>
      <c r="W151" s="131"/>
      <c r="X151" s="132"/>
      <c r="Y151" s="124"/>
      <c r="Z151" s="131"/>
      <c r="AA151" s="132"/>
      <c r="AB151" s="124"/>
      <c r="AC151" s="131"/>
      <c r="AD151" s="132"/>
      <c r="AE151" s="124"/>
    </row>
    <row r="152">
      <c r="A152" s="124"/>
      <c r="B152" s="131"/>
      <c r="C152" s="132"/>
      <c r="D152" s="124"/>
      <c r="E152" s="131"/>
      <c r="F152" s="132"/>
      <c r="G152" s="124"/>
      <c r="H152" s="131"/>
      <c r="I152" s="132"/>
      <c r="J152" s="124"/>
      <c r="K152" s="131"/>
      <c r="L152" s="132"/>
      <c r="M152" s="124"/>
      <c r="N152" s="130">
        <v>580.0</v>
      </c>
      <c r="O152" s="129">
        <v>46231.0</v>
      </c>
      <c r="P152" s="124"/>
      <c r="Q152" s="131"/>
      <c r="R152" s="132"/>
      <c r="S152" s="124"/>
      <c r="T152" s="131"/>
      <c r="U152" s="132"/>
      <c r="V152" s="124"/>
      <c r="W152" s="131"/>
      <c r="X152" s="132"/>
      <c r="Y152" s="124"/>
      <c r="Z152" s="131"/>
      <c r="AA152" s="132"/>
      <c r="AB152" s="124"/>
      <c r="AC152" s="131"/>
      <c r="AD152" s="132"/>
      <c r="AE152" s="124"/>
    </row>
    <row r="153">
      <c r="A153" s="124"/>
      <c r="B153" s="131"/>
      <c r="C153" s="132"/>
      <c r="D153" s="124"/>
      <c r="E153" s="131"/>
      <c r="F153" s="132"/>
      <c r="G153" s="124"/>
      <c r="H153" s="131"/>
      <c r="I153" s="132"/>
      <c r="J153" s="124"/>
      <c r="K153" s="131"/>
      <c r="L153" s="132"/>
      <c r="M153" s="124"/>
      <c r="N153" s="130">
        <v>300.0</v>
      </c>
      <c r="O153" s="129">
        <v>46231.0</v>
      </c>
      <c r="P153" s="124"/>
      <c r="Q153" s="131"/>
      <c r="R153" s="132"/>
      <c r="S153" s="124"/>
      <c r="T153" s="131"/>
      <c r="U153" s="132"/>
      <c r="V153" s="124"/>
      <c r="W153" s="131"/>
      <c r="X153" s="132"/>
      <c r="Y153" s="124"/>
      <c r="Z153" s="131"/>
      <c r="AA153" s="132"/>
      <c r="AB153" s="124"/>
      <c r="AC153" s="131"/>
      <c r="AD153" s="132"/>
      <c r="AE153" s="124"/>
    </row>
    <row r="154">
      <c r="A154" s="124"/>
      <c r="B154" s="131"/>
      <c r="C154" s="132"/>
      <c r="D154" s="124"/>
      <c r="E154" s="131"/>
      <c r="F154" s="132"/>
      <c r="G154" s="124"/>
      <c r="H154" s="131"/>
      <c r="I154" s="132"/>
      <c r="J154" s="124"/>
      <c r="K154" s="131"/>
      <c r="L154" s="132"/>
      <c r="M154" s="124"/>
      <c r="N154" s="130">
        <v>120.0</v>
      </c>
      <c r="O154" s="132"/>
      <c r="P154" s="124"/>
      <c r="Q154" s="131"/>
      <c r="R154" s="132"/>
      <c r="S154" s="124"/>
      <c r="T154" s="131"/>
      <c r="U154" s="132"/>
      <c r="V154" s="124"/>
      <c r="W154" s="131"/>
      <c r="X154" s="132"/>
      <c r="Y154" s="124"/>
      <c r="Z154" s="131"/>
      <c r="AA154" s="132"/>
      <c r="AB154" s="124"/>
      <c r="AC154" s="131"/>
      <c r="AD154" s="132"/>
      <c r="AE154" s="124"/>
    </row>
    <row r="155">
      <c r="A155" s="124"/>
      <c r="B155" s="131"/>
      <c r="C155" s="132"/>
      <c r="D155" s="124"/>
      <c r="E155" s="131"/>
      <c r="F155" s="132"/>
      <c r="G155" s="124"/>
      <c r="H155" s="131"/>
      <c r="I155" s="132"/>
      <c r="J155" s="124"/>
      <c r="K155" s="131"/>
      <c r="L155" s="132"/>
      <c r="M155" s="124"/>
      <c r="N155" s="131"/>
      <c r="O155" s="132"/>
      <c r="P155" s="124"/>
      <c r="Q155" s="131"/>
      <c r="R155" s="132"/>
      <c r="S155" s="124"/>
      <c r="T155" s="131"/>
      <c r="U155" s="132"/>
      <c r="V155" s="124"/>
      <c r="W155" s="131"/>
      <c r="X155" s="132"/>
      <c r="Y155" s="124"/>
      <c r="Z155" s="131"/>
      <c r="AA155" s="132"/>
      <c r="AB155" s="124"/>
      <c r="AC155" s="131"/>
      <c r="AD155" s="132"/>
      <c r="AE155" s="124"/>
    </row>
    <row r="156">
      <c r="A156" s="124"/>
      <c r="B156" s="131"/>
      <c r="C156" s="132"/>
      <c r="D156" s="124"/>
      <c r="E156" s="131"/>
      <c r="F156" s="132"/>
      <c r="G156" s="124"/>
      <c r="H156" s="131"/>
      <c r="I156" s="132"/>
      <c r="J156" s="124"/>
      <c r="K156" s="131"/>
      <c r="L156" s="132"/>
      <c r="M156" s="124"/>
      <c r="N156" s="131"/>
      <c r="O156" s="132"/>
      <c r="P156" s="124"/>
      <c r="Q156" s="131"/>
      <c r="R156" s="132"/>
      <c r="S156" s="124"/>
      <c r="T156" s="131"/>
      <c r="U156" s="132"/>
      <c r="V156" s="124"/>
      <c r="W156" s="131"/>
      <c r="X156" s="132"/>
      <c r="Y156" s="124"/>
      <c r="Z156" s="131"/>
      <c r="AA156" s="132"/>
      <c r="AB156" s="124"/>
      <c r="AC156" s="131"/>
      <c r="AD156" s="132"/>
      <c r="AE156" s="124"/>
    </row>
    <row r="157">
      <c r="A157" s="124"/>
      <c r="B157" s="131"/>
      <c r="C157" s="132"/>
      <c r="D157" s="124"/>
      <c r="E157" s="131"/>
      <c r="F157" s="132"/>
      <c r="G157" s="124"/>
      <c r="H157" s="131"/>
      <c r="I157" s="132"/>
      <c r="J157" s="124"/>
      <c r="K157" s="131"/>
      <c r="L157" s="132"/>
      <c r="M157" s="124"/>
      <c r="N157" s="131"/>
      <c r="O157" s="132"/>
      <c r="P157" s="124"/>
      <c r="Q157" s="131"/>
      <c r="R157" s="132"/>
      <c r="S157" s="124"/>
      <c r="T157" s="131"/>
      <c r="U157" s="132"/>
      <c r="V157" s="124"/>
      <c r="W157" s="131"/>
      <c r="X157" s="132"/>
      <c r="Y157" s="124"/>
      <c r="Z157" s="131"/>
      <c r="AA157" s="132"/>
      <c r="AB157" s="124"/>
      <c r="AC157" s="131"/>
      <c r="AD157" s="132"/>
      <c r="AE157" s="124"/>
    </row>
    <row r="158">
      <c r="A158" s="124"/>
      <c r="B158" s="131"/>
      <c r="C158" s="132"/>
      <c r="D158" s="124"/>
      <c r="E158" s="131"/>
      <c r="F158" s="132"/>
      <c r="G158" s="124"/>
      <c r="H158" s="131"/>
      <c r="I158" s="132"/>
      <c r="J158" s="124"/>
      <c r="K158" s="131"/>
      <c r="L158" s="132"/>
      <c r="M158" s="124"/>
      <c r="N158" s="131"/>
      <c r="O158" s="132"/>
      <c r="P158" s="124"/>
      <c r="Q158" s="131"/>
      <c r="R158" s="132"/>
      <c r="S158" s="124"/>
      <c r="T158" s="131"/>
      <c r="U158" s="132"/>
      <c r="V158" s="124"/>
      <c r="W158" s="131"/>
      <c r="X158" s="132"/>
      <c r="Y158" s="124"/>
      <c r="Z158" s="131"/>
      <c r="AA158" s="132"/>
      <c r="AB158" s="124"/>
      <c r="AC158" s="131"/>
      <c r="AD158" s="132"/>
      <c r="AE158" s="124"/>
    </row>
    <row r="159">
      <c r="A159" s="124"/>
      <c r="B159" s="131"/>
      <c r="C159" s="132"/>
      <c r="D159" s="124"/>
      <c r="E159" s="131"/>
      <c r="F159" s="132"/>
      <c r="G159" s="124"/>
      <c r="H159" s="131"/>
      <c r="I159" s="132"/>
      <c r="J159" s="124"/>
      <c r="K159" s="131"/>
      <c r="L159" s="132"/>
      <c r="M159" s="124"/>
      <c r="N159" s="131"/>
      <c r="O159" s="132"/>
      <c r="P159" s="124"/>
      <c r="Q159" s="131"/>
      <c r="R159" s="132"/>
      <c r="S159" s="124"/>
      <c r="T159" s="131"/>
      <c r="U159" s="132"/>
      <c r="V159" s="124"/>
      <c r="W159" s="131"/>
      <c r="X159" s="132"/>
      <c r="Y159" s="124"/>
      <c r="Z159" s="131"/>
      <c r="AA159" s="132"/>
      <c r="AB159" s="124"/>
      <c r="AC159" s="131"/>
      <c r="AD159" s="132"/>
      <c r="AE159" s="124"/>
    </row>
    <row r="160">
      <c r="A160" s="124"/>
      <c r="B160" s="131"/>
      <c r="C160" s="132"/>
      <c r="D160" s="124"/>
      <c r="E160" s="131"/>
      <c r="F160" s="132"/>
      <c r="G160" s="124"/>
      <c r="H160" s="131"/>
      <c r="I160" s="132"/>
      <c r="J160" s="124"/>
      <c r="K160" s="131"/>
      <c r="L160" s="132"/>
      <c r="M160" s="124"/>
      <c r="N160" s="131"/>
      <c r="O160" s="132"/>
      <c r="P160" s="124"/>
      <c r="Q160" s="131"/>
      <c r="R160" s="132"/>
      <c r="S160" s="124"/>
      <c r="T160" s="131"/>
      <c r="U160" s="132"/>
      <c r="V160" s="124"/>
      <c r="W160" s="131"/>
      <c r="X160" s="132"/>
      <c r="Y160" s="124"/>
      <c r="Z160" s="131"/>
      <c r="AA160" s="132"/>
      <c r="AB160" s="124"/>
      <c r="AC160" s="131"/>
      <c r="AD160" s="132"/>
      <c r="AE160" s="124"/>
    </row>
    <row r="161">
      <c r="A161" s="124"/>
      <c r="B161" s="131"/>
      <c r="C161" s="132"/>
      <c r="D161" s="124"/>
      <c r="E161" s="131"/>
      <c r="F161" s="132"/>
      <c r="G161" s="124"/>
      <c r="H161" s="131"/>
      <c r="I161" s="132"/>
      <c r="J161" s="124"/>
      <c r="K161" s="131"/>
      <c r="L161" s="132"/>
      <c r="M161" s="124"/>
      <c r="N161" s="131"/>
      <c r="O161" s="132"/>
      <c r="P161" s="124"/>
      <c r="Q161" s="131"/>
      <c r="R161" s="132"/>
      <c r="S161" s="124"/>
      <c r="T161" s="131"/>
      <c r="U161" s="132"/>
      <c r="V161" s="124"/>
      <c r="W161" s="131"/>
      <c r="X161" s="132"/>
      <c r="Y161" s="124"/>
      <c r="Z161" s="131"/>
      <c r="AA161" s="132"/>
      <c r="AB161" s="124"/>
      <c r="AC161" s="131"/>
      <c r="AD161" s="132"/>
      <c r="AE161" s="124"/>
    </row>
    <row r="162">
      <c r="A162" s="124"/>
      <c r="B162" s="131"/>
      <c r="C162" s="132"/>
      <c r="D162" s="124"/>
      <c r="E162" s="131"/>
      <c r="F162" s="132"/>
      <c r="G162" s="124"/>
      <c r="H162" s="131"/>
      <c r="I162" s="132"/>
      <c r="J162" s="124"/>
      <c r="K162" s="131"/>
      <c r="L162" s="132"/>
      <c r="M162" s="124"/>
      <c r="N162" s="131"/>
      <c r="O162" s="132"/>
      <c r="P162" s="124"/>
      <c r="Q162" s="131"/>
      <c r="R162" s="132"/>
      <c r="S162" s="124"/>
      <c r="T162" s="131"/>
      <c r="U162" s="132"/>
      <c r="V162" s="124"/>
      <c r="W162" s="131"/>
      <c r="X162" s="132"/>
      <c r="Y162" s="124"/>
      <c r="Z162" s="131"/>
      <c r="AA162" s="132"/>
      <c r="AB162" s="124"/>
      <c r="AC162" s="131"/>
      <c r="AD162" s="132"/>
      <c r="AE162" s="124"/>
    </row>
    <row r="163">
      <c r="A163" s="124"/>
      <c r="B163" s="131"/>
      <c r="C163" s="132"/>
      <c r="D163" s="124"/>
      <c r="E163" s="131"/>
      <c r="F163" s="132"/>
      <c r="G163" s="124"/>
      <c r="H163" s="131"/>
      <c r="I163" s="132"/>
      <c r="J163" s="124"/>
      <c r="K163" s="131"/>
      <c r="L163" s="132"/>
      <c r="M163" s="124"/>
      <c r="N163" s="131"/>
      <c r="O163" s="132"/>
      <c r="P163" s="124"/>
      <c r="Q163" s="131"/>
      <c r="R163" s="132"/>
      <c r="S163" s="124"/>
      <c r="T163" s="131"/>
      <c r="U163" s="132"/>
      <c r="V163" s="124"/>
      <c r="W163" s="131"/>
      <c r="X163" s="132"/>
      <c r="Y163" s="124"/>
      <c r="Z163" s="131"/>
      <c r="AA163" s="132"/>
      <c r="AB163" s="124"/>
      <c r="AC163" s="131"/>
      <c r="AD163" s="132"/>
      <c r="AE163" s="124"/>
    </row>
    <row r="164">
      <c r="A164" s="124"/>
      <c r="B164" s="131"/>
      <c r="C164" s="132"/>
      <c r="D164" s="124"/>
      <c r="E164" s="131"/>
      <c r="F164" s="132"/>
      <c r="G164" s="124"/>
      <c r="H164" s="131"/>
      <c r="I164" s="132"/>
      <c r="J164" s="124"/>
      <c r="K164" s="131"/>
      <c r="L164" s="132"/>
      <c r="M164" s="124"/>
      <c r="N164" s="131"/>
      <c r="O164" s="132"/>
      <c r="P164" s="124"/>
      <c r="Q164" s="131"/>
      <c r="R164" s="132"/>
      <c r="S164" s="124"/>
      <c r="T164" s="131"/>
      <c r="U164" s="132"/>
      <c r="V164" s="124"/>
      <c r="W164" s="131"/>
      <c r="X164" s="132"/>
      <c r="Y164" s="124"/>
      <c r="Z164" s="131"/>
      <c r="AA164" s="132"/>
      <c r="AB164" s="124"/>
      <c r="AC164" s="131"/>
      <c r="AD164" s="132"/>
      <c r="AE164" s="124"/>
    </row>
    <row r="165">
      <c r="A165" s="124"/>
      <c r="B165" s="134"/>
      <c r="C165" s="135"/>
      <c r="D165" s="124"/>
      <c r="E165" s="134"/>
      <c r="F165" s="135"/>
      <c r="G165" s="124"/>
      <c r="H165" s="134"/>
      <c r="I165" s="135"/>
      <c r="J165" s="124"/>
      <c r="K165" s="134"/>
      <c r="L165" s="135"/>
      <c r="M165" s="124"/>
      <c r="N165" s="134"/>
      <c r="O165" s="135"/>
      <c r="P165" s="124"/>
      <c r="Q165" s="134"/>
      <c r="R165" s="135"/>
      <c r="S165" s="124"/>
      <c r="T165" s="134"/>
      <c r="U165" s="135"/>
      <c r="V165" s="124"/>
      <c r="W165" s="134"/>
      <c r="X165" s="135"/>
      <c r="Y165" s="124"/>
      <c r="Z165" s="134"/>
      <c r="AA165" s="135"/>
      <c r="AB165" s="124"/>
      <c r="AC165" s="134"/>
      <c r="AD165" s="135"/>
      <c r="AE165" s="124"/>
    </row>
    <row r="166">
      <c r="A166" s="124"/>
      <c r="B166" s="137">
        <f>SUM(B144:B165)</f>
        <v>0</v>
      </c>
      <c r="C166" s="3"/>
      <c r="D166" s="124"/>
      <c r="E166" s="137">
        <f>SUM(E144:E165)</f>
        <v>0</v>
      </c>
      <c r="F166" s="3"/>
      <c r="G166" s="124"/>
      <c r="H166" s="137">
        <f>SUM(H144:H165)</f>
        <v>36</v>
      </c>
      <c r="I166" s="3"/>
      <c r="J166" s="124"/>
      <c r="K166" s="137">
        <f>SUM(K144:K165)</f>
        <v>0</v>
      </c>
      <c r="L166" s="3"/>
      <c r="M166" s="124"/>
      <c r="N166" s="137">
        <f>SUM(N144:N165)</f>
        <v>3045</v>
      </c>
      <c r="O166" s="3"/>
      <c r="P166" s="124"/>
      <c r="Q166" s="137">
        <f>SUM(Q144:Q165)</f>
        <v>200</v>
      </c>
      <c r="R166" s="3"/>
      <c r="S166" s="124"/>
      <c r="T166" s="137">
        <f>SUM(T144:T165)</f>
        <v>0</v>
      </c>
      <c r="U166" s="3"/>
      <c r="V166" s="124"/>
      <c r="W166" s="137">
        <f>SUM(W144:W165)</f>
        <v>50</v>
      </c>
      <c r="X166" s="3"/>
      <c r="Y166" s="124"/>
      <c r="Z166" s="137">
        <f>SUM(Z144:Z165)</f>
        <v>1000</v>
      </c>
      <c r="AA166" s="3"/>
      <c r="AB166" s="124"/>
      <c r="AC166" s="137">
        <f>SUM(AC144:AC165)</f>
        <v>0</v>
      </c>
      <c r="AD166" s="3"/>
      <c r="AE166" s="124"/>
    </row>
    <row r="167">
      <c r="A167" s="124"/>
      <c r="B167" s="139"/>
      <c r="C167" s="140"/>
      <c r="D167" s="124"/>
      <c r="E167" s="139"/>
      <c r="F167" s="140"/>
      <c r="G167" s="124"/>
      <c r="H167" s="139"/>
      <c r="I167" s="140"/>
      <c r="J167" s="124"/>
      <c r="K167" s="139"/>
      <c r="L167" s="140"/>
      <c r="M167" s="124"/>
      <c r="N167" s="139"/>
      <c r="O167" s="140"/>
      <c r="P167" s="124"/>
      <c r="Q167" s="139"/>
      <c r="R167" s="140"/>
      <c r="S167" s="124"/>
      <c r="T167" s="139"/>
      <c r="U167" s="140"/>
      <c r="V167" s="124"/>
      <c r="W167" s="139"/>
      <c r="X167" s="140"/>
      <c r="Y167" s="124"/>
      <c r="Z167" s="139"/>
      <c r="AA167" s="140"/>
      <c r="AB167" s="124"/>
      <c r="AC167" s="139"/>
      <c r="AD167" s="140"/>
      <c r="AE167" s="124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  <c r="AE168" s="141"/>
    </row>
    <row r="169">
      <c r="A169" s="117"/>
      <c r="B169" s="120" t="s">
        <v>177</v>
      </c>
      <c r="C169" s="121"/>
      <c r="D169" s="117"/>
      <c r="E169" s="120" t="s">
        <v>217</v>
      </c>
      <c r="F169" s="121"/>
      <c r="G169" s="117"/>
      <c r="H169" s="120" t="s">
        <v>222</v>
      </c>
      <c r="I169" s="121"/>
      <c r="J169" s="117"/>
      <c r="K169" s="147" t="s">
        <v>224</v>
      </c>
      <c r="L169" s="121"/>
      <c r="M169" s="117"/>
      <c r="N169" s="120" t="s">
        <v>230</v>
      </c>
      <c r="O169" s="121"/>
      <c r="P169" s="117"/>
      <c r="Q169" s="120" t="s">
        <v>232</v>
      </c>
      <c r="R169" s="121"/>
      <c r="S169" s="117"/>
      <c r="T169" s="120" t="s">
        <v>237</v>
      </c>
      <c r="U169" s="121"/>
      <c r="V169" s="117"/>
      <c r="W169" s="120" t="s">
        <v>240</v>
      </c>
      <c r="X169" s="121"/>
      <c r="Y169" s="117"/>
      <c r="Z169" s="120" t="s">
        <v>244</v>
      </c>
      <c r="AA169" s="121"/>
      <c r="AB169" s="117"/>
      <c r="AC169" s="120" t="s">
        <v>246</v>
      </c>
      <c r="AD169" s="121"/>
      <c r="AE169" s="117"/>
    </row>
    <row r="170">
      <c r="A170" s="124"/>
      <c r="B170" s="125" t="s">
        <v>279</v>
      </c>
      <c r="C170" s="126" t="s">
        <v>3</v>
      </c>
      <c r="D170" s="124"/>
      <c r="E170" s="125" t="s">
        <v>279</v>
      </c>
      <c r="F170" s="126" t="s">
        <v>3</v>
      </c>
      <c r="G170" s="124"/>
      <c r="H170" s="125" t="s">
        <v>279</v>
      </c>
      <c r="I170" s="126" t="s">
        <v>3</v>
      </c>
      <c r="J170" s="124"/>
      <c r="K170" s="125" t="s">
        <v>279</v>
      </c>
      <c r="L170" s="126" t="s">
        <v>3</v>
      </c>
      <c r="M170" s="124"/>
      <c r="N170" s="125" t="s">
        <v>279</v>
      </c>
      <c r="O170" s="126" t="s">
        <v>3</v>
      </c>
      <c r="P170" s="124"/>
      <c r="Q170" s="125" t="s">
        <v>279</v>
      </c>
      <c r="R170" s="126" t="s">
        <v>3</v>
      </c>
      <c r="S170" s="124"/>
      <c r="T170" s="125" t="s">
        <v>279</v>
      </c>
      <c r="U170" s="126" t="s">
        <v>3</v>
      </c>
      <c r="V170" s="124"/>
      <c r="W170" s="125" t="s">
        <v>279</v>
      </c>
      <c r="X170" s="126" t="s">
        <v>3</v>
      </c>
      <c r="Y170" s="124"/>
      <c r="Z170" s="125" t="s">
        <v>279</v>
      </c>
      <c r="AA170" s="126" t="s">
        <v>3</v>
      </c>
      <c r="AB170" s="124"/>
      <c r="AC170" s="125" t="s">
        <v>279</v>
      </c>
      <c r="AD170" s="126" t="s">
        <v>3</v>
      </c>
      <c r="AE170" s="124"/>
    </row>
    <row r="171">
      <c r="A171" s="124"/>
      <c r="B171" s="127"/>
      <c r="C171" s="128"/>
      <c r="D171" s="124"/>
      <c r="E171" s="127">
        <v>10.0</v>
      </c>
      <c r="F171" s="128">
        <v>46182.0</v>
      </c>
      <c r="G171" s="124"/>
      <c r="H171" s="130">
        <v>10.0</v>
      </c>
      <c r="I171" s="129">
        <v>46182.0</v>
      </c>
      <c r="J171" s="124"/>
      <c r="K171" s="127">
        <v>10.0</v>
      </c>
      <c r="L171" s="129">
        <v>46226.0</v>
      </c>
      <c r="M171" s="124"/>
      <c r="N171" s="127"/>
      <c r="O171" s="150"/>
      <c r="P171" s="124"/>
      <c r="Q171" s="127">
        <v>8.0</v>
      </c>
      <c r="R171" s="128">
        <v>46201.0</v>
      </c>
      <c r="S171" s="124"/>
      <c r="T171" s="127">
        <v>50.0</v>
      </c>
      <c r="U171" s="128">
        <v>46208.0</v>
      </c>
      <c r="V171" s="124"/>
      <c r="W171" s="127">
        <v>1.0</v>
      </c>
      <c r="X171" s="150"/>
      <c r="Y171" s="124"/>
      <c r="Z171" s="127">
        <v>1.0</v>
      </c>
      <c r="AA171" s="150" t="s">
        <v>430</v>
      </c>
      <c r="AB171" s="124"/>
      <c r="AC171" s="127">
        <v>30.0</v>
      </c>
      <c r="AD171" s="150"/>
      <c r="AE171" s="124"/>
    </row>
    <row r="172">
      <c r="A172" s="124"/>
      <c r="B172" s="130"/>
      <c r="C172" s="129"/>
      <c r="D172" s="124"/>
      <c r="E172" s="130">
        <v>-1.0</v>
      </c>
      <c r="F172" s="129">
        <v>46194.0</v>
      </c>
      <c r="G172" s="124"/>
      <c r="H172" s="130">
        <v>10.0</v>
      </c>
      <c r="I172" s="129">
        <v>46194.0</v>
      </c>
      <c r="J172" s="124"/>
      <c r="K172" s="130"/>
      <c r="L172" s="129"/>
      <c r="M172" s="124"/>
      <c r="N172" s="130"/>
      <c r="O172" s="129"/>
      <c r="P172" s="124"/>
      <c r="Q172" s="130">
        <v>40.0</v>
      </c>
      <c r="R172" s="129">
        <v>46201.0</v>
      </c>
      <c r="S172" s="124"/>
      <c r="T172" s="130">
        <v>12.0</v>
      </c>
      <c r="U172" s="129">
        <v>46216.0</v>
      </c>
      <c r="V172" s="124"/>
      <c r="W172" s="130"/>
      <c r="X172" s="129"/>
      <c r="Y172" s="124"/>
      <c r="Z172" s="130">
        <v>1.0</v>
      </c>
      <c r="AA172" s="154" t="s">
        <v>431</v>
      </c>
      <c r="AB172" s="124"/>
      <c r="AC172" s="130"/>
      <c r="AD172" s="129"/>
      <c r="AE172" s="124"/>
    </row>
    <row r="173">
      <c r="A173" s="124"/>
      <c r="B173" s="130"/>
      <c r="C173" s="129"/>
      <c r="D173" s="124"/>
      <c r="E173" s="130">
        <v>10.0</v>
      </c>
      <c r="F173" s="129">
        <v>46226.0</v>
      </c>
      <c r="G173" s="124"/>
      <c r="H173" s="130">
        <v>-1.0</v>
      </c>
      <c r="I173" s="129">
        <v>46194.0</v>
      </c>
      <c r="J173" s="124"/>
      <c r="K173" s="130"/>
      <c r="L173" s="129"/>
      <c r="M173" s="124"/>
      <c r="N173" s="130"/>
      <c r="O173" s="129"/>
      <c r="P173" s="124"/>
      <c r="Q173" s="130">
        <v>12.0</v>
      </c>
      <c r="R173" s="129">
        <v>46210.0</v>
      </c>
      <c r="S173" s="124"/>
      <c r="T173" s="130"/>
      <c r="U173" s="129"/>
      <c r="V173" s="124"/>
      <c r="W173" s="130"/>
      <c r="X173" s="129"/>
      <c r="Y173" s="124"/>
      <c r="Z173" s="130">
        <v>25.0</v>
      </c>
      <c r="AA173" s="154" t="s">
        <v>430</v>
      </c>
      <c r="AB173" s="124"/>
      <c r="AC173" s="130"/>
      <c r="AD173" s="129"/>
      <c r="AE173" s="124"/>
    </row>
    <row r="174">
      <c r="A174" s="124"/>
      <c r="B174" s="130"/>
      <c r="C174" s="129"/>
      <c r="D174" s="124"/>
      <c r="E174" s="130"/>
      <c r="F174" s="129"/>
      <c r="G174" s="124"/>
      <c r="H174" s="130">
        <v>10.0</v>
      </c>
      <c r="I174" s="129">
        <v>46201.0</v>
      </c>
      <c r="J174" s="124"/>
      <c r="K174" s="130"/>
      <c r="L174" s="129"/>
      <c r="M174" s="124"/>
      <c r="N174" s="130"/>
      <c r="O174" s="129"/>
      <c r="P174" s="124"/>
      <c r="Q174" s="130">
        <v>8.0</v>
      </c>
      <c r="R174" s="158">
        <v>46214.0</v>
      </c>
      <c r="S174" s="124"/>
      <c r="T174" s="130"/>
      <c r="U174" s="129"/>
      <c r="V174" s="124"/>
      <c r="W174" s="130"/>
      <c r="X174" s="129"/>
      <c r="Y174" s="124"/>
      <c r="Z174" s="130">
        <v>25.0</v>
      </c>
      <c r="AA174" s="154" t="s">
        <v>430</v>
      </c>
      <c r="AB174" s="124"/>
      <c r="AC174" s="130"/>
      <c r="AD174" s="129"/>
      <c r="AE174" s="124"/>
    </row>
    <row r="175">
      <c r="A175" s="124"/>
      <c r="B175" s="130"/>
      <c r="C175" s="129"/>
      <c r="D175" s="124"/>
      <c r="E175" s="130"/>
      <c r="F175" s="129"/>
      <c r="G175" s="124"/>
      <c r="H175" s="130">
        <v>10.0</v>
      </c>
      <c r="I175" s="129">
        <v>46226.0</v>
      </c>
      <c r="J175" s="124"/>
      <c r="K175" s="130"/>
      <c r="L175" s="129"/>
      <c r="M175" s="124"/>
      <c r="N175" s="130"/>
      <c r="O175" s="129"/>
      <c r="P175" s="124"/>
      <c r="Q175" s="130"/>
      <c r="R175" s="158"/>
      <c r="S175" s="124"/>
      <c r="T175" s="130"/>
      <c r="U175" s="129"/>
      <c r="V175" s="124"/>
      <c r="W175" s="130"/>
      <c r="X175" s="129"/>
      <c r="Y175" s="124"/>
      <c r="Z175" s="130"/>
      <c r="AA175" s="129"/>
      <c r="AB175" s="124"/>
      <c r="AC175" s="130"/>
      <c r="AD175" s="129"/>
      <c r="AE175" s="124"/>
    </row>
    <row r="176">
      <c r="A176" s="124"/>
      <c r="B176" s="131"/>
      <c r="C176" s="132"/>
      <c r="D176" s="124"/>
      <c r="E176" s="131"/>
      <c r="F176" s="132"/>
      <c r="G176" s="124"/>
      <c r="H176" s="131"/>
      <c r="I176" s="132"/>
      <c r="J176" s="124"/>
      <c r="K176" s="131"/>
      <c r="L176" s="132"/>
      <c r="M176" s="124"/>
      <c r="N176" s="131"/>
      <c r="O176" s="132"/>
      <c r="P176" s="124"/>
      <c r="Q176" s="131"/>
      <c r="R176" s="159"/>
      <c r="S176" s="124"/>
      <c r="T176" s="131"/>
      <c r="U176" s="132"/>
      <c r="V176" s="124"/>
      <c r="W176" s="131"/>
      <c r="X176" s="132"/>
      <c r="Y176" s="124"/>
      <c r="Z176" s="131"/>
      <c r="AA176" s="132"/>
      <c r="AB176" s="124"/>
      <c r="AC176" s="131"/>
      <c r="AD176" s="132"/>
      <c r="AE176" s="124"/>
    </row>
    <row r="177">
      <c r="A177" s="124"/>
      <c r="B177" s="131"/>
      <c r="C177" s="132"/>
      <c r="D177" s="124"/>
      <c r="E177" s="131"/>
      <c r="F177" s="132"/>
      <c r="G177" s="124"/>
      <c r="H177" s="131"/>
      <c r="I177" s="132"/>
      <c r="J177" s="124"/>
      <c r="K177" s="131"/>
      <c r="L177" s="132"/>
      <c r="M177" s="124"/>
      <c r="N177" s="131"/>
      <c r="O177" s="132"/>
      <c r="P177" s="124"/>
      <c r="Q177" s="131"/>
      <c r="R177" s="159"/>
      <c r="S177" s="124"/>
      <c r="T177" s="131"/>
      <c r="U177" s="132"/>
      <c r="V177" s="124"/>
      <c r="W177" s="131"/>
      <c r="X177" s="132"/>
      <c r="Y177" s="124"/>
      <c r="Z177" s="131"/>
      <c r="AA177" s="132"/>
      <c r="AB177" s="124"/>
      <c r="AC177" s="131"/>
      <c r="AD177" s="132"/>
      <c r="AE177" s="124"/>
    </row>
    <row r="178">
      <c r="A178" s="124"/>
      <c r="B178" s="131"/>
      <c r="C178" s="132"/>
      <c r="D178" s="124"/>
      <c r="E178" s="131"/>
      <c r="F178" s="132"/>
      <c r="G178" s="124"/>
      <c r="H178" s="131"/>
      <c r="I178" s="132"/>
      <c r="J178" s="124"/>
      <c r="K178" s="131"/>
      <c r="L178" s="132"/>
      <c r="M178" s="124"/>
      <c r="N178" s="131"/>
      <c r="O178" s="132"/>
      <c r="P178" s="124"/>
      <c r="Q178" s="131"/>
      <c r="R178" s="159"/>
      <c r="S178" s="124"/>
      <c r="T178" s="131"/>
      <c r="U178" s="132"/>
      <c r="V178" s="124"/>
      <c r="W178" s="131"/>
      <c r="X178" s="132"/>
      <c r="Y178" s="124"/>
      <c r="Z178" s="131"/>
      <c r="AA178" s="132"/>
      <c r="AB178" s="124"/>
      <c r="AC178" s="131"/>
      <c r="AD178" s="132"/>
      <c r="AE178" s="124"/>
    </row>
    <row r="179">
      <c r="A179" s="124"/>
      <c r="B179" s="131"/>
      <c r="C179" s="132"/>
      <c r="D179" s="124"/>
      <c r="E179" s="131"/>
      <c r="F179" s="132"/>
      <c r="G179" s="124"/>
      <c r="H179" s="131"/>
      <c r="I179" s="132"/>
      <c r="J179" s="124"/>
      <c r="K179" s="131"/>
      <c r="L179" s="132"/>
      <c r="M179" s="124"/>
      <c r="N179" s="131"/>
      <c r="O179" s="132"/>
      <c r="P179" s="124"/>
      <c r="Q179" s="131"/>
      <c r="R179" s="159"/>
      <c r="S179" s="124"/>
      <c r="T179" s="131"/>
      <c r="U179" s="132"/>
      <c r="V179" s="124"/>
      <c r="W179" s="131"/>
      <c r="X179" s="132"/>
      <c r="Y179" s="124"/>
      <c r="Z179" s="131"/>
      <c r="AA179" s="132"/>
      <c r="AB179" s="124"/>
      <c r="AC179" s="131"/>
      <c r="AD179" s="132"/>
      <c r="AE179" s="124"/>
    </row>
    <row r="180">
      <c r="A180" s="124"/>
      <c r="B180" s="131"/>
      <c r="C180" s="132"/>
      <c r="D180" s="124"/>
      <c r="E180" s="131"/>
      <c r="F180" s="132"/>
      <c r="G180" s="124"/>
      <c r="H180" s="131"/>
      <c r="I180" s="132"/>
      <c r="J180" s="124"/>
      <c r="K180" s="131"/>
      <c r="L180" s="132"/>
      <c r="M180" s="124"/>
      <c r="N180" s="131"/>
      <c r="O180" s="132"/>
      <c r="P180" s="124"/>
      <c r="Q180" s="131"/>
      <c r="R180" s="159"/>
      <c r="S180" s="124"/>
      <c r="T180" s="131"/>
      <c r="U180" s="132"/>
      <c r="V180" s="124"/>
      <c r="W180" s="131"/>
      <c r="X180" s="132"/>
      <c r="Y180" s="124"/>
      <c r="Z180" s="131"/>
      <c r="AA180" s="132"/>
      <c r="AB180" s="124"/>
      <c r="AC180" s="131"/>
      <c r="AD180" s="132"/>
      <c r="AE180" s="124"/>
    </row>
    <row r="181">
      <c r="A181" s="124"/>
      <c r="B181" s="131"/>
      <c r="C181" s="132"/>
      <c r="D181" s="124"/>
      <c r="E181" s="131"/>
      <c r="F181" s="132"/>
      <c r="G181" s="124"/>
      <c r="H181" s="131"/>
      <c r="I181" s="132"/>
      <c r="J181" s="124"/>
      <c r="K181" s="131"/>
      <c r="L181" s="132"/>
      <c r="M181" s="124"/>
      <c r="N181" s="131"/>
      <c r="O181" s="132"/>
      <c r="P181" s="124"/>
      <c r="Q181" s="131"/>
      <c r="R181" s="159"/>
      <c r="S181" s="124"/>
      <c r="T181" s="131"/>
      <c r="U181" s="132"/>
      <c r="V181" s="124"/>
      <c r="W181" s="131"/>
      <c r="X181" s="132"/>
      <c r="Y181" s="124"/>
      <c r="Z181" s="131"/>
      <c r="AA181" s="132"/>
      <c r="AB181" s="124"/>
      <c r="AC181" s="131"/>
      <c r="AD181" s="132"/>
      <c r="AE181" s="124"/>
    </row>
    <row r="182">
      <c r="A182" s="124"/>
      <c r="B182" s="131"/>
      <c r="C182" s="132"/>
      <c r="D182" s="124"/>
      <c r="E182" s="131"/>
      <c r="F182" s="132"/>
      <c r="G182" s="124"/>
      <c r="H182" s="131"/>
      <c r="I182" s="132"/>
      <c r="J182" s="124"/>
      <c r="K182" s="131"/>
      <c r="L182" s="132"/>
      <c r="M182" s="124"/>
      <c r="N182" s="131"/>
      <c r="O182" s="132"/>
      <c r="P182" s="124"/>
      <c r="Q182" s="131"/>
      <c r="R182" s="159"/>
      <c r="S182" s="124"/>
      <c r="T182" s="131"/>
      <c r="U182" s="132"/>
      <c r="V182" s="124"/>
      <c r="W182" s="131"/>
      <c r="X182" s="132"/>
      <c r="Y182" s="124"/>
      <c r="Z182" s="131"/>
      <c r="AA182" s="132"/>
      <c r="AB182" s="124"/>
      <c r="AC182" s="131"/>
      <c r="AD182" s="132"/>
      <c r="AE182" s="124"/>
    </row>
    <row r="183">
      <c r="A183" s="124"/>
      <c r="B183" s="131"/>
      <c r="C183" s="132"/>
      <c r="D183" s="124"/>
      <c r="E183" s="131"/>
      <c r="F183" s="132"/>
      <c r="G183" s="124"/>
      <c r="H183" s="131"/>
      <c r="I183" s="132"/>
      <c r="J183" s="124"/>
      <c r="K183" s="131"/>
      <c r="L183" s="132"/>
      <c r="M183" s="124"/>
      <c r="N183" s="131"/>
      <c r="O183" s="132"/>
      <c r="P183" s="124"/>
      <c r="Q183" s="131"/>
      <c r="R183" s="159"/>
      <c r="S183" s="124"/>
      <c r="T183" s="131"/>
      <c r="U183" s="132"/>
      <c r="V183" s="124"/>
      <c r="W183" s="131"/>
      <c r="X183" s="132"/>
      <c r="Y183" s="124"/>
      <c r="Z183" s="131"/>
      <c r="AA183" s="132"/>
      <c r="AB183" s="124"/>
      <c r="AC183" s="131"/>
      <c r="AD183" s="132"/>
      <c r="AE183" s="124"/>
    </row>
    <row r="184">
      <c r="A184" s="124"/>
      <c r="B184" s="131"/>
      <c r="C184" s="132"/>
      <c r="D184" s="124"/>
      <c r="E184" s="131"/>
      <c r="F184" s="132"/>
      <c r="G184" s="124"/>
      <c r="H184" s="131"/>
      <c r="I184" s="132"/>
      <c r="J184" s="124"/>
      <c r="K184" s="131"/>
      <c r="L184" s="132"/>
      <c r="M184" s="124"/>
      <c r="N184" s="131"/>
      <c r="O184" s="132"/>
      <c r="P184" s="124"/>
      <c r="Q184" s="131"/>
      <c r="R184" s="159"/>
      <c r="S184" s="124"/>
      <c r="T184" s="131"/>
      <c r="U184" s="132"/>
      <c r="V184" s="124"/>
      <c r="W184" s="131"/>
      <c r="X184" s="132"/>
      <c r="Y184" s="124"/>
      <c r="Z184" s="131"/>
      <c r="AA184" s="132"/>
      <c r="AB184" s="124"/>
      <c r="AC184" s="131"/>
      <c r="AD184" s="132"/>
      <c r="AE184" s="124"/>
    </row>
    <row r="185">
      <c r="A185" s="124"/>
      <c r="B185" s="131"/>
      <c r="C185" s="132"/>
      <c r="D185" s="124"/>
      <c r="E185" s="131"/>
      <c r="F185" s="132"/>
      <c r="G185" s="124"/>
      <c r="H185" s="131"/>
      <c r="I185" s="132"/>
      <c r="J185" s="124"/>
      <c r="K185" s="131"/>
      <c r="L185" s="132"/>
      <c r="M185" s="124"/>
      <c r="N185" s="131"/>
      <c r="O185" s="132"/>
      <c r="P185" s="124"/>
      <c r="Q185" s="131"/>
      <c r="R185" s="159"/>
      <c r="S185" s="124"/>
      <c r="T185" s="131"/>
      <c r="U185" s="132"/>
      <c r="V185" s="124"/>
      <c r="W185" s="131"/>
      <c r="X185" s="132"/>
      <c r="Y185" s="124"/>
      <c r="Z185" s="131"/>
      <c r="AA185" s="132"/>
      <c r="AB185" s="124"/>
      <c r="AC185" s="131"/>
      <c r="AD185" s="132"/>
      <c r="AE185" s="124"/>
    </row>
    <row r="186">
      <c r="A186" s="124"/>
      <c r="B186" s="131"/>
      <c r="C186" s="132"/>
      <c r="D186" s="124"/>
      <c r="E186" s="131"/>
      <c r="F186" s="132"/>
      <c r="G186" s="124"/>
      <c r="H186" s="131"/>
      <c r="I186" s="132"/>
      <c r="J186" s="124"/>
      <c r="K186" s="131"/>
      <c r="L186" s="132"/>
      <c r="M186" s="124"/>
      <c r="N186" s="131"/>
      <c r="O186" s="132"/>
      <c r="P186" s="124"/>
      <c r="Q186" s="131"/>
      <c r="R186" s="159"/>
      <c r="S186" s="124"/>
      <c r="T186" s="131"/>
      <c r="U186" s="132"/>
      <c r="V186" s="124"/>
      <c r="W186" s="131"/>
      <c r="X186" s="132"/>
      <c r="Y186" s="124"/>
      <c r="Z186" s="131"/>
      <c r="AA186" s="132"/>
      <c r="AB186" s="124"/>
      <c r="AC186" s="131"/>
      <c r="AD186" s="132"/>
      <c r="AE186" s="124"/>
    </row>
    <row r="187">
      <c r="A187" s="124"/>
      <c r="B187" s="131"/>
      <c r="C187" s="132"/>
      <c r="D187" s="124"/>
      <c r="E187" s="131"/>
      <c r="F187" s="132"/>
      <c r="G187" s="124"/>
      <c r="H187" s="131"/>
      <c r="I187" s="132"/>
      <c r="J187" s="124"/>
      <c r="K187" s="131"/>
      <c r="L187" s="132"/>
      <c r="M187" s="124"/>
      <c r="N187" s="131"/>
      <c r="O187" s="132"/>
      <c r="P187" s="124"/>
      <c r="Q187" s="131"/>
      <c r="R187" s="159"/>
      <c r="S187" s="124"/>
      <c r="T187" s="131"/>
      <c r="U187" s="132"/>
      <c r="V187" s="124"/>
      <c r="W187" s="131"/>
      <c r="X187" s="132"/>
      <c r="Y187" s="124"/>
      <c r="Z187" s="131"/>
      <c r="AA187" s="132"/>
      <c r="AB187" s="124"/>
      <c r="AC187" s="131"/>
      <c r="AD187" s="132"/>
      <c r="AE187" s="124"/>
    </row>
    <row r="188">
      <c r="A188" s="124"/>
      <c r="B188" s="131"/>
      <c r="C188" s="132"/>
      <c r="D188" s="124"/>
      <c r="E188" s="131"/>
      <c r="F188" s="132"/>
      <c r="G188" s="124"/>
      <c r="H188" s="131"/>
      <c r="I188" s="132"/>
      <c r="J188" s="124"/>
      <c r="K188" s="131"/>
      <c r="L188" s="132"/>
      <c r="M188" s="124"/>
      <c r="N188" s="131"/>
      <c r="O188" s="132"/>
      <c r="P188" s="124"/>
      <c r="Q188" s="131"/>
      <c r="R188" s="159"/>
      <c r="S188" s="124"/>
      <c r="T188" s="131"/>
      <c r="U188" s="132"/>
      <c r="V188" s="124"/>
      <c r="W188" s="131"/>
      <c r="X188" s="132"/>
      <c r="Y188" s="124"/>
      <c r="Z188" s="131"/>
      <c r="AA188" s="132"/>
      <c r="AB188" s="124"/>
      <c r="AC188" s="131"/>
      <c r="AD188" s="132"/>
      <c r="AE188" s="124"/>
    </row>
    <row r="189">
      <c r="A189" s="124"/>
      <c r="B189" s="131"/>
      <c r="C189" s="132"/>
      <c r="D189" s="124"/>
      <c r="E189" s="131"/>
      <c r="F189" s="132"/>
      <c r="G189" s="124"/>
      <c r="H189" s="131"/>
      <c r="I189" s="132"/>
      <c r="J189" s="124"/>
      <c r="K189" s="131"/>
      <c r="L189" s="132"/>
      <c r="M189" s="124"/>
      <c r="N189" s="131"/>
      <c r="O189" s="132"/>
      <c r="P189" s="124"/>
      <c r="Q189" s="131"/>
      <c r="R189" s="132"/>
      <c r="S189" s="124"/>
      <c r="T189" s="131"/>
      <c r="U189" s="132"/>
      <c r="V189" s="124"/>
      <c r="W189" s="131"/>
      <c r="X189" s="132"/>
      <c r="Y189" s="124"/>
      <c r="Z189" s="131"/>
      <c r="AA189" s="132"/>
      <c r="AB189" s="124"/>
      <c r="AC189" s="131"/>
      <c r="AD189" s="132"/>
      <c r="AE189" s="124"/>
    </row>
    <row r="190">
      <c r="A190" s="124"/>
      <c r="B190" s="131"/>
      <c r="C190" s="132"/>
      <c r="D190" s="124"/>
      <c r="E190" s="131"/>
      <c r="F190" s="132"/>
      <c r="G190" s="124"/>
      <c r="H190" s="131"/>
      <c r="I190" s="132"/>
      <c r="J190" s="124"/>
      <c r="K190" s="131"/>
      <c r="L190" s="132"/>
      <c r="M190" s="124"/>
      <c r="N190" s="131"/>
      <c r="O190" s="132"/>
      <c r="P190" s="124"/>
      <c r="Q190" s="131"/>
      <c r="R190" s="132"/>
      <c r="S190" s="124"/>
      <c r="T190" s="131"/>
      <c r="U190" s="132"/>
      <c r="V190" s="124"/>
      <c r="W190" s="131"/>
      <c r="X190" s="132"/>
      <c r="Y190" s="124"/>
      <c r="Z190" s="131"/>
      <c r="AA190" s="132"/>
      <c r="AB190" s="124"/>
      <c r="AC190" s="131"/>
      <c r="AD190" s="132"/>
      <c r="AE190" s="124"/>
    </row>
    <row r="191">
      <c r="A191" s="124"/>
      <c r="B191" s="131"/>
      <c r="C191" s="132"/>
      <c r="D191" s="124"/>
      <c r="E191" s="131"/>
      <c r="F191" s="132"/>
      <c r="G191" s="124"/>
      <c r="H191" s="131"/>
      <c r="I191" s="132"/>
      <c r="J191" s="124"/>
      <c r="K191" s="131"/>
      <c r="L191" s="132"/>
      <c r="M191" s="124"/>
      <c r="N191" s="131"/>
      <c r="O191" s="132"/>
      <c r="P191" s="124"/>
      <c r="Q191" s="131"/>
      <c r="R191" s="132"/>
      <c r="S191" s="124"/>
      <c r="T191" s="131"/>
      <c r="U191" s="132"/>
      <c r="V191" s="124"/>
      <c r="W191" s="131"/>
      <c r="X191" s="132"/>
      <c r="Y191" s="124"/>
      <c r="Z191" s="131"/>
      <c r="AA191" s="132"/>
      <c r="AB191" s="124"/>
      <c r="AC191" s="131"/>
      <c r="AD191" s="132"/>
      <c r="AE191" s="124"/>
    </row>
    <row r="192">
      <c r="A192" s="124"/>
      <c r="B192" s="134"/>
      <c r="C192" s="135"/>
      <c r="D192" s="124"/>
      <c r="E192" s="134"/>
      <c r="F192" s="135"/>
      <c r="G192" s="124"/>
      <c r="H192" s="134"/>
      <c r="I192" s="135"/>
      <c r="J192" s="124"/>
      <c r="K192" s="134"/>
      <c r="L192" s="135"/>
      <c r="M192" s="124"/>
      <c r="N192" s="134"/>
      <c r="O192" s="135"/>
      <c r="P192" s="124"/>
      <c r="Q192" s="134"/>
      <c r="R192" s="135"/>
      <c r="S192" s="124"/>
      <c r="T192" s="134"/>
      <c r="U192" s="135"/>
      <c r="V192" s="124"/>
      <c r="W192" s="134"/>
      <c r="X192" s="135"/>
      <c r="Y192" s="124"/>
      <c r="Z192" s="134"/>
      <c r="AA192" s="135"/>
      <c r="AB192" s="124"/>
      <c r="AC192" s="134"/>
      <c r="AD192" s="135"/>
      <c r="AE192" s="124"/>
    </row>
    <row r="193">
      <c r="A193" s="124"/>
      <c r="B193" s="137">
        <f>SUM(B171:B192)</f>
        <v>0</v>
      </c>
      <c r="C193" s="3"/>
      <c r="D193" s="124"/>
      <c r="E193" s="137">
        <f>SUM(E171:E192)</f>
        <v>19</v>
      </c>
      <c r="F193" s="3"/>
      <c r="G193" s="124"/>
      <c r="H193" s="137">
        <f>SUM(H171:H192)</f>
        <v>39</v>
      </c>
      <c r="I193" s="3"/>
      <c r="J193" s="124"/>
      <c r="K193" s="137">
        <f>SUM(K171:K192)</f>
        <v>10</v>
      </c>
      <c r="L193" s="3"/>
      <c r="M193" s="124"/>
      <c r="N193" s="137">
        <f>SUM(N171:N192)</f>
        <v>0</v>
      </c>
      <c r="O193" s="3"/>
      <c r="P193" s="124"/>
      <c r="Q193" s="137">
        <f>SUM(Q171:Q192)</f>
        <v>68</v>
      </c>
      <c r="R193" s="3"/>
      <c r="S193" s="124"/>
      <c r="T193" s="137">
        <f>SUM(T171:T192)</f>
        <v>62</v>
      </c>
      <c r="U193" s="3"/>
      <c r="V193" s="124"/>
      <c r="W193" s="137">
        <f>SUM(W171:W192)</f>
        <v>1</v>
      </c>
      <c r="X193" s="3"/>
      <c r="Y193" s="124"/>
      <c r="Z193" s="137">
        <f>SUM(Z171:Z192)</f>
        <v>52</v>
      </c>
      <c r="AA193" s="3"/>
      <c r="AB193" s="124"/>
      <c r="AC193" s="137">
        <f>SUM(AC171:AC192)</f>
        <v>30</v>
      </c>
      <c r="AD193" s="3"/>
      <c r="AE193" s="124"/>
    </row>
    <row r="194">
      <c r="A194" s="124"/>
      <c r="B194" s="139"/>
      <c r="C194" s="140"/>
      <c r="D194" s="124"/>
      <c r="E194" s="139"/>
      <c r="F194" s="140"/>
      <c r="G194" s="124"/>
      <c r="H194" s="139"/>
      <c r="I194" s="140"/>
      <c r="J194" s="124"/>
      <c r="K194" s="139"/>
      <c r="L194" s="140"/>
      <c r="M194" s="124"/>
      <c r="N194" s="139"/>
      <c r="O194" s="140"/>
      <c r="P194" s="124"/>
      <c r="Q194" s="139"/>
      <c r="R194" s="140"/>
      <c r="S194" s="124"/>
      <c r="T194" s="139"/>
      <c r="U194" s="140"/>
      <c r="V194" s="124"/>
      <c r="W194" s="139"/>
      <c r="X194" s="140"/>
      <c r="Y194" s="124"/>
      <c r="Z194" s="139"/>
      <c r="AA194" s="140"/>
      <c r="AB194" s="124"/>
      <c r="AC194" s="139"/>
      <c r="AD194" s="140"/>
      <c r="AE194" s="124"/>
    </row>
    <row r="195">
      <c r="A195" s="124"/>
      <c r="B195" s="162"/>
      <c r="C195" s="162"/>
      <c r="D195" s="124"/>
      <c r="E195" s="162"/>
      <c r="F195" s="162"/>
      <c r="G195" s="124"/>
      <c r="H195" s="162"/>
      <c r="I195" s="162"/>
      <c r="J195" s="124"/>
      <c r="K195" s="162"/>
      <c r="L195" s="162"/>
      <c r="M195" s="124"/>
      <c r="N195" s="162"/>
      <c r="O195" s="162"/>
      <c r="P195" s="124"/>
      <c r="Q195" s="162"/>
      <c r="R195" s="162"/>
      <c r="S195" s="124"/>
      <c r="T195" s="162"/>
      <c r="U195" s="162"/>
      <c r="V195" s="124"/>
      <c r="W195" s="162"/>
      <c r="X195" s="162"/>
      <c r="Y195" s="124"/>
      <c r="Z195" s="162"/>
      <c r="AA195" s="162"/>
      <c r="AB195" s="124"/>
      <c r="AC195" s="162"/>
      <c r="AD195" s="162"/>
      <c r="AE195" s="124"/>
    </row>
    <row r="196">
      <c r="A196" s="117"/>
      <c r="B196" s="120" t="s">
        <v>248</v>
      </c>
      <c r="C196" s="121"/>
      <c r="D196" s="117"/>
      <c r="E196" s="120" t="s">
        <v>251</v>
      </c>
      <c r="F196" s="121"/>
      <c r="G196" s="117"/>
      <c r="H196" s="120" t="s">
        <v>253</v>
      </c>
      <c r="I196" s="121"/>
      <c r="J196" s="117"/>
      <c r="K196" s="147"/>
      <c r="L196" s="121"/>
      <c r="M196" s="117"/>
      <c r="N196" s="120"/>
      <c r="O196" s="121"/>
      <c r="P196" s="117"/>
      <c r="Q196" s="120"/>
      <c r="R196" s="121"/>
      <c r="S196" s="117"/>
      <c r="T196" s="120"/>
      <c r="U196" s="121"/>
      <c r="V196" s="117"/>
      <c r="W196" s="120"/>
      <c r="X196" s="121"/>
      <c r="Y196" s="117"/>
      <c r="Z196" s="120"/>
      <c r="AA196" s="121"/>
      <c r="AB196" s="117"/>
      <c r="AC196" s="120"/>
      <c r="AD196" s="121"/>
      <c r="AE196" s="124"/>
    </row>
    <row r="197">
      <c r="A197" s="124"/>
      <c r="B197" s="125" t="s">
        <v>279</v>
      </c>
      <c r="C197" s="126" t="s">
        <v>3</v>
      </c>
      <c r="D197" s="124"/>
      <c r="E197" s="125" t="s">
        <v>279</v>
      </c>
      <c r="F197" s="126" t="s">
        <v>3</v>
      </c>
      <c r="G197" s="124"/>
      <c r="H197" s="125" t="s">
        <v>279</v>
      </c>
      <c r="I197" s="126" t="s">
        <v>3</v>
      </c>
      <c r="J197" s="124"/>
      <c r="K197" s="125" t="s">
        <v>279</v>
      </c>
      <c r="L197" s="126" t="s">
        <v>3</v>
      </c>
      <c r="M197" s="124"/>
      <c r="N197" s="125" t="s">
        <v>279</v>
      </c>
      <c r="O197" s="126" t="s">
        <v>3</v>
      </c>
      <c r="P197" s="124"/>
      <c r="Q197" s="125" t="s">
        <v>279</v>
      </c>
      <c r="R197" s="126" t="s">
        <v>3</v>
      </c>
      <c r="S197" s="124"/>
      <c r="T197" s="125" t="s">
        <v>279</v>
      </c>
      <c r="U197" s="126" t="s">
        <v>3</v>
      </c>
      <c r="V197" s="124"/>
      <c r="W197" s="125" t="s">
        <v>279</v>
      </c>
      <c r="X197" s="126" t="s">
        <v>3</v>
      </c>
      <c r="Y197" s="124"/>
      <c r="Z197" s="125" t="s">
        <v>279</v>
      </c>
      <c r="AA197" s="126" t="s">
        <v>3</v>
      </c>
      <c r="AB197" s="124"/>
      <c r="AC197" s="125" t="s">
        <v>279</v>
      </c>
      <c r="AD197" s="126" t="s">
        <v>3</v>
      </c>
      <c r="AE197" s="124"/>
    </row>
    <row r="198">
      <c r="A198" s="124"/>
      <c r="B198" s="127">
        <v>20.0</v>
      </c>
      <c r="C198" s="128"/>
      <c r="D198" s="124"/>
      <c r="E198" s="127">
        <v>12.0</v>
      </c>
      <c r="F198" s="128">
        <v>46216.0</v>
      </c>
      <c r="G198" s="124"/>
      <c r="H198" s="127"/>
      <c r="I198" s="128"/>
      <c r="J198" s="124"/>
      <c r="K198" s="127"/>
      <c r="L198" s="150"/>
      <c r="M198" s="124"/>
      <c r="N198" s="127"/>
      <c r="O198" s="150"/>
      <c r="P198" s="124"/>
      <c r="Q198" s="127"/>
      <c r="R198" s="128"/>
      <c r="S198" s="124"/>
      <c r="T198" s="127"/>
      <c r="U198" s="150"/>
      <c r="V198" s="124"/>
      <c r="W198" s="127"/>
      <c r="X198" s="150"/>
      <c r="Y198" s="124"/>
      <c r="Z198" s="127"/>
      <c r="AA198" s="150"/>
      <c r="AB198" s="124"/>
      <c r="AC198" s="127"/>
      <c r="AD198" s="150"/>
      <c r="AE198" s="124"/>
    </row>
    <row r="199">
      <c r="A199" s="124"/>
      <c r="B199" s="130"/>
      <c r="C199" s="129"/>
      <c r="D199" s="124"/>
      <c r="E199" s="130">
        <v>12.0</v>
      </c>
      <c r="F199" s="129">
        <v>46233.0</v>
      </c>
      <c r="G199" s="124"/>
      <c r="H199" s="130"/>
      <c r="I199" s="129"/>
      <c r="J199" s="124"/>
      <c r="K199" s="130"/>
      <c r="L199" s="129"/>
      <c r="M199" s="124"/>
      <c r="N199" s="130"/>
      <c r="O199" s="129"/>
      <c r="P199" s="124"/>
      <c r="Q199" s="130"/>
      <c r="R199" s="129"/>
      <c r="S199" s="124"/>
      <c r="T199" s="130"/>
      <c r="U199" s="129"/>
      <c r="V199" s="124"/>
      <c r="W199" s="130"/>
      <c r="X199" s="129"/>
      <c r="Y199" s="124"/>
      <c r="Z199" s="130"/>
      <c r="AA199" s="129"/>
      <c r="AB199" s="124"/>
      <c r="AC199" s="130"/>
      <c r="AD199" s="129"/>
      <c r="AE199" s="124"/>
    </row>
    <row r="200">
      <c r="A200" s="124"/>
      <c r="B200" s="130"/>
      <c r="C200" s="129"/>
      <c r="D200" s="124"/>
      <c r="E200" s="130"/>
      <c r="F200" s="129"/>
      <c r="G200" s="124"/>
      <c r="H200" s="130"/>
      <c r="I200" s="129"/>
      <c r="J200" s="124"/>
      <c r="K200" s="130"/>
      <c r="L200" s="129"/>
      <c r="M200" s="124"/>
      <c r="N200" s="130"/>
      <c r="O200" s="129"/>
      <c r="P200" s="124"/>
      <c r="Q200" s="130"/>
      <c r="R200" s="129"/>
      <c r="S200" s="124"/>
      <c r="T200" s="130"/>
      <c r="U200" s="129"/>
      <c r="V200" s="124"/>
      <c r="W200" s="130"/>
      <c r="X200" s="129"/>
      <c r="Y200" s="124"/>
      <c r="Z200" s="130"/>
      <c r="AA200" s="129"/>
      <c r="AB200" s="124"/>
      <c r="AC200" s="130"/>
      <c r="AD200" s="129"/>
      <c r="AE200" s="124"/>
    </row>
    <row r="201">
      <c r="A201" s="124"/>
      <c r="B201" s="130"/>
      <c r="C201" s="129"/>
      <c r="D201" s="124"/>
      <c r="E201" s="130"/>
      <c r="F201" s="129"/>
      <c r="G201" s="124"/>
      <c r="H201" s="130"/>
      <c r="I201" s="129"/>
      <c r="J201" s="124"/>
      <c r="K201" s="130"/>
      <c r="L201" s="129"/>
      <c r="M201" s="124"/>
      <c r="N201" s="130"/>
      <c r="O201" s="129"/>
      <c r="P201" s="124"/>
      <c r="Q201" s="130"/>
      <c r="R201" s="129"/>
      <c r="S201" s="124"/>
      <c r="T201" s="130"/>
      <c r="U201" s="129"/>
      <c r="V201" s="124"/>
      <c r="W201" s="130"/>
      <c r="X201" s="129"/>
      <c r="Y201" s="124"/>
      <c r="Z201" s="130"/>
      <c r="AA201" s="129"/>
      <c r="AB201" s="124"/>
      <c r="AC201" s="130"/>
      <c r="AD201" s="129"/>
      <c r="AE201" s="124"/>
    </row>
    <row r="202">
      <c r="A202" s="124"/>
      <c r="B202" s="130"/>
      <c r="C202" s="129"/>
      <c r="D202" s="124"/>
      <c r="E202" s="130"/>
      <c r="F202" s="129"/>
      <c r="G202" s="124"/>
      <c r="H202" s="130"/>
      <c r="I202" s="129"/>
      <c r="J202" s="124"/>
      <c r="K202" s="130"/>
      <c r="L202" s="129"/>
      <c r="M202" s="124"/>
      <c r="N202" s="130"/>
      <c r="O202" s="129"/>
      <c r="P202" s="124"/>
      <c r="Q202" s="130"/>
      <c r="R202" s="129"/>
      <c r="S202" s="124"/>
      <c r="T202" s="130"/>
      <c r="U202" s="129"/>
      <c r="V202" s="124"/>
      <c r="W202" s="130"/>
      <c r="X202" s="129"/>
      <c r="Y202" s="124"/>
      <c r="Z202" s="130"/>
      <c r="AA202" s="129"/>
      <c r="AB202" s="124"/>
      <c r="AC202" s="130"/>
      <c r="AD202" s="129"/>
      <c r="AE202" s="124"/>
    </row>
    <row r="203">
      <c r="A203" s="124"/>
      <c r="B203" s="131"/>
      <c r="C203" s="132"/>
      <c r="D203" s="124"/>
      <c r="E203" s="131"/>
      <c r="F203" s="132"/>
      <c r="G203" s="124"/>
      <c r="H203" s="131"/>
      <c r="I203" s="132"/>
      <c r="J203" s="124"/>
      <c r="K203" s="131"/>
      <c r="L203" s="132"/>
      <c r="M203" s="124"/>
      <c r="N203" s="131"/>
      <c r="O203" s="132"/>
      <c r="P203" s="124"/>
      <c r="Q203" s="131"/>
      <c r="R203" s="132"/>
      <c r="S203" s="124"/>
      <c r="T203" s="131"/>
      <c r="U203" s="132"/>
      <c r="V203" s="124"/>
      <c r="W203" s="131"/>
      <c r="X203" s="132"/>
      <c r="Y203" s="124"/>
      <c r="Z203" s="131"/>
      <c r="AA203" s="132"/>
      <c r="AB203" s="124"/>
      <c r="AC203" s="131"/>
      <c r="AD203" s="132"/>
      <c r="AE203" s="124"/>
    </row>
    <row r="204">
      <c r="A204" s="124"/>
      <c r="B204" s="131"/>
      <c r="C204" s="132"/>
      <c r="D204" s="124"/>
      <c r="E204" s="131"/>
      <c r="F204" s="132"/>
      <c r="G204" s="124"/>
      <c r="H204" s="131"/>
      <c r="I204" s="132"/>
      <c r="J204" s="124"/>
      <c r="K204" s="131"/>
      <c r="L204" s="132"/>
      <c r="M204" s="124"/>
      <c r="N204" s="131"/>
      <c r="O204" s="132"/>
      <c r="P204" s="124"/>
      <c r="Q204" s="131"/>
      <c r="R204" s="132"/>
      <c r="S204" s="124"/>
      <c r="T204" s="131"/>
      <c r="U204" s="132"/>
      <c r="V204" s="124"/>
      <c r="W204" s="131"/>
      <c r="X204" s="132"/>
      <c r="Y204" s="124"/>
      <c r="Z204" s="131"/>
      <c r="AA204" s="132"/>
      <c r="AB204" s="124"/>
      <c r="AC204" s="131"/>
      <c r="AD204" s="132"/>
      <c r="AE204" s="124"/>
    </row>
    <row r="205">
      <c r="A205" s="124"/>
      <c r="B205" s="131"/>
      <c r="C205" s="132"/>
      <c r="D205" s="124"/>
      <c r="E205" s="131"/>
      <c r="F205" s="132"/>
      <c r="G205" s="124"/>
      <c r="H205" s="131"/>
      <c r="I205" s="132"/>
      <c r="J205" s="124"/>
      <c r="K205" s="131"/>
      <c r="L205" s="132"/>
      <c r="M205" s="124"/>
      <c r="N205" s="131"/>
      <c r="O205" s="132"/>
      <c r="P205" s="124"/>
      <c r="Q205" s="131"/>
      <c r="R205" s="132"/>
      <c r="S205" s="124"/>
      <c r="T205" s="131"/>
      <c r="U205" s="132"/>
      <c r="V205" s="124"/>
      <c r="W205" s="131"/>
      <c r="X205" s="132"/>
      <c r="Y205" s="124"/>
      <c r="Z205" s="131"/>
      <c r="AA205" s="132"/>
      <c r="AB205" s="124"/>
      <c r="AC205" s="131"/>
      <c r="AD205" s="132"/>
      <c r="AE205" s="124"/>
    </row>
    <row r="206">
      <c r="A206" s="124"/>
      <c r="B206" s="131"/>
      <c r="C206" s="132"/>
      <c r="D206" s="124"/>
      <c r="E206" s="131"/>
      <c r="F206" s="132"/>
      <c r="G206" s="124"/>
      <c r="H206" s="131"/>
      <c r="I206" s="132"/>
      <c r="J206" s="124"/>
      <c r="K206" s="131"/>
      <c r="L206" s="132"/>
      <c r="M206" s="124"/>
      <c r="N206" s="131"/>
      <c r="O206" s="132"/>
      <c r="P206" s="124"/>
      <c r="Q206" s="131"/>
      <c r="R206" s="132"/>
      <c r="S206" s="124"/>
      <c r="T206" s="131"/>
      <c r="U206" s="132"/>
      <c r="V206" s="124"/>
      <c r="W206" s="131"/>
      <c r="X206" s="132"/>
      <c r="Y206" s="124"/>
      <c r="Z206" s="131"/>
      <c r="AA206" s="132"/>
      <c r="AB206" s="124"/>
      <c r="AC206" s="131"/>
      <c r="AD206" s="132"/>
      <c r="AE206" s="124"/>
    </row>
    <row r="207">
      <c r="A207" s="124"/>
      <c r="B207" s="131"/>
      <c r="C207" s="132"/>
      <c r="D207" s="124"/>
      <c r="E207" s="131"/>
      <c r="F207" s="132"/>
      <c r="G207" s="124"/>
      <c r="H207" s="131"/>
      <c r="I207" s="132"/>
      <c r="J207" s="124"/>
      <c r="K207" s="131"/>
      <c r="L207" s="132"/>
      <c r="M207" s="124"/>
      <c r="N207" s="131"/>
      <c r="O207" s="132"/>
      <c r="P207" s="124"/>
      <c r="Q207" s="131"/>
      <c r="R207" s="132"/>
      <c r="S207" s="124"/>
      <c r="T207" s="131"/>
      <c r="U207" s="132"/>
      <c r="V207" s="124"/>
      <c r="W207" s="131"/>
      <c r="X207" s="132"/>
      <c r="Y207" s="124"/>
      <c r="Z207" s="131"/>
      <c r="AA207" s="132"/>
      <c r="AB207" s="124"/>
      <c r="AC207" s="131"/>
      <c r="AD207" s="132"/>
      <c r="AE207" s="124"/>
    </row>
    <row r="208">
      <c r="A208" s="124"/>
      <c r="B208" s="131"/>
      <c r="C208" s="132"/>
      <c r="D208" s="124"/>
      <c r="E208" s="131"/>
      <c r="F208" s="132"/>
      <c r="G208" s="124"/>
      <c r="H208" s="131"/>
      <c r="I208" s="132"/>
      <c r="J208" s="124"/>
      <c r="K208" s="131"/>
      <c r="L208" s="132"/>
      <c r="M208" s="124"/>
      <c r="N208" s="131"/>
      <c r="O208" s="132"/>
      <c r="P208" s="124"/>
      <c r="Q208" s="131"/>
      <c r="R208" s="132"/>
      <c r="S208" s="124"/>
      <c r="T208" s="131"/>
      <c r="U208" s="132"/>
      <c r="V208" s="124"/>
      <c r="W208" s="131"/>
      <c r="X208" s="132"/>
      <c r="Y208" s="124"/>
      <c r="Z208" s="131"/>
      <c r="AA208" s="132"/>
      <c r="AB208" s="124"/>
      <c r="AC208" s="131"/>
      <c r="AD208" s="132"/>
      <c r="AE208" s="124"/>
    </row>
    <row r="209">
      <c r="A209" s="124"/>
      <c r="B209" s="131"/>
      <c r="C209" s="132"/>
      <c r="D209" s="124"/>
      <c r="E209" s="131"/>
      <c r="F209" s="132"/>
      <c r="G209" s="124"/>
      <c r="H209" s="131"/>
      <c r="I209" s="132"/>
      <c r="J209" s="124"/>
      <c r="K209" s="131"/>
      <c r="L209" s="132"/>
      <c r="M209" s="124"/>
      <c r="N209" s="131"/>
      <c r="O209" s="132"/>
      <c r="P209" s="124"/>
      <c r="Q209" s="131"/>
      <c r="R209" s="132"/>
      <c r="S209" s="124"/>
      <c r="T209" s="131"/>
      <c r="U209" s="132"/>
      <c r="V209" s="124"/>
      <c r="W209" s="131"/>
      <c r="X209" s="132"/>
      <c r="Y209" s="124"/>
      <c r="Z209" s="131"/>
      <c r="AA209" s="132"/>
      <c r="AB209" s="124"/>
      <c r="AC209" s="131"/>
      <c r="AD209" s="132"/>
      <c r="AE209" s="124"/>
    </row>
    <row r="210">
      <c r="A210" s="124"/>
      <c r="B210" s="131"/>
      <c r="C210" s="132"/>
      <c r="D210" s="124"/>
      <c r="E210" s="131"/>
      <c r="F210" s="132"/>
      <c r="G210" s="124"/>
      <c r="H210" s="131"/>
      <c r="I210" s="132"/>
      <c r="J210" s="124"/>
      <c r="K210" s="131"/>
      <c r="L210" s="132"/>
      <c r="M210" s="124"/>
      <c r="N210" s="131"/>
      <c r="O210" s="132"/>
      <c r="P210" s="124"/>
      <c r="Q210" s="131"/>
      <c r="R210" s="132"/>
      <c r="S210" s="124"/>
      <c r="T210" s="131"/>
      <c r="U210" s="132"/>
      <c r="V210" s="124"/>
      <c r="W210" s="131"/>
      <c r="X210" s="132"/>
      <c r="Y210" s="124"/>
      <c r="Z210" s="131"/>
      <c r="AA210" s="132"/>
      <c r="AB210" s="124"/>
      <c r="AC210" s="131"/>
      <c r="AD210" s="132"/>
      <c r="AE210" s="124"/>
    </row>
    <row r="211">
      <c r="A211" s="124"/>
      <c r="B211" s="131"/>
      <c r="C211" s="132"/>
      <c r="D211" s="124"/>
      <c r="E211" s="131"/>
      <c r="F211" s="132"/>
      <c r="G211" s="124"/>
      <c r="H211" s="131"/>
      <c r="I211" s="132"/>
      <c r="J211" s="124"/>
      <c r="K211" s="131"/>
      <c r="L211" s="132"/>
      <c r="M211" s="124"/>
      <c r="N211" s="131"/>
      <c r="O211" s="132"/>
      <c r="P211" s="124"/>
      <c r="Q211" s="131"/>
      <c r="R211" s="132"/>
      <c r="S211" s="124"/>
      <c r="T211" s="131"/>
      <c r="U211" s="132"/>
      <c r="V211" s="124"/>
      <c r="W211" s="131"/>
      <c r="X211" s="132"/>
      <c r="Y211" s="124"/>
      <c r="Z211" s="131"/>
      <c r="AA211" s="132"/>
      <c r="AB211" s="124"/>
      <c r="AC211" s="131"/>
      <c r="AD211" s="132"/>
      <c r="AE211" s="124"/>
    </row>
    <row r="212">
      <c r="A212" s="124"/>
      <c r="B212" s="131"/>
      <c r="C212" s="132"/>
      <c r="D212" s="124"/>
      <c r="E212" s="131"/>
      <c r="F212" s="132"/>
      <c r="G212" s="124"/>
      <c r="H212" s="131"/>
      <c r="I212" s="132"/>
      <c r="J212" s="124"/>
      <c r="K212" s="131"/>
      <c r="L212" s="132"/>
      <c r="M212" s="124"/>
      <c r="N212" s="131"/>
      <c r="O212" s="132"/>
      <c r="P212" s="124"/>
      <c r="Q212" s="131"/>
      <c r="R212" s="132"/>
      <c r="S212" s="124"/>
      <c r="T212" s="131"/>
      <c r="U212" s="132"/>
      <c r="V212" s="124"/>
      <c r="W212" s="131"/>
      <c r="X212" s="132"/>
      <c r="Y212" s="124"/>
      <c r="Z212" s="131"/>
      <c r="AA212" s="132"/>
      <c r="AB212" s="124"/>
      <c r="AC212" s="131"/>
      <c r="AD212" s="132"/>
      <c r="AE212" s="124"/>
    </row>
    <row r="213">
      <c r="A213" s="124"/>
      <c r="B213" s="131"/>
      <c r="C213" s="132"/>
      <c r="D213" s="124"/>
      <c r="E213" s="131"/>
      <c r="F213" s="132"/>
      <c r="G213" s="124"/>
      <c r="H213" s="131"/>
      <c r="I213" s="132"/>
      <c r="J213" s="124"/>
      <c r="K213" s="131"/>
      <c r="L213" s="132"/>
      <c r="M213" s="124"/>
      <c r="N213" s="131"/>
      <c r="O213" s="132"/>
      <c r="P213" s="124"/>
      <c r="Q213" s="131"/>
      <c r="R213" s="132"/>
      <c r="S213" s="124"/>
      <c r="T213" s="131"/>
      <c r="U213" s="132"/>
      <c r="V213" s="124"/>
      <c r="W213" s="131"/>
      <c r="X213" s="132"/>
      <c r="Y213" s="124"/>
      <c r="Z213" s="131"/>
      <c r="AA213" s="132"/>
      <c r="AB213" s="124"/>
      <c r="AC213" s="131"/>
      <c r="AD213" s="132"/>
      <c r="AE213" s="124"/>
    </row>
    <row r="214">
      <c r="A214" s="124"/>
      <c r="B214" s="131"/>
      <c r="C214" s="132"/>
      <c r="D214" s="124"/>
      <c r="E214" s="131"/>
      <c r="F214" s="132"/>
      <c r="G214" s="124"/>
      <c r="H214" s="131"/>
      <c r="I214" s="132"/>
      <c r="J214" s="124"/>
      <c r="K214" s="131"/>
      <c r="L214" s="132"/>
      <c r="M214" s="124"/>
      <c r="N214" s="131"/>
      <c r="O214" s="132"/>
      <c r="P214" s="124"/>
      <c r="Q214" s="131"/>
      <c r="R214" s="132"/>
      <c r="S214" s="124"/>
      <c r="T214" s="131"/>
      <c r="U214" s="132"/>
      <c r="V214" s="124"/>
      <c r="W214" s="131"/>
      <c r="X214" s="132"/>
      <c r="Y214" s="124"/>
      <c r="Z214" s="131"/>
      <c r="AA214" s="132"/>
      <c r="AB214" s="124"/>
      <c r="AC214" s="131"/>
      <c r="AD214" s="132"/>
      <c r="AE214" s="124"/>
    </row>
    <row r="215">
      <c r="A215" s="124"/>
      <c r="B215" s="131"/>
      <c r="C215" s="132"/>
      <c r="D215" s="124"/>
      <c r="E215" s="131"/>
      <c r="F215" s="132"/>
      <c r="G215" s="124"/>
      <c r="H215" s="131"/>
      <c r="I215" s="132"/>
      <c r="J215" s="124"/>
      <c r="K215" s="131"/>
      <c r="L215" s="132"/>
      <c r="M215" s="124"/>
      <c r="N215" s="131"/>
      <c r="O215" s="132"/>
      <c r="P215" s="124"/>
      <c r="Q215" s="131"/>
      <c r="R215" s="132"/>
      <c r="S215" s="124"/>
      <c r="T215" s="131"/>
      <c r="U215" s="132"/>
      <c r="V215" s="124"/>
      <c r="W215" s="131"/>
      <c r="X215" s="132"/>
      <c r="Y215" s="124"/>
      <c r="Z215" s="131"/>
      <c r="AA215" s="132"/>
      <c r="AB215" s="124"/>
      <c r="AC215" s="131"/>
      <c r="AD215" s="132"/>
      <c r="AE215" s="124"/>
    </row>
    <row r="216">
      <c r="A216" s="124"/>
      <c r="B216" s="131"/>
      <c r="C216" s="132"/>
      <c r="D216" s="124"/>
      <c r="E216" s="131"/>
      <c r="F216" s="132"/>
      <c r="G216" s="124"/>
      <c r="H216" s="131"/>
      <c r="I216" s="132"/>
      <c r="J216" s="124"/>
      <c r="K216" s="131"/>
      <c r="L216" s="132"/>
      <c r="M216" s="124"/>
      <c r="N216" s="131"/>
      <c r="O216" s="132"/>
      <c r="P216" s="124"/>
      <c r="Q216" s="131"/>
      <c r="R216" s="132"/>
      <c r="S216" s="124"/>
      <c r="T216" s="131"/>
      <c r="U216" s="132"/>
      <c r="V216" s="124"/>
      <c r="W216" s="131"/>
      <c r="X216" s="132"/>
      <c r="Y216" s="124"/>
      <c r="Z216" s="131"/>
      <c r="AA216" s="132"/>
      <c r="AB216" s="124"/>
      <c r="AC216" s="131"/>
      <c r="AD216" s="132"/>
      <c r="AE216" s="124"/>
    </row>
    <row r="217">
      <c r="A217" s="124"/>
      <c r="B217" s="131"/>
      <c r="C217" s="132"/>
      <c r="D217" s="124"/>
      <c r="E217" s="131"/>
      <c r="F217" s="132"/>
      <c r="G217" s="124"/>
      <c r="H217" s="131"/>
      <c r="I217" s="132"/>
      <c r="J217" s="124"/>
      <c r="K217" s="131"/>
      <c r="L217" s="132"/>
      <c r="M217" s="124"/>
      <c r="N217" s="131"/>
      <c r="O217" s="132"/>
      <c r="P217" s="124"/>
      <c r="Q217" s="131"/>
      <c r="R217" s="132"/>
      <c r="S217" s="124"/>
      <c r="T217" s="131"/>
      <c r="U217" s="132"/>
      <c r="V217" s="124"/>
      <c r="W217" s="131"/>
      <c r="X217" s="132"/>
      <c r="Y217" s="124"/>
      <c r="Z217" s="131"/>
      <c r="AA217" s="132"/>
      <c r="AB217" s="124"/>
      <c r="AC217" s="131"/>
      <c r="AD217" s="132"/>
      <c r="AE217" s="124"/>
    </row>
    <row r="218">
      <c r="A218" s="124"/>
      <c r="B218" s="131"/>
      <c r="C218" s="132"/>
      <c r="D218" s="124"/>
      <c r="E218" s="131"/>
      <c r="F218" s="132"/>
      <c r="G218" s="124"/>
      <c r="H218" s="131"/>
      <c r="I218" s="132"/>
      <c r="J218" s="124"/>
      <c r="K218" s="131"/>
      <c r="L218" s="132"/>
      <c r="M218" s="124"/>
      <c r="N218" s="131"/>
      <c r="O218" s="132"/>
      <c r="P218" s="124"/>
      <c r="Q218" s="131"/>
      <c r="R218" s="132"/>
      <c r="S218" s="124"/>
      <c r="T218" s="131"/>
      <c r="U218" s="132"/>
      <c r="V218" s="124"/>
      <c r="W218" s="131"/>
      <c r="X218" s="132"/>
      <c r="Y218" s="124"/>
      <c r="Z218" s="131"/>
      <c r="AA218" s="132"/>
      <c r="AB218" s="124"/>
      <c r="AC218" s="131"/>
      <c r="AD218" s="132"/>
      <c r="AE218" s="124"/>
    </row>
    <row r="219">
      <c r="A219" s="124"/>
      <c r="B219" s="134"/>
      <c r="C219" s="135"/>
      <c r="D219" s="124"/>
      <c r="E219" s="134"/>
      <c r="F219" s="135"/>
      <c r="G219" s="124"/>
      <c r="H219" s="134"/>
      <c r="I219" s="135"/>
      <c r="J219" s="124"/>
      <c r="K219" s="134"/>
      <c r="L219" s="135"/>
      <c r="M219" s="124"/>
      <c r="N219" s="134"/>
      <c r="O219" s="135"/>
      <c r="P219" s="124"/>
      <c r="Q219" s="134"/>
      <c r="R219" s="135"/>
      <c r="S219" s="124"/>
      <c r="T219" s="134"/>
      <c r="U219" s="135"/>
      <c r="V219" s="124"/>
      <c r="W219" s="134"/>
      <c r="X219" s="135"/>
      <c r="Y219" s="124"/>
      <c r="Z219" s="134"/>
      <c r="AA219" s="135"/>
      <c r="AB219" s="124"/>
      <c r="AC219" s="134"/>
      <c r="AD219" s="135"/>
      <c r="AE219" s="124"/>
    </row>
    <row r="220">
      <c r="A220" s="124"/>
      <c r="B220" s="137">
        <f>SUM(B198:B219)</f>
        <v>20</v>
      </c>
      <c r="C220" s="3"/>
      <c r="D220" s="124"/>
      <c r="E220" s="137">
        <f>SUM(E198:E219)</f>
        <v>24</v>
      </c>
      <c r="F220" s="3"/>
      <c r="G220" s="124"/>
      <c r="H220" s="137">
        <f>SUM(H198:H219)</f>
        <v>0</v>
      </c>
      <c r="I220" s="3"/>
      <c r="J220" s="124"/>
      <c r="K220" s="137">
        <f>SUM(K198:K219)</f>
        <v>0</v>
      </c>
      <c r="L220" s="3"/>
      <c r="M220" s="124"/>
      <c r="N220" s="137">
        <f>SUM(N198:N219)</f>
        <v>0</v>
      </c>
      <c r="O220" s="3"/>
      <c r="P220" s="124"/>
      <c r="Q220" s="137">
        <f>SUM(Q198:Q219)</f>
        <v>0</v>
      </c>
      <c r="R220" s="3"/>
      <c r="S220" s="124"/>
      <c r="T220" s="137">
        <f>SUM(T198:T219)</f>
        <v>0</v>
      </c>
      <c r="U220" s="3"/>
      <c r="V220" s="124"/>
      <c r="W220" s="137">
        <f>SUM(W198:W219)</f>
        <v>0</v>
      </c>
      <c r="X220" s="3"/>
      <c r="Y220" s="124"/>
      <c r="Z220" s="137">
        <f>SUM(Z198:Z219)</f>
        <v>0</v>
      </c>
      <c r="AA220" s="3"/>
      <c r="AB220" s="124"/>
      <c r="AC220" s="137">
        <f>SUM(AC198:AC219)</f>
        <v>0</v>
      </c>
      <c r="AD220" s="3"/>
      <c r="AE220" s="124"/>
    </row>
    <row r="221">
      <c r="A221" s="124"/>
      <c r="B221" s="139"/>
      <c r="C221" s="140"/>
      <c r="D221" s="124"/>
      <c r="E221" s="139"/>
      <c r="F221" s="140"/>
      <c r="G221" s="124"/>
      <c r="H221" s="139"/>
      <c r="I221" s="140"/>
      <c r="J221" s="124"/>
      <c r="K221" s="139"/>
      <c r="L221" s="140"/>
      <c r="M221" s="124"/>
      <c r="N221" s="139"/>
      <c r="O221" s="140"/>
      <c r="P221" s="124"/>
      <c r="Q221" s="139"/>
      <c r="R221" s="140"/>
      <c r="S221" s="124"/>
      <c r="T221" s="139"/>
      <c r="U221" s="140"/>
      <c r="V221" s="124"/>
      <c r="W221" s="139"/>
      <c r="X221" s="140"/>
      <c r="Y221" s="124"/>
      <c r="Z221" s="139"/>
      <c r="AA221" s="140"/>
      <c r="AB221" s="124"/>
      <c r="AC221" s="139"/>
      <c r="AD221" s="140"/>
      <c r="AE221" s="124"/>
    </row>
    <row r="222">
      <c r="A222" s="124"/>
      <c r="B222" s="162"/>
      <c r="C222" s="162"/>
      <c r="D222" s="124"/>
      <c r="E222" s="162"/>
      <c r="F222" s="162"/>
      <c r="G222" s="124"/>
      <c r="H222" s="162"/>
      <c r="I222" s="162"/>
      <c r="J222" s="124"/>
      <c r="K222" s="162"/>
      <c r="L222" s="162"/>
      <c r="M222" s="124"/>
      <c r="N222" s="162"/>
      <c r="O222" s="162"/>
      <c r="P222" s="124"/>
      <c r="Q222" s="162"/>
      <c r="R222" s="162"/>
      <c r="S222" s="124"/>
      <c r="T222" s="162"/>
      <c r="U222" s="162"/>
      <c r="V222" s="124"/>
      <c r="W222" s="162"/>
      <c r="X222" s="162"/>
      <c r="Y222" s="124"/>
      <c r="Z222" s="162"/>
      <c r="AA222" s="162"/>
      <c r="AB222" s="124"/>
      <c r="AC222" s="162"/>
      <c r="AD222" s="162"/>
      <c r="AE222" s="124"/>
    </row>
    <row r="223">
      <c r="A223" s="124"/>
      <c r="B223" s="162"/>
      <c r="C223" s="162"/>
      <c r="D223" s="124"/>
      <c r="E223" s="162"/>
      <c r="F223" s="162"/>
      <c r="G223" s="124"/>
      <c r="H223" s="162"/>
      <c r="I223" s="162"/>
      <c r="J223" s="124"/>
      <c r="K223" s="162"/>
      <c r="L223" s="162"/>
      <c r="M223" s="124"/>
      <c r="N223" s="162"/>
      <c r="O223" s="162"/>
      <c r="P223" s="124"/>
      <c r="Q223" s="162"/>
      <c r="R223" s="162"/>
      <c r="S223" s="124"/>
      <c r="T223" s="162"/>
      <c r="U223" s="162"/>
      <c r="V223" s="124"/>
      <c r="W223" s="162"/>
      <c r="X223" s="162"/>
      <c r="Y223" s="124"/>
      <c r="Z223" s="162"/>
      <c r="AA223" s="162"/>
      <c r="AB223" s="124"/>
      <c r="AC223" s="162"/>
      <c r="AD223" s="162"/>
      <c r="AE223" s="124"/>
    </row>
    <row r="224">
      <c r="A224" s="124"/>
      <c r="B224" s="162"/>
      <c r="C224" s="162"/>
      <c r="D224" s="124"/>
      <c r="E224" s="162"/>
      <c r="F224" s="162"/>
      <c r="G224" s="124"/>
      <c r="H224" s="162"/>
      <c r="I224" s="162"/>
      <c r="J224" s="124"/>
      <c r="K224" s="162"/>
      <c r="L224" s="162"/>
      <c r="M224" s="124"/>
      <c r="N224" s="162"/>
      <c r="O224" s="162"/>
      <c r="P224" s="124"/>
      <c r="Q224" s="162"/>
      <c r="R224" s="162"/>
      <c r="S224" s="124"/>
      <c r="T224" s="162"/>
      <c r="U224" s="162"/>
      <c r="V224" s="124"/>
      <c r="W224" s="162"/>
      <c r="X224" s="162"/>
      <c r="Y224" s="124"/>
      <c r="Z224" s="162"/>
      <c r="AA224" s="162"/>
      <c r="AB224" s="124"/>
      <c r="AC224" s="162"/>
      <c r="AD224" s="162"/>
      <c r="AE224" s="124"/>
    </row>
  </sheetData>
  <mergeCells count="160">
    <mergeCell ref="W139:X140"/>
    <mergeCell ref="Z139:AA140"/>
    <mergeCell ref="AC139:AD140"/>
    <mergeCell ref="B139:C140"/>
    <mergeCell ref="E139:F140"/>
    <mergeCell ref="H139:I140"/>
    <mergeCell ref="K139:L140"/>
    <mergeCell ref="N139:O140"/>
    <mergeCell ref="Q139:R140"/>
    <mergeCell ref="T139:U140"/>
    <mergeCell ref="W166:X167"/>
    <mergeCell ref="Z166:AA167"/>
    <mergeCell ref="AC166:AD167"/>
    <mergeCell ref="B166:C167"/>
    <mergeCell ref="E166:F167"/>
    <mergeCell ref="H166:I167"/>
    <mergeCell ref="K166:L167"/>
    <mergeCell ref="N166:O167"/>
    <mergeCell ref="Q166:R167"/>
    <mergeCell ref="T166:U167"/>
    <mergeCell ref="W169:X169"/>
    <mergeCell ref="Z169:AA169"/>
    <mergeCell ref="AC169:AD169"/>
    <mergeCell ref="B169:C169"/>
    <mergeCell ref="E169:F169"/>
    <mergeCell ref="H169:I169"/>
    <mergeCell ref="K169:L169"/>
    <mergeCell ref="N169:O169"/>
    <mergeCell ref="Q169:R169"/>
    <mergeCell ref="T169:U169"/>
    <mergeCell ref="W193:X194"/>
    <mergeCell ref="Z193:AA194"/>
    <mergeCell ref="AC193:AD194"/>
    <mergeCell ref="B193:C194"/>
    <mergeCell ref="E193:F194"/>
    <mergeCell ref="H193:I194"/>
    <mergeCell ref="K193:L194"/>
    <mergeCell ref="N193:O194"/>
    <mergeCell ref="Q193:R194"/>
    <mergeCell ref="T193:U194"/>
    <mergeCell ref="W196:X196"/>
    <mergeCell ref="Z196:AA196"/>
    <mergeCell ref="AC196:AD196"/>
    <mergeCell ref="B196:C196"/>
    <mergeCell ref="E196:F196"/>
    <mergeCell ref="H196:I196"/>
    <mergeCell ref="K196:L196"/>
    <mergeCell ref="N196:O196"/>
    <mergeCell ref="Q196:R196"/>
    <mergeCell ref="T196:U196"/>
    <mergeCell ref="W2:X2"/>
    <mergeCell ref="Z2:AA2"/>
    <mergeCell ref="AC2:AD2"/>
    <mergeCell ref="B2:C2"/>
    <mergeCell ref="E2:F2"/>
    <mergeCell ref="H2:I2"/>
    <mergeCell ref="K2:L2"/>
    <mergeCell ref="N2:O2"/>
    <mergeCell ref="Q2:R2"/>
    <mergeCell ref="T2:U2"/>
    <mergeCell ref="W26:X27"/>
    <mergeCell ref="Z26:AA27"/>
    <mergeCell ref="AC26:AD27"/>
    <mergeCell ref="B26:C27"/>
    <mergeCell ref="E26:F27"/>
    <mergeCell ref="H26:I27"/>
    <mergeCell ref="K26:L27"/>
    <mergeCell ref="N26:O27"/>
    <mergeCell ref="Q26:R27"/>
    <mergeCell ref="T26:U27"/>
    <mergeCell ref="W29:X29"/>
    <mergeCell ref="Z29:AA29"/>
    <mergeCell ref="AC29:AD29"/>
    <mergeCell ref="B29:C29"/>
    <mergeCell ref="E29:F29"/>
    <mergeCell ref="H29:I29"/>
    <mergeCell ref="K29:L29"/>
    <mergeCell ref="N29:O29"/>
    <mergeCell ref="Q29:R29"/>
    <mergeCell ref="T29:U29"/>
    <mergeCell ref="W220:X221"/>
    <mergeCell ref="Z220:AA221"/>
    <mergeCell ref="AC220:AD221"/>
    <mergeCell ref="B220:C221"/>
    <mergeCell ref="E220:F221"/>
    <mergeCell ref="H220:I221"/>
    <mergeCell ref="K220:L221"/>
    <mergeCell ref="N220:O221"/>
    <mergeCell ref="Q220:R221"/>
    <mergeCell ref="T220:U221"/>
    <mergeCell ref="W54:X55"/>
    <mergeCell ref="Z54:AA55"/>
    <mergeCell ref="AC54:AD55"/>
    <mergeCell ref="B54:C55"/>
    <mergeCell ref="E54:F55"/>
    <mergeCell ref="H54:I55"/>
    <mergeCell ref="K54:L55"/>
    <mergeCell ref="N54:O55"/>
    <mergeCell ref="Q54:R55"/>
    <mergeCell ref="T54:U55"/>
    <mergeCell ref="W57:X57"/>
    <mergeCell ref="Z57:AA57"/>
    <mergeCell ref="AC57:AD57"/>
    <mergeCell ref="B57:C57"/>
    <mergeCell ref="E57:F57"/>
    <mergeCell ref="H57:I57"/>
    <mergeCell ref="K57:L57"/>
    <mergeCell ref="N57:O57"/>
    <mergeCell ref="Q57:R57"/>
    <mergeCell ref="T57:U57"/>
    <mergeCell ref="W82:X83"/>
    <mergeCell ref="Z82:AA83"/>
    <mergeCell ref="AC82:AD83"/>
    <mergeCell ref="B82:C83"/>
    <mergeCell ref="E82:F83"/>
    <mergeCell ref="H82:I83"/>
    <mergeCell ref="K82:L83"/>
    <mergeCell ref="N82:O83"/>
    <mergeCell ref="Q82:R83"/>
    <mergeCell ref="T82:U83"/>
    <mergeCell ref="W85:X85"/>
    <mergeCell ref="Z85:AA85"/>
    <mergeCell ref="AC85:AD85"/>
    <mergeCell ref="B85:C85"/>
    <mergeCell ref="E85:F85"/>
    <mergeCell ref="H85:I85"/>
    <mergeCell ref="K85:L85"/>
    <mergeCell ref="N85:O85"/>
    <mergeCell ref="Q85:R85"/>
    <mergeCell ref="T85:U85"/>
    <mergeCell ref="W112:X113"/>
    <mergeCell ref="Z112:AA113"/>
    <mergeCell ref="AC112:AD113"/>
    <mergeCell ref="B112:C113"/>
    <mergeCell ref="E112:F113"/>
    <mergeCell ref="H112:I113"/>
    <mergeCell ref="K112:L113"/>
    <mergeCell ref="N112:O113"/>
    <mergeCell ref="Q112:R113"/>
    <mergeCell ref="T112:U113"/>
    <mergeCell ref="W115:X115"/>
    <mergeCell ref="Z115:AA115"/>
    <mergeCell ref="AC115:AD115"/>
    <mergeCell ref="B115:C115"/>
    <mergeCell ref="E115:F115"/>
    <mergeCell ref="H115:I115"/>
    <mergeCell ref="K115:L115"/>
    <mergeCell ref="N115:O115"/>
    <mergeCell ref="Q115:R115"/>
    <mergeCell ref="T115:U115"/>
    <mergeCell ref="W142:X142"/>
    <mergeCell ref="Z142:AA142"/>
    <mergeCell ref="AC142:AD142"/>
    <mergeCell ref="B142:C142"/>
    <mergeCell ref="E142:F142"/>
    <mergeCell ref="H142:I142"/>
    <mergeCell ref="K142:L142"/>
    <mergeCell ref="N142:O142"/>
    <mergeCell ref="Q142:R142"/>
    <mergeCell ref="T142:U142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2.38"/>
    <col customWidth="1" min="3" max="3" width="15.38"/>
    <col customWidth="1" min="4" max="4" width="17.63"/>
    <col customWidth="1" min="5" max="5" width="20.0"/>
    <col customWidth="1" min="6" max="6" width="17.88"/>
    <col customWidth="1" min="7" max="11" width="18.25"/>
    <col customWidth="1" min="12" max="12" width="14.75"/>
    <col customWidth="1" min="13" max="13" width="13.25"/>
  </cols>
  <sheetData>
    <row r="1" hidden="1">
      <c r="A1" s="165"/>
      <c r="B1" s="166"/>
      <c r="C1" s="166"/>
      <c r="D1" s="166"/>
      <c r="E1" s="166"/>
      <c r="F1" s="166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>
      <c r="A2" s="165"/>
      <c r="B2" s="166"/>
      <c r="C2" s="166"/>
      <c r="D2" s="166"/>
      <c r="E2" s="166"/>
      <c r="F2" s="166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idden="1">
      <c r="A3" s="165"/>
      <c r="B3" s="166"/>
      <c r="C3" s="166"/>
      <c r="D3" s="166"/>
      <c r="E3" s="166"/>
      <c r="F3" s="16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hidden="1" customHeight="1">
      <c r="A4" s="167" t="s">
        <v>471</v>
      </c>
      <c r="B4" s="167" t="s">
        <v>473</v>
      </c>
      <c r="C4" s="167" t="s">
        <v>474</v>
      </c>
      <c r="D4" s="167" t="s">
        <v>475</v>
      </c>
      <c r="E4" s="167" t="s">
        <v>476</v>
      </c>
      <c r="F4" s="167" t="s">
        <v>477</v>
      </c>
      <c r="G4" s="4"/>
      <c r="H4" s="38" t="s">
        <v>471</v>
      </c>
      <c r="I4" s="38" t="s">
        <v>478</v>
      </c>
      <c r="J4" s="38" t="s">
        <v>65</v>
      </c>
      <c r="K4" s="38" t="s">
        <v>479</v>
      </c>
      <c r="L4" s="38" t="s">
        <v>480</v>
      </c>
      <c r="M4" s="38" t="s">
        <v>481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hidden="1" customHeight="1">
      <c r="A5" s="168" t="s">
        <v>482</v>
      </c>
      <c r="B5" s="169">
        <v>46688.0</v>
      </c>
      <c r="C5" s="169">
        <v>150.0</v>
      </c>
      <c r="D5" s="169">
        <v>20980.0</v>
      </c>
      <c r="E5" s="169">
        <v>3780.0</v>
      </c>
      <c r="F5" s="169">
        <v>21928.0</v>
      </c>
      <c r="G5" s="4"/>
      <c r="H5" s="170">
        <v>46082.0</v>
      </c>
      <c r="I5" s="171">
        <v>22680.0</v>
      </c>
      <c r="J5" s="171">
        <v>1650.0</v>
      </c>
      <c r="K5" s="171">
        <v>3780.0</v>
      </c>
      <c r="L5" s="171">
        <v>0.0</v>
      </c>
      <c r="M5" s="171">
        <v>28110.0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2.5" hidden="1" customHeight="1">
      <c r="A6" s="168" t="s">
        <v>486</v>
      </c>
      <c r="B6" s="169">
        <v>52640.0</v>
      </c>
      <c r="C6" s="169">
        <v>1545.0</v>
      </c>
      <c r="D6" s="169">
        <v>25265.0</v>
      </c>
      <c r="E6" s="169">
        <v>-395.0</v>
      </c>
      <c r="F6" s="169">
        <v>27770.0</v>
      </c>
      <c r="G6" s="4"/>
      <c r="H6" s="170">
        <v>46113.0</v>
      </c>
      <c r="I6" s="171">
        <v>20435.0</v>
      </c>
      <c r="J6" s="171">
        <v>750.0</v>
      </c>
      <c r="K6" s="171">
        <v>-395.0</v>
      </c>
      <c r="L6" s="171">
        <v>0.0</v>
      </c>
      <c r="M6" s="171">
        <v>20790.0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hidden="1" customHeight="1">
      <c r="A7" s="168" t="s">
        <v>488</v>
      </c>
      <c r="B7" s="169">
        <v>21002.0</v>
      </c>
      <c r="C7" s="169">
        <v>725.0</v>
      </c>
      <c r="D7" s="169">
        <v>11042.0</v>
      </c>
      <c r="E7" s="169">
        <v>8350.0</v>
      </c>
      <c r="F7" s="169">
        <v>1610.0</v>
      </c>
      <c r="G7" s="4"/>
      <c r="H7" s="170">
        <v>46143.0</v>
      </c>
      <c r="I7" s="171">
        <v>10900.0</v>
      </c>
      <c r="J7" s="171">
        <v>750.0</v>
      </c>
      <c r="K7" s="171">
        <v>1050.0</v>
      </c>
      <c r="L7" s="171">
        <v>5350.0</v>
      </c>
      <c r="M7" s="171">
        <v>18050.0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.5" hidden="1" customHeight="1">
      <c r="A8" s="168" t="s">
        <v>489</v>
      </c>
      <c r="B8" s="169">
        <v>66671.0</v>
      </c>
      <c r="C8" s="169">
        <v>920.0</v>
      </c>
      <c r="D8" s="169">
        <v>38370.0</v>
      </c>
      <c r="E8" s="169">
        <v>6191.0</v>
      </c>
      <c r="F8" s="169">
        <v>22110.0</v>
      </c>
      <c r="G8" s="4"/>
      <c r="H8" s="170">
        <v>46174.0</v>
      </c>
      <c r="I8" s="171">
        <v>42074.0</v>
      </c>
      <c r="J8" s="171">
        <v>5235.0</v>
      </c>
      <c r="K8" s="171">
        <v>3735.0</v>
      </c>
      <c r="L8" s="171">
        <v>0.0</v>
      </c>
      <c r="M8" s="171">
        <v>51044.0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2.5" hidden="1" customHeight="1">
      <c r="A9" s="168" t="s">
        <v>491</v>
      </c>
      <c r="B9" s="169">
        <v>400.0</v>
      </c>
      <c r="C9" s="169">
        <v>0.0</v>
      </c>
      <c r="D9" s="169">
        <v>270.0</v>
      </c>
      <c r="E9" s="169">
        <v>21316.0</v>
      </c>
      <c r="F9" s="169">
        <v>-21186.0</v>
      </c>
      <c r="G9" s="4"/>
      <c r="H9" s="38" t="s">
        <v>491</v>
      </c>
      <c r="I9" s="171">
        <v>0.0</v>
      </c>
      <c r="J9" s="171">
        <v>0.0</v>
      </c>
      <c r="K9" s="171">
        <v>0.0</v>
      </c>
      <c r="L9" s="171">
        <v>0.0</v>
      </c>
      <c r="M9" s="171">
        <v>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2.5" hidden="1" customHeight="1">
      <c r="A10" s="168" t="s">
        <v>493</v>
      </c>
      <c r="B10" s="172">
        <f>SUM(جدول_2[المبيعات])</f>
        <v>187401</v>
      </c>
      <c r="C10" s="172">
        <f>SUM(جدول_2[الخصومات])</f>
        <v>3340</v>
      </c>
      <c r="D10" s="172">
        <f>SUM(جدول_2[تكلفة المنتجات])</f>
        <v>95927</v>
      </c>
      <c r="E10" s="172">
        <f>SUM(جدول_2[المصاريف الإدارية])</f>
        <v>39242</v>
      </c>
      <c r="F10" s="172">
        <f>SUM(جدول_2[صافي الربح])</f>
        <v>52232</v>
      </c>
      <c r="G10" s="4"/>
      <c r="H10" s="38" t="s">
        <v>493</v>
      </c>
      <c r="I10" s="173">
        <f>SUM(جدول_3[براند الورش])</f>
        <v>96089</v>
      </c>
      <c r="J10" s="173">
        <f>SUM(جدول_3[الورشة])</f>
        <v>8385</v>
      </c>
      <c r="K10" s="173">
        <f>SUM(جدول_3[إدارية عامة])</f>
        <v>8170</v>
      </c>
      <c r="L10" s="173">
        <f>SUM(جدول_3[براند مارينا])</f>
        <v>5350</v>
      </c>
      <c r="M10" s="173">
        <f>SUM(جدول_3[الإجمالي])</f>
        <v>117994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idden="1">
      <c r="A11" s="165"/>
      <c r="B11" s="166" t="s">
        <v>68</v>
      </c>
      <c r="C11" s="166" t="s">
        <v>68</v>
      </c>
      <c r="D11" s="166" t="s">
        <v>68</v>
      </c>
      <c r="E11" s="166" t="s">
        <v>68</v>
      </c>
      <c r="F11" s="166" t="s">
        <v>68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idden="1">
      <c r="A12" s="165"/>
      <c r="B12" s="166" t="s">
        <v>68</v>
      </c>
      <c r="C12" s="166" t="s">
        <v>68</v>
      </c>
      <c r="D12" s="166" t="s">
        <v>68</v>
      </c>
      <c r="E12" s="166" t="s">
        <v>68</v>
      </c>
      <c r="F12" s="166" t="s">
        <v>68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idden="1">
      <c r="A13" s="165"/>
      <c r="B13" s="166" t="s">
        <v>68</v>
      </c>
      <c r="C13" s="166" t="s">
        <v>68</v>
      </c>
      <c r="D13" s="166" t="s">
        <v>68</v>
      </c>
      <c r="E13" s="166" t="s">
        <v>68</v>
      </c>
      <c r="F13" s="166" t="s">
        <v>68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idden="1">
      <c r="A14" s="165"/>
      <c r="B14" s="166" t="s">
        <v>68</v>
      </c>
      <c r="C14" s="166" t="s">
        <v>68</v>
      </c>
      <c r="D14" s="166" t="s">
        <v>68</v>
      </c>
      <c r="E14" s="166" t="s">
        <v>68</v>
      </c>
      <c r="F14" s="166" t="s">
        <v>68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hidden="1" customHeight="1">
      <c r="A15" s="38" t="s">
        <v>471</v>
      </c>
      <c r="B15" s="38" t="s">
        <v>473</v>
      </c>
      <c r="C15" s="38" t="s">
        <v>478</v>
      </c>
      <c r="D15" s="38" t="s">
        <v>479</v>
      </c>
      <c r="E15" s="38" t="s">
        <v>477</v>
      </c>
      <c r="F15" s="174" t="s">
        <v>500</v>
      </c>
      <c r="G15" s="38" t="s">
        <v>501</v>
      </c>
      <c r="H15" s="17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hidden="1" customHeight="1">
      <c r="A16" s="170">
        <v>46082.0</v>
      </c>
      <c r="B16" s="171">
        <v>46688.0</v>
      </c>
      <c r="C16" s="171">
        <v>22680.0</v>
      </c>
      <c r="D16" s="176">
        <v>1000.0</v>
      </c>
      <c r="E16" s="171">
        <f t="shared" ref="E16:E19" si="1">B16-C16-D16</f>
        <v>23008</v>
      </c>
      <c r="F16" s="33">
        <v>225.0</v>
      </c>
      <c r="G16" s="176">
        <f t="shared" ref="G16:G19" si="2">E16+F16</f>
        <v>23233</v>
      </c>
      <c r="H16" s="177"/>
      <c r="I16" s="178"/>
      <c r="J16" s="179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hidden="1" customHeight="1">
      <c r="A17" s="170">
        <v>46113.0</v>
      </c>
      <c r="B17" s="171">
        <v>52640.0</v>
      </c>
      <c r="C17" s="171">
        <v>20435.0</v>
      </c>
      <c r="D17" s="176">
        <v>2150.0</v>
      </c>
      <c r="E17" s="171">
        <f t="shared" si="1"/>
        <v>30055</v>
      </c>
      <c r="F17" s="33">
        <v>750.0</v>
      </c>
      <c r="G17" s="176">
        <f t="shared" si="2"/>
        <v>30805</v>
      </c>
      <c r="H17" s="177"/>
      <c r="I17" s="178"/>
      <c r="J17" s="179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hidden="1" customHeight="1">
      <c r="A18" s="170">
        <v>46143.0</v>
      </c>
      <c r="B18" s="171">
        <v>21002.0</v>
      </c>
      <c r="C18" s="171">
        <v>10900.0</v>
      </c>
      <c r="D18" s="171">
        <v>1050.0</v>
      </c>
      <c r="E18" s="171">
        <f t="shared" si="1"/>
        <v>9052</v>
      </c>
      <c r="F18" s="33">
        <v>750.0</v>
      </c>
      <c r="G18" s="176">
        <f t="shared" si="2"/>
        <v>9802</v>
      </c>
      <c r="H18" s="177"/>
      <c r="I18" s="178"/>
      <c r="J18" s="179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hidden="1" customHeight="1">
      <c r="A19" s="170">
        <v>46174.0</v>
      </c>
      <c r="B19" s="171">
        <v>66671.0</v>
      </c>
      <c r="C19" s="171">
        <v>42074.0</v>
      </c>
      <c r="D19" s="171">
        <v>3735.0</v>
      </c>
      <c r="E19" s="171">
        <f t="shared" si="1"/>
        <v>20862</v>
      </c>
      <c r="F19" s="33">
        <v>5235.0</v>
      </c>
      <c r="G19" s="176">
        <f t="shared" si="2"/>
        <v>26097</v>
      </c>
      <c r="H19" s="177"/>
      <c r="I19" s="178"/>
      <c r="J19" s="17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idden="1">
      <c r="A20" s="165"/>
      <c r="B20" s="166"/>
      <c r="C20" s="166"/>
      <c r="D20" s="166"/>
      <c r="E20" s="166"/>
      <c r="F20" s="4"/>
      <c r="G20" s="4"/>
      <c r="H20" s="177"/>
      <c r="I20" s="178"/>
      <c r="J20" s="17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5"/>
      <c r="B21" s="166"/>
      <c r="C21" s="166"/>
      <c r="D21" s="166"/>
      <c r="E21" s="166"/>
      <c r="F21" s="181"/>
      <c r="G21" s="182"/>
      <c r="H21" s="177"/>
      <c r="I21" s="178"/>
      <c r="J21" s="17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5"/>
      <c r="B22" s="166"/>
      <c r="C22" s="166"/>
      <c r="D22" s="166"/>
      <c r="E22" s="166"/>
      <c r="F22" s="183"/>
      <c r="G22" s="182"/>
      <c r="H22" s="177"/>
      <c r="I22" s="178"/>
      <c r="J22" s="18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5"/>
      <c r="B23" s="166"/>
      <c r="C23" s="166"/>
      <c r="D23" s="166"/>
      <c r="E23" s="185"/>
      <c r="F23" s="182"/>
      <c r="G23" s="4"/>
      <c r="H23" s="177"/>
      <c r="I23" s="178"/>
      <c r="J23" s="18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165"/>
      <c r="B24" s="187" t="s">
        <v>471</v>
      </c>
      <c r="C24" s="187" t="s">
        <v>473</v>
      </c>
      <c r="D24" s="187" t="s">
        <v>474</v>
      </c>
      <c r="E24" s="187" t="s">
        <v>475</v>
      </c>
      <c r="F24" s="188" t="s">
        <v>479</v>
      </c>
      <c r="G24" s="188" t="s">
        <v>508</v>
      </c>
      <c r="H24" s="188" t="s">
        <v>509</v>
      </c>
      <c r="I24" s="189" t="s">
        <v>510</v>
      </c>
      <c r="J24" s="188" t="s">
        <v>477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165"/>
      <c r="B25" s="190">
        <v>46082.0</v>
      </c>
      <c r="C25" s="191">
        <v>46688.0</v>
      </c>
      <c r="D25" s="191">
        <v>150.0</v>
      </c>
      <c r="E25" s="191">
        <v>20980.0</v>
      </c>
      <c r="F25" s="192">
        <v>1000.0</v>
      </c>
      <c r="G25" s="193">
        <v>0.0</v>
      </c>
      <c r="H25" s="193">
        <f t="shared" ref="H25:H34" si="3">C25-D25-E25-F25-G25</f>
        <v>24558</v>
      </c>
      <c r="I25" s="194">
        <v>225.0</v>
      </c>
      <c r="J25" s="195">
        <f t="shared" ref="J25:J34" si="4">H25-I25</f>
        <v>24333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165"/>
      <c r="B26" s="196">
        <v>46113.0</v>
      </c>
      <c r="C26" s="197">
        <v>52640.0</v>
      </c>
      <c r="D26" s="197">
        <v>1545.0</v>
      </c>
      <c r="E26" s="197">
        <v>25265.0</v>
      </c>
      <c r="F26" s="198">
        <v>2150.0</v>
      </c>
      <c r="G26" s="199">
        <v>0.0</v>
      </c>
      <c r="H26" s="199">
        <f t="shared" si="3"/>
        <v>23680</v>
      </c>
      <c r="I26" s="200">
        <v>750.0</v>
      </c>
      <c r="J26" s="201">
        <f t="shared" si="4"/>
        <v>22930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165"/>
      <c r="B27" s="190">
        <v>46143.0</v>
      </c>
      <c r="C27" s="191">
        <v>21002.0</v>
      </c>
      <c r="D27" s="191">
        <v>725.0</v>
      </c>
      <c r="E27" s="191">
        <v>11042.0</v>
      </c>
      <c r="F27" s="192">
        <v>1050.0</v>
      </c>
      <c r="G27" s="193">
        <v>5350.0</v>
      </c>
      <c r="H27" s="193">
        <f t="shared" si="3"/>
        <v>2835</v>
      </c>
      <c r="I27" s="194">
        <v>750.0</v>
      </c>
      <c r="J27" s="195">
        <f t="shared" si="4"/>
        <v>2085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165"/>
      <c r="B28" s="196">
        <v>46174.0</v>
      </c>
      <c r="C28" s="197">
        <v>66671.0</v>
      </c>
      <c r="D28" s="197">
        <v>920.0</v>
      </c>
      <c r="E28" s="197">
        <v>38370.0</v>
      </c>
      <c r="F28" s="198">
        <v>3735.0</v>
      </c>
      <c r="G28" s="199">
        <v>0.0</v>
      </c>
      <c r="H28" s="199">
        <f t="shared" si="3"/>
        <v>23646</v>
      </c>
      <c r="I28" s="200">
        <v>5235.0</v>
      </c>
      <c r="J28" s="201">
        <f t="shared" si="4"/>
        <v>18411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165"/>
      <c r="B29" s="190">
        <v>46204.0</v>
      </c>
      <c r="C29" s="202"/>
      <c r="D29" s="191"/>
      <c r="E29" s="191"/>
      <c r="F29" s="192"/>
      <c r="G29" s="193"/>
      <c r="H29" s="193">
        <f t="shared" si="3"/>
        <v>0</v>
      </c>
      <c r="I29" s="194"/>
      <c r="J29" s="195">
        <f t="shared" si="4"/>
        <v>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165"/>
      <c r="B30" s="196">
        <v>46235.0</v>
      </c>
      <c r="C30" s="197"/>
      <c r="D30" s="197"/>
      <c r="E30" s="197"/>
      <c r="F30" s="198"/>
      <c r="G30" s="199"/>
      <c r="H30" s="199">
        <f t="shared" si="3"/>
        <v>0</v>
      </c>
      <c r="I30" s="200"/>
      <c r="J30" s="201">
        <f t="shared" si="4"/>
        <v>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165"/>
      <c r="B31" s="190">
        <v>46266.0</v>
      </c>
      <c r="C31" s="191"/>
      <c r="D31" s="191"/>
      <c r="E31" s="191"/>
      <c r="F31" s="192"/>
      <c r="G31" s="193"/>
      <c r="H31" s="193">
        <f t="shared" si="3"/>
        <v>0</v>
      </c>
      <c r="I31" s="194"/>
      <c r="J31" s="195">
        <f t="shared" si="4"/>
        <v>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165"/>
      <c r="B32" s="196">
        <v>46296.0</v>
      </c>
      <c r="C32" s="197"/>
      <c r="D32" s="197"/>
      <c r="E32" s="197"/>
      <c r="F32" s="198"/>
      <c r="G32" s="199"/>
      <c r="H32" s="199">
        <f t="shared" si="3"/>
        <v>0</v>
      </c>
      <c r="I32" s="200"/>
      <c r="J32" s="201">
        <f t="shared" si="4"/>
        <v>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165"/>
      <c r="B33" s="190">
        <v>46327.0</v>
      </c>
      <c r="C33" s="191"/>
      <c r="D33" s="191"/>
      <c r="E33" s="191"/>
      <c r="F33" s="192"/>
      <c r="G33" s="193"/>
      <c r="H33" s="193">
        <f t="shared" si="3"/>
        <v>0</v>
      </c>
      <c r="I33" s="194"/>
      <c r="J33" s="195">
        <f t="shared" si="4"/>
        <v>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165"/>
      <c r="B34" s="196">
        <v>46357.0</v>
      </c>
      <c r="C34" s="197"/>
      <c r="D34" s="197"/>
      <c r="E34" s="197"/>
      <c r="F34" s="198"/>
      <c r="G34" s="199"/>
      <c r="H34" s="199">
        <f t="shared" si="3"/>
        <v>0</v>
      </c>
      <c r="I34" s="200"/>
      <c r="J34" s="201">
        <f t="shared" si="4"/>
        <v>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65"/>
      <c r="B35" s="166"/>
      <c r="C35" s="166"/>
      <c r="D35" s="166"/>
      <c r="E35" s="166"/>
      <c r="F35" s="166"/>
      <c r="G35" s="203"/>
      <c r="H35" s="177"/>
      <c r="I35" s="178"/>
      <c r="J35" s="18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65"/>
      <c r="B36" s="166"/>
      <c r="C36" s="166"/>
      <c r="D36" s="166"/>
      <c r="E36" s="166"/>
      <c r="F36" s="166"/>
      <c r="G36" s="204"/>
      <c r="H36" s="177"/>
      <c r="I36" s="178"/>
      <c r="J36" s="18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65"/>
      <c r="B37" s="166"/>
      <c r="C37" s="166"/>
      <c r="D37" s="4"/>
      <c r="E37" s="4"/>
      <c r="F37" s="166"/>
      <c r="G37" s="4"/>
      <c r="H37" s="177"/>
      <c r="I37" s="178"/>
      <c r="J37" s="18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65"/>
      <c r="B38" s="205" t="s">
        <v>524</v>
      </c>
      <c r="C38" s="206"/>
      <c r="D38" s="206"/>
      <c r="E38" s="206"/>
      <c r="F38" s="206"/>
      <c r="G38" s="206"/>
      <c r="H38" s="206"/>
      <c r="I38" s="206"/>
      <c r="J38" s="206"/>
      <c r="K38" s="12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65"/>
      <c r="B39" s="207"/>
      <c r="C39" s="208" t="s">
        <v>525</v>
      </c>
      <c r="D39" s="209" t="s">
        <v>526</v>
      </c>
      <c r="E39" s="206"/>
      <c r="F39" s="121"/>
      <c r="G39" s="210" t="s">
        <v>528</v>
      </c>
      <c r="H39" s="211">
        <v>1.0</v>
      </c>
      <c r="I39" s="212">
        <v>2.0</v>
      </c>
      <c r="J39" s="211">
        <v>3.0</v>
      </c>
      <c r="K39" s="212">
        <v>4.0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65"/>
      <c r="B40" s="213"/>
      <c r="C40" s="214">
        <v>1.0</v>
      </c>
      <c r="D40" s="215">
        <v>0.5</v>
      </c>
      <c r="E40" s="216" t="s">
        <v>500</v>
      </c>
      <c r="F40" s="217" t="s">
        <v>529</v>
      </c>
      <c r="G40" s="218">
        <v>0.0</v>
      </c>
      <c r="H40" s="219">
        <v>0.14</v>
      </c>
      <c r="I40" s="220">
        <v>0.14</v>
      </c>
      <c r="J40" s="219">
        <v>0.14</v>
      </c>
      <c r="K40" s="220">
        <v>0.08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65"/>
      <c r="B41" s="221">
        <v>46082.0</v>
      </c>
      <c r="C41" s="222">
        <f t="shared" ref="C41:C44" si="5">H25</f>
        <v>24558</v>
      </c>
      <c r="D41" s="223">
        <f>$C$41*$D$40/$C$40</f>
        <v>12279</v>
      </c>
      <c r="E41" s="224">
        <v>1650.0</v>
      </c>
      <c r="F41" s="225">
        <f t="shared" ref="F41:F50" si="6">D41-E41</f>
        <v>10629</v>
      </c>
      <c r="G41" s="226">
        <f t="shared" ref="G41:G50" si="7">C41*$G$40/$C$40</f>
        <v>0</v>
      </c>
      <c r="H41" s="227">
        <v>2455.8</v>
      </c>
      <c r="I41" s="228">
        <v>2455.8</v>
      </c>
      <c r="J41" s="229">
        <v>2455.8</v>
      </c>
      <c r="K41" s="228">
        <v>1227.9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65"/>
      <c r="B42" s="230">
        <v>46113.0</v>
      </c>
      <c r="C42" s="231">
        <f t="shared" si="5"/>
        <v>23680</v>
      </c>
      <c r="D42" s="232">
        <f>$C$42*$D$40/$C$40</f>
        <v>11840</v>
      </c>
      <c r="E42" s="233">
        <v>750.0</v>
      </c>
      <c r="F42" s="234">
        <f t="shared" si="6"/>
        <v>11090</v>
      </c>
      <c r="G42" s="226">
        <f t="shared" si="7"/>
        <v>0</v>
      </c>
      <c r="H42" s="235">
        <v>2368.0</v>
      </c>
      <c r="I42" s="236">
        <v>2368.0</v>
      </c>
      <c r="J42" s="237">
        <v>2368.0</v>
      </c>
      <c r="K42" s="236">
        <v>1184.0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65"/>
      <c r="B43" s="238">
        <v>46143.0</v>
      </c>
      <c r="C43" s="231">
        <f t="shared" si="5"/>
        <v>2835</v>
      </c>
      <c r="D43" s="232">
        <f>$C$43*$D$40/$C$40</f>
        <v>1417.5</v>
      </c>
      <c r="E43" s="233">
        <v>750.0</v>
      </c>
      <c r="F43" s="234">
        <f t="shared" si="6"/>
        <v>667.5</v>
      </c>
      <c r="G43" s="226">
        <f t="shared" si="7"/>
        <v>0</v>
      </c>
      <c r="H43" s="239">
        <v>283.5</v>
      </c>
      <c r="I43" s="240">
        <v>283.5</v>
      </c>
      <c r="J43" s="241">
        <v>283.5</v>
      </c>
      <c r="K43" s="240">
        <v>141.75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65"/>
      <c r="B44" s="230">
        <v>46174.0</v>
      </c>
      <c r="C44" s="231">
        <f t="shared" si="5"/>
        <v>23646</v>
      </c>
      <c r="D44" s="232">
        <f>$C$44*$D$40/$C$40</f>
        <v>11823</v>
      </c>
      <c r="E44" s="233">
        <v>5235.0</v>
      </c>
      <c r="F44" s="234">
        <f t="shared" si="6"/>
        <v>6588</v>
      </c>
      <c r="G44" s="226">
        <f t="shared" si="7"/>
        <v>0</v>
      </c>
      <c r="H44" s="235">
        <v>2364.6</v>
      </c>
      <c r="I44" s="236">
        <v>2364.6</v>
      </c>
      <c r="J44" s="237">
        <v>2364.6</v>
      </c>
      <c r="K44" s="236">
        <v>1182.3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238">
        <v>46204.0</v>
      </c>
      <c r="C45" s="242"/>
      <c r="D45" s="232">
        <f t="shared" ref="D45:D50" si="8">C45*$D$40/$C$40</f>
        <v>0</v>
      </c>
      <c r="E45" s="233"/>
      <c r="F45" s="234">
        <f t="shared" si="6"/>
        <v>0</v>
      </c>
      <c r="G45" s="226">
        <f t="shared" si="7"/>
        <v>0</v>
      </c>
      <c r="H45" s="239">
        <f>$C$45*H40/$C$40</f>
        <v>0</v>
      </c>
      <c r="I45" s="240">
        <f t="shared" ref="I45:I50" si="9">C45*$I$40/$C$40</f>
        <v>0</v>
      </c>
      <c r="J45" s="241">
        <f t="shared" ref="J45:J50" si="10">C45*$J$40/$C$40</f>
        <v>0</v>
      </c>
      <c r="K45" s="240">
        <f t="shared" ref="K45:K50" si="11">C45*$K$40/$C$40</f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65"/>
      <c r="B46" s="230">
        <v>46235.0</v>
      </c>
      <c r="C46" s="231"/>
      <c r="D46" s="232">
        <f t="shared" si="8"/>
        <v>0</v>
      </c>
      <c r="E46" s="233"/>
      <c r="F46" s="234">
        <f t="shared" si="6"/>
        <v>0</v>
      </c>
      <c r="G46" s="226">
        <f t="shared" si="7"/>
        <v>0</v>
      </c>
      <c r="H46" s="235">
        <f t="shared" ref="H46:H50" si="12">C46*$H$40/$C$40</f>
        <v>0</v>
      </c>
      <c r="I46" s="236">
        <f t="shared" si="9"/>
        <v>0</v>
      </c>
      <c r="J46" s="237">
        <f t="shared" si="10"/>
        <v>0</v>
      </c>
      <c r="K46" s="236">
        <f t="shared" si="11"/>
        <v>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65"/>
      <c r="B47" s="238">
        <v>46266.0</v>
      </c>
      <c r="C47" s="231"/>
      <c r="D47" s="232">
        <f t="shared" si="8"/>
        <v>0</v>
      </c>
      <c r="E47" s="233"/>
      <c r="F47" s="234">
        <f t="shared" si="6"/>
        <v>0</v>
      </c>
      <c r="G47" s="226">
        <f t="shared" si="7"/>
        <v>0</v>
      </c>
      <c r="H47" s="239">
        <f t="shared" si="12"/>
        <v>0</v>
      </c>
      <c r="I47" s="240">
        <f t="shared" si="9"/>
        <v>0</v>
      </c>
      <c r="J47" s="241">
        <f t="shared" si="10"/>
        <v>0</v>
      </c>
      <c r="K47" s="240">
        <f t="shared" si="11"/>
        <v>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65"/>
      <c r="B48" s="230">
        <v>46296.0</v>
      </c>
      <c r="C48" s="231"/>
      <c r="D48" s="232">
        <f t="shared" si="8"/>
        <v>0</v>
      </c>
      <c r="E48" s="233"/>
      <c r="F48" s="234">
        <f t="shared" si="6"/>
        <v>0</v>
      </c>
      <c r="G48" s="226">
        <f t="shared" si="7"/>
        <v>0</v>
      </c>
      <c r="H48" s="235">
        <f t="shared" si="12"/>
        <v>0</v>
      </c>
      <c r="I48" s="236">
        <f t="shared" si="9"/>
        <v>0</v>
      </c>
      <c r="J48" s="237">
        <f t="shared" si="10"/>
        <v>0</v>
      </c>
      <c r="K48" s="236">
        <f t="shared" si="11"/>
        <v>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65"/>
      <c r="B49" s="238">
        <v>46327.0</v>
      </c>
      <c r="C49" s="231"/>
      <c r="D49" s="232">
        <f t="shared" si="8"/>
        <v>0</v>
      </c>
      <c r="E49" s="233"/>
      <c r="F49" s="234">
        <f t="shared" si="6"/>
        <v>0</v>
      </c>
      <c r="G49" s="226">
        <f t="shared" si="7"/>
        <v>0</v>
      </c>
      <c r="H49" s="239">
        <f t="shared" si="12"/>
        <v>0</v>
      </c>
      <c r="I49" s="240">
        <f t="shared" si="9"/>
        <v>0</v>
      </c>
      <c r="J49" s="241">
        <f t="shared" si="10"/>
        <v>0</v>
      </c>
      <c r="K49" s="240">
        <f t="shared" si="11"/>
        <v>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65"/>
      <c r="B50" s="246">
        <v>46357.0</v>
      </c>
      <c r="C50" s="247"/>
      <c r="D50" s="249">
        <f t="shared" si="8"/>
        <v>0</v>
      </c>
      <c r="E50" s="250"/>
      <c r="F50" s="252">
        <f t="shared" si="6"/>
        <v>0</v>
      </c>
      <c r="G50" s="226">
        <f t="shared" si="7"/>
        <v>0</v>
      </c>
      <c r="H50" s="235">
        <f t="shared" si="12"/>
        <v>0</v>
      </c>
      <c r="I50" s="236">
        <f t="shared" si="9"/>
        <v>0</v>
      </c>
      <c r="J50" s="237">
        <f t="shared" si="10"/>
        <v>0</v>
      </c>
      <c r="K50" s="236">
        <f t="shared" si="11"/>
        <v>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65"/>
      <c r="B51" s="254"/>
      <c r="C51" s="256">
        <f t="shared" ref="C51:K51" si="13">SUM(C41:C50)</f>
        <v>74719</v>
      </c>
      <c r="D51" s="257">
        <f t="shared" si="13"/>
        <v>37359.5</v>
      </c>
      <c r="E51" s="257">
        <f t="shared" si="13"/>
        <v>8385</v>
      </c>
      <c r="F51" s="258">
        <f t="shared" si="13"/>
        <v>28974.5</v>
      </c>
      <c r="G51" s="256">
        <f t="shared" si="13"/>
        <v>0</v>
      </c>
      <c r="H51" s="256">
        <f t="shared" si="13"/>
        <v>7471.9</v>
      </c>
      <c r="I51" s="256">
        <f t="shared" si="13"/>
        <v>7471.9</v>
      </c>
      <c r="J51" s="256">
        <f t="shared" si="13"/>
        <v>7471.9</v>
      </c>
      <c r="K51" s="256">
        <f t="shared" si="13"/>
        <v>3735.95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65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65"/>
      <c r="B53" s="166"/>
      <c r="C53" s="166"/>
      <c r="D53" s="166"/>
      <c r="E53" s="166"/>
      <c r="F53" s="16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65"/>
      <c r="B54" s="166"/>
      <c r="C54" s="166"/>
      <c r="D54" s="166"/>
      <c r="E54" s="166"/>
      <c r="F54" s="166"/>
      <c r="G54" s="260">
        <v>46082.0</v>
      </c>
      <c r="H54" s="261"/>
      <c r="I54" s="262"/>
      <c r="J54" s="263"/>
      <c r="K54" s="26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65"/>
      <c r="B55" s="166"/>
      <c r="C55" s="166"/>
      <c r="D55" s="166"/>
      <c r="E55" s="166"/>
      <c r="F55" s="166"/>
      <c r="G55" s="260">
        <v>46113.0</v>
      </c>
      <c r="H55" s="261">
        <v>2000.0</v>
      </c>
      <c r="I55" s="261">
        <v>2000.0</v>
      </c>
      <c r="J55" s="261">
        <v>2000.0</v>
      </c>
      <c r="K55" s="261">
        <v>500.0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65"/>
      <c r="B56" s="166"/>
      <c r="C56" s="166"/>
      <c r="D56" s="166"/>
      <c r="E56" s="166"/>
      <c r="F56" s="166"/>
      <c r="G56" s="260">
        <v>46143.0</v>
      </c>
      <c r="H56" s="265"/>
      <c r="I56" s="265"/>
      <c r="J56" s="265"/>
      <c r="K56" s="26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65"/>
      <c r="B57" s="166"/>
      <c r="C57" s="166"/>
      <c r="D57" s="166"/>
      <c r="E57" s="166"/>
      <c r="F57" s="166"/>
      <c r="G57" s="260">
        <v>46174.0</v>
      </c>
      <c r="H57" s="261">
        <v>3000.0</v>
      </c>
      <c r="I57" s="261">
        <v>3000.0</v>
      </c>
      <c r="J57" s="261">
        <v>3000.0</v>
      </c>
      <c r="K57" s="266">
        <v>3000.0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65"/>
      <c r="B58" s="166"/>
      <c r="C58" s="166"/>
      <c r="D58" s="166"/>
      <c r="E58" s="166"/>
      <c r="F58" s="166"/>
      <c r="G58" s="260">
        <v>46204.0</v>
      </c>
      <c r="H58" s="265"/>
      <c r="I58" s="265"/>
      <c r="J58" s="265"/>
      <c r="K58" s="26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65"/>
      <c r="B59" s="166"/>
      <c r="C59" s="166"/>
      <c r="D59" s="166"/>
      <c r="E59" s="166"/>
      <c r="F59" s="166"/>
      <c r="G59" s="260">
        <v>46235.0</v>
      </c>
      <c r="H59" s="265"/>
      <c r="I59" s="265"/>
      <c r="J59" s="265"/>
      <c r="K59" s="26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65"/>
      <c r="B60" s="166"/>
      <c r="C60" s="166"/>
      <c r="D60" s="166"/>
      <c r="E60" s="166"/>
      <c r="F60" s="166"/>
      <c r="G60" s="260">
        <v>46266.0</v>
      </c>
      <c r="H60" s="264"/>
      <c r="I60" s="264"/>
      <c r="J60" s="264"/>
      <c r="K60" s="26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65"/>
      <c r="B61" s="166"/>
      <c r="C61" s="166"/>
      <c r="D61" s="166"/>
      <c r="E61" s="166"/>
      <c r="F61" s="166"/>
      <c r="G61" s="260">
        <v>46296.0</v>
      </c>
      <c r="H61" s="264"/>
      <c r="I61" s="264"/>
      <c r="J61" s="264"/>
      <c r="K61" s="26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65"/>
      <c r="B62" s="166"/>
      <c r="C62" s="166"/>
      <c r="D62" s="166"/>
      <c r="E62" s="166"/>
      <c r="F62" s="166"/>
      <c r="G62" s="260">
        <v>46327.0</v>
      </c>
      <c r="H62" s="264"/>
      <c r="I62" s="264"/>
      <c r="J62" s="264"/>
      <c r="K62" s="26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65"/>
      <c r="B63" s="166"/>
      <c r="C63" s="166"/>
      <c r="D63" s="166"/>
      <c r="E63" s="166"/>
      <c r="F63" s="166"/>
      <c r="G63" s="260">
        <v>46357.0</v>
      </c>
      <c r="H63" s="264"/>
      <c r="I63" s="264"/>
      <c r="J63" s="264"/>
      <c r="K63" s="26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65"/>
      <c r="B64" s="166"/>
      <c r="C64" s="166"/>
      <c r="D64" s="166"/>
      <c r="E64" s="166"/>
      <c r="F64" s="166"/>
      <c r="G64" s="20"/>
      <c r="H64" s="20"/>
      <c r="I64" s="20"/>
      <c r="J64" s="20"/>
      <c r="K64" s="20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65"/>
      <c r="B65" s="166"/>
      <c r="C65" s="166"/>
      <c r="D65" s="166"/>
      <c r="E65" s="166"/>
      <c r="F65" s="166"/>
      <c r="G65" s="268" t="s">
        <v>554</v>
      </c>
      <c r="H65" s="269">
        <f t="shared" ref="H65:K65" si="14">H51-H54-H55-H56-H57-H58-H59-H60-H61-H62-H63</f>
        <v>2471.9</v>
      </c>
      <c r="I65" s="269">
        <f t="shared" si="14"/>
        <v>2471.9</v>
      </c>
      <c r="J65" s="269">
        <f t="shared" si="14"/>
        <v>2471.9</v>
      </c>
      <c r="K65" s="269">
        <f t="shared" si="14"/>
        <v>235.95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65"/>
      <c r="B66" s="166"/>
      <c r="C66" s="166"/>
      <c r="D66" s="166"/>
      <c r="E66" s="166"/>
      <c r="F66" s="16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65"/>
      <c r="B67" s="166"/>
      <c r="C67" s="166"/>
      <c r="D67" s="166"/>
      <c r="E67" s="166"/>
      <c r="F67" s="16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65"/>
      <c r="B68" s="166"/>
      <c r="C68" s="166"/>
      <c r="D68" s="166"/>
      <c r="E68" s="166"/>
      <c r="F68" s="16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65"/>
      <c r="B69" s="166"/>
      <c r="C69" s="166"/>
      <c r="D69" s="166"/>
      <c r="E69" s="166"/>
      <c r="F69" s="16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65"/>
      <c r="B70" s="166"/>
      <c r="C70" s="166"/>
      <c r="D70" s="166"/>
      <c r="E70" s="166"/>
      <c r="F70" s="16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65"/>
      <c r="B71" s="166"/>
      <c r="C71" s="166"/>
      <c r="D71" s="166"/>
      <c r="E71" s="166"/>
      <c r="F71" s="16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65"/>
      <c r="B72" s="166"/>
      <c r="C72" s="166"/>
      <c r="D72" s="166"/>
      <c r="E72" s="166"/>
      <c r="F72" s="16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65"/>
      <c r="B73" s="166"/>
      <c r="C73" s="166"/>
      <c r="D73" s="166"/>
      <c r="E73" s="166"/>
      <c r="F73" s="16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65"/>
      <c r="B74" s="166"/>
      <c r="C74" s="166"/>
      <c r="D74" s="166"/>
      <c r="E74" s="166"/>
      <c r="F74" s="16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65"/>
      <c r="B75" s="166"/>
      <c r="C75" s="166"/>
      <c r="D75" s="166"/>
      <c r="E75" s="166"/>
      <c r="F75" s="16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65"/>
      <c r="B76" s="166"/>
      <c r="C76" s="166"/>
      <c r="D76" s="166"/>
      <c r="E76" s="166"/>
      <c r="F76" s="16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65"/>
      <c r="B77" s="166"/>
      <c r="C77" s="166"/>
      <c r="D77" s="166"/>
      <c r="E77" s="166"/>
      <c r="F77" s="16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65"/>
      <c r="B78" s="166"/>
      <c r="C78" s="166"/>
      <c r="D78" s="166"/>
      <c r="E78" s="166"/>
      <c r="F78" s="16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65"/>
      <c r="B79" s="166"/>
      <c r="C79" s="166"/>
      <c r="D79" s="166"/>
      <c r="E79" s="166"/>
      <c r="F79" s="16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65"/>
      <c r="B80" s="166"/>
      <c r="C80" s="166"/>
      <c r="D80" s="166"/>
      <c r="E80" s="166"/>
      <c r="F80" s="16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65"/>
      <c r="B81" s="166"/>
      <c r="C81" s="166"/>
      <c r="D81" s="166"/>
      <c r="E81" s="166"/>
      <c r="F81" s="16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65"/>
      <c r="B82" s="166"/>
      <c r="C82" s="166"/>
      <c r="D82" s="166"/>
      <c r="E82" s="166"/>
      <c r="F82" s="16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65"/>
      <c r="B83" s="166"/>
      <c r="C83" s="166"/>
      <c r="D83" s="166"/>
      <c r="E83" s="166"/>
      <c r="F83" s="16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65"/>
      <c r="B84" s="166"/>
      <c r="C84" s="166"/>
      <c r="D84" s="166"/>
      <c r="E84" s="166"/>
      <c r="F84" s="16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65"/>
      <c r="B85" s="166"/>
      <c r="C85" s="166"/>
      <c r="D85" s="166"/>
      <c r="E85" s="166"/>
      <c r="F85" s="16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65"/>
      <c r="B86" s="166"/>
      <c r="C86" s="166"/>
      <c r="D86" s="166"/>
      <c r="E86" s="166"/>
      <c r="F86" s="16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65"/>
      <c r="B87" s="166"/>
      <c r="C87" s="166"/>
      <c r="D87" s="166"/>
      <c r="E87" s="166"/>
      <c r="F87" s="16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65"/>
      <c r="B88" s="166"/>
      <c r="C88" s="166"/>
      <c r="D88" s="166"/>
      <c r="E88" s="166"/>
      <c r="F88" s="16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65"/>
      <c r="B89" s="166"/>
      <c r="C89" s="166"/>
      <c r="D89" s="166"/>
      <c r="E89" s="166"/>
      <c r="F89" s="16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mergeCells count="3">
    <mergeCell ref="H15:J15"/>
    <mergeCell ref="B38:K38"/>
    <mergeCell ref="D39:F39"/>
  </mergeCells>
  <dataValidations>
    <dataValidation type="custom" allowBlank="1" showDropDown="1" sqref="A16:A19 B25:B34">
      <formula1>OR(NOT(ISERROR(DATEVALUE(A16))), AND(ISNUMBER(A16), LEFT(CELL("format", A16))="D"))</formula1>
    </dataValidation>
    <dataValidation type="custom" allowBlank="1" showDropDown="1" sqref="I5:M9 B5:F9 B16:E19 C25:G34">
      <formula1>AND(ISNUMBER(B5),(NOT(OR(NOT(ISERROR(DATEVALUE(B5))), AND(ISNUMBER(B5), LEFT(CELL("format", B5))="D")))))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  <col customWidth="1" min="10" max="10" width="14.38"/>
  </cols>
  <sheetData>
    <row r="17" ht="22.5" customHeight="1">
      <c r="A17" s="243" t="s">
        <v>26</v>
      </c>
      <c r="B17" s="243" t="s">
        <v>537</v>
      </c>
      <c r="F17" s="244" t="s">
        <v>538</v>
      </c>
      <c r="G17" s="243" t="s">
        <v>537</v>
      </c>
      <c r="K17" s="244" t="s">
        <v>539</v>
      </c>
      <c r="L17" s="243" t="s">
        <v>537</v>
      </c>
      <c r="Q17" s="245" t="s">
        <v>540</v>
      </c>
      <c r="R17" s="245" t="s">
        <v>473</v>
      </c>
      <c r="W17" s="245" t="s">
        <v>56</v>
      </c>
      <c r="X17" s="245" t="s">
        <v>541</v>
      </c>
      <c r="Y17" s="245" t="s">
        <v>542</v>
      </c>
    </row>
    <row r="18" ht="22.5" customHeight="1">
      <c r="A18" s="248" t="s">
        <v>187</v>
      </c>
      <c r="B18" s="251">
        <v>46450.0</v>
      </c>
      <c r="F18" s="248"/>
      <c r="G18" s="251"/>
      <c r="K18" s="248" t="s">
        <v>93</v>
      </c>
      <c r="L18" s="251">
        <v>87954.0</v>
      </c>
      <c r="Q18" s="253" t="s">
        <v>187</v>
      </c>
      <c r="R18" s="255">
        <v>46450.0</v>
      </c>
      <c r="W18" s="253" t="s">
        <v>156</v>
      </c>
      <c r="X18" s="255">
        <v>61.0</v>
      </c>
      <c r="Y18" s="255">
        <v>19761.0</v>
      </c>
    </row>
    <row r="19" ht="22.5" customHeight="1">
      <c r="A19" s="248" t="s">
        <v>168</v>
      </c>
      <c r="B19" s="251">
        <v>37970.0</v>
      </c>
      <c r="F19" s="248" t="s">
        <v>156</v>
      </c>
      <c r="G19" s="251">
        <v>19761.0</v>
      </c>
      <c r="K19" s="248" t="s">
        <v>78</v>
      </c>
      <c r="L19" s="251">
        <v>25286.0</v>
      </c>
      <c r="Q19" s="253" t="s">
        <v>168</v>
      </c>
      <c r="R19" s="255">
        <v>37970.0</v>
      </c>
      <c r="W19" s="253" t="s">
        <v>188</v>
      </c>
      <c r="X19" s="255">
        <v>45.0</v>
      </c>
      <c r="Y19" s="255">
        <v>17362.0</v>
      </c>
    </row>
    <row r="20" ht="22.5" customHeight="1">
      <c r="A20" s="259" t="s">
        <v>104</v>
      </c>
      <c r="B20" s="251">
        <v>37520.0</v>
      </c>
      <c r="F20" s="248" t="s">
        <v>154</v>
      </c>
      <c r="G20" s="251">
        <v>6580.0</v>
      </c>
      <c r="K20" s="248" t="s">
        <v>243</v>
      </c>
      <c r="L20" s="251">
        <v>20150.0</v>
      </c>
      <c r="Q20" s="253" t="s">
        <v>104</v>
      </c>
      <c r="R20" s="255">
        <v>37520.0</v>
      </c>
      <c r="W20" s="253" t="s">
        <v>243</v>
      </c>
      <c r="X20" s="255">
        <v>41.0</v>
      </c>
      <c r="Y20" s="255">
        <v>16440.0</v>
      </c>
    </row>
    <row r="21" ht="22.5" customHeight="1">
      <c r="A21" s="248" t="s">
        <v>63</v>
      </c>
      <c r="B21" s="251">
        <v>16050.0</v>
      </c>
      <c r="F21" s="259" t="s">
        <v>250</v>
      </c>
      <c r="G21" s="251">
        <v>6232.0</v>
      </c>
      <c r="K21" s="248" t="s">
        <v>183</v>
      </c>
      <c r="L21" s="251">
        <v>17762.0</v>
      </c>
      <c r="Q21" s="253" t="s">
        <v>63</v>
      </c>
      <c r="R21" s="255">
        <v>16050.0</v>
      </c>
      <c r="W21" s="253" t="s">
        <v>546</v>
      </c>
      <c r="X21" s="255">
        <v>26.0</v>
      </c>
      <c r="Y21" s="255">
        <v>10072.0</v>
      </c>
    </row>
    <row r="22" ht="22.5" customHeight="1">
      <c r="A22" s="248" t="s">
        <v>190</v>
      </c>
      <c r="B22" s="251">
        <v>11100.0</v>
      </c>
      <c r="F22" s="248" t="s">
        <v>309</v>
      </c>
      <c r="G22" s="251">
        <v>5790.0</v>
      </c>
      <c r="K22" s="248" t="s">
        <v>53</v>
      </c>
      <c r="L22" s="251">
        <v>14660.0</v>
      </c>
      <c r="Q22" s="253" t="s">
        <v>190</v>
      </c>
      <c r="R22" s="255">
        <v>10700.0</v>
      </c>
      <c r="W22" s="253" t="s">
        <v>195</v>
      </c>
      <c r="X22" s="255">
        <v>20.0</v>
      </c>
      <c r="Y22" s="255">
        <v>9630.0</v>
      </c>
    </row>
    <row r="23" ht="22.5" customHeight="1">
      <c r="A23" s="248" t="s">
        <v>161</v>
      </c>
      <c r="B23" s="251">
        <v>9900.0</v>
      </c>
      <c r="F23" s="248" t="s">
        <v>57</v>
      </c>
      <c r="G23" s="251">
        <v>5130.0</v>
      </c>
      <c r="K23" s="248" t="s">
        <v>549</v>
      </c>
      <c r="L23" s="251">
        <v>12172.0</v>
      </c>
      <c r="Q23" s="253" t="s">
        <v>161</v>
      </c>
      <c r="R23" s="255">
        <v>9900.0</v>
      </c>
      <c r="W23" s="253" t="s">
        <v>551</v>
      </c>
      <c r="X23" s="255">
        <v>16.0</v>
      </c>
      <c r="Y23" s="255">
        <v>8100.0</v>
      </c>
    </row>
    <row r="24" ht="22.5" customHeight="1">
      <c r="A24" s="248" t="s">
        <v>122</v>
      </c>
      <c r="B24" s="251">
        <v>9240.0</v>
      </c>
      <c r="F24" s="248" t="s">
        <v>148</v>
      </c>
      <c r="G24" s="251">
        <v>4150.0</v>
      </c>
      <c r="K24" s="259" t="s">
        <v>195</v>
      </c>
      <c r="L24" s="251">
        <v>9630.0</v>
      </c>
      <c r="Q24" s="253" t="s">
        <v>122</v>
      </c>
      <c r="R24" s="255">
        <v>9240.0</v>
      </c>
      <c r="W24" s="253" t="s">
        <v>154</v>
      </c>
      <c r="X24" s="255">
        <v>15.0</v>
      </c>
      <c r="Y24" s="255">
        <v>6580.0</v>
      </c>
    </row>
    <row r="25" ht="22.5" customHeight="1">
      <c r="A25" s="259" t="s">
        <v>24</v>
      </c>
      <c r="B25" s="251">
        <v>7740.0</v>
      </c>
      <c r="F25" s="248" t="s">
        <v>553</v>
      </c>
      <c r="G25" s="251">
        <v>3250.0</v>
      </c>
      <c r="K25" s="248" t="s">
        <v>551</v>
      </c>
      <c r="L25" s="251">
        <v>8100.0</v>
      </c>
      <c r="Q25" s="267" t="s">
        <v>24</v>
      </c>
      <c r="R25" s="255">
        <v>7740.0</v>
      </c>
      <c r="W25" s="253" t="s">
        <v>250</v>
      </c>
      <c r="X25" s="255">
        <v>25.0</v>
      </c>
      <c r="Y25" s="255">
        <v>6232.0</v>
      </c>
    </row>
    <row r="26" ht="22.5" customHeight="1">
      <c r="A26" s="248" t="s">
        <v>205</v>
      </c>
      <c r="B26" s="251">
        <v>7680.0</v>
      </c>
      <c r="F26" s="248" t="s">
        <v>159</v>
      </c>
      <c r="G26" s="251">
        <v>3245.0</v>
      </c>
      <c r="K26" s="259" t="s">
        <v>416</v>
      </c>
      <c r="L26" s="251">
        <v>5655.0</v>
      </c>
      <c r="Q26" s="253" t="s">
        <v>205</v>
      </c>
      <c r="R26" s="255">
        <v>7680.0</v>
      </c>
      <c r="W26" s="253" t="s">
        <v>309</v>
      </c>
      <c r="X26" s="255">
        <v>11.0</v>
      </c>
      <c r="Y26" s="255">
        <v>5790.0</v>
      </c>
    </row>
    <row r="27" ht="22.5" customHeight="1">
      <c r="A27" s="259" t="s">
        <v>185</v>
      </c>
      <c r="B27" s="251">
        <v>7375.0</v>
      </c>
      <c r="F27" s="259" t="s">
        <v>144</v>
      </c>
      <c r="G27" s="251">
        <v>3190.0</v>
      </c>
      <c r="K27" s="248" t="s">
        <v>256</v>
      </c>
      <c r="L27" s="251">
        <v>5080.0</v>
      </c>
      <c r="Q27" s="253" t="s">
        <v>185</v>
      </c>
      <c r="R27" s="255">
        <v>7375.0</v>
      </c>
      <c r="W27" s="253" t="s">
        <v>416</v>
      </c>
      <c r="X27" s="255">
        <v>15.0</v>
      </c>
      <c r="Y27" s="255">
        <v>5655.0</v>
      </c>
    </row>
    <row r="28" ht="22.5" customHeight="1">
      <c r="Q28" s="253" t="s">
        <v>173</v>
      </c>
      <c r="R28" s="255">
        <v>6775.0</v>
      </c>
      <c r="W28" s="253" t="s">
        <v>57</v>
      </c>
      <c r="X28" s="255">
        <v>8.0</v>
      </c>
      <c r="Y28" s="255">
        <v>5130.0</v>
      </c>
    </row>
    <row r="29" ht="22.5" customHeight="1">
      <c r="Q29" s="253" t="s">
        <v>153</v>
      </c>
      <c r="R29" s="255">
        <v>4570.0</v>
      </c>
      <c r="W29" s="253" t="s">
        <v>78</v>
      </c>
      <c r="X29" s="255">
        <v>10.0</v>
      </c>
      <c r="Y29" s="255">
        <v>5050.0</v>
      </c>
    </row>
    <row r="30" ht="22.5" customHeight="1">
      <c r="Q30" s="253" t="s">
        <v>559</v>
      </c>
      <c r="R30" s="255">
        <v>4320.0</v>
      </c>
      <c r="W30" s="253" t="s">
        <v>454</v>
      </c>
      <c r="X30" s="255">
        <v>18.0</v>
      </c>
      <c r="Y30" s="255">
        <v>4470.0</v>
      </c>
    </row>
    <row r="31" ht="22.5" customHeight="1">
      <c r="Q31" s="253" t="s">
        <v>207</v>
      </c>
      <c r="R31" s="255">
        <v>3840.0</v>
      </c>
      <c r="W31" s="253" t="s">
        <v>148</v>
      </c>
      <c r="X31" s="255">
        <v>10.0</v>
      </c>
      <c r="Y31" s="255">
        <v>4150.0</v>
      </c>
    </row>
    <row r="32" ht="22.5" customHeight="1">
      <c r="Q32" s="253" t="s">
        <v>210</v>
      </c>
      <c r="R32" s="255">
        <v>3680.0</v>
      </c>
      <c r="W32" s="253" t="s">
        <v>228</v>
      </c>
      <c r="X32" s="255">
        <v>6.0</v>
      </c>
      <c r="Y32" s="255">
        <v>3300.0</v>
      </c>
    </row>
    <row r="33" ht="22.5" customHeight="1">
      <c r="A33" s="270" t="s">
        <v>562</v>
      </c>
      <c r="Q33" s="253" t="s">
        <v>201</v>
      </c>
      <c r="R33" s="255">
        <v>3600.0</v>
      </c>
      <c r="W33" s="253" t="s">
        <v>553</v>
      </c>
      <c r="X33" s="255">
        <v>17.0</v>
      </c>
      <c r="Y33" s="255">
        <v>3250.0</v>
      </c>
    </row>
    <row r="34" ht="22.5" customHeight="1">
      <c r="Q34" s="253" t="s">
        <v>564</v>
      </c>
      <c r="R34" s="255">
        <v>2720.0</v>
      </c>
      <c r="W34" s="253" t="s">
        <v>159</v>
      </c>
      <c r="X34" s="255">
        <v>13.0</v>
      </c>
      <c r="Y34" s="255">
        <v>3245.0</v>
      </c>
    </row>
    <row r="35" ht="22.5" customHeight="1">
      <c r="Q35" s="253" t="s">
        <v>141</v>
      </c>
      <c r="R35" s="255">
        <v>2000.0</v>
      </c>
      <c r="W35" s="253" t="s">
        <v>144</v>
      </c>
      <c r="X35" s="255">
        <v>11.0</v>
      </c>
      <c r="Y35" s="255">
        <v>3190.0</v>
      </c>
    </row>
    <row r="36" ht="22.5" customHeight="1">
      <c r="Q36" s="253" t="s">
        <v>226</v>
      </c>
      <c r="R36" s="255">
        <v>1601.0</v>
      </c>
      <c r="W36" s="253" t="s">
        <v>204</v>
      </c>
      <c r="X36" s="255">
        <v>16.0</v>
      </c>
      <c r="Y36" s="255">
        <v>3110.0</v>
      </c>
    </row>
    <row r="37" ht="22.5" customHeight="1">
      <c r="Q37" s="253" t="s">
        <v>214</v>
      </c>
      <c r="R37" s="255">
        <v>1560.0</v>
      </c>
      <c r="W37" s="253" t="s">
        <v>470</v>
      </c>
      <c r="X37" s="255">
        <v>7.0</v>
      </c>
      <c r="Y37" s="255">
        <v>3050.0</v>
      </c>
    </row>
    <row r="38" ht="22.5" customHeight="1">
      <c r="Q38" s="253" t="s">
        <v>212</v>
      </c>
      <c r="R38" s="255">
        <v>1200.0</v>
      </c>
      <c r="W38" s="253" t="s">
        <v>274</v>
      </c>
      <c r="X38" s="255">
        <v>2.0</v>
      </c>
      <c r="Y38" s="255">
        <v>2430.0</v>
      </c>
    </row>
    <row r="39" ht="22.5" customHeight="1">
      <c r="Q39" s="253" t="s">
        <v>138</v>
      </c>
      <c r="R39" s="255">
        <v>1100.0</v>
      </c>
      <c r="W39" s="253" t="s">
        <v>568</v>
      </c>
      <c r="X39" s="255">
        <v>3.0</v>
      </c>
      <c r="Y39" s="255">
        <v>2420.0</v>
      </c>
    </row>
    <row r="40" ht="22.5" customHeight="1">
      <c r="Q40" s="253" t="s">
        <v>217</v>
      </c>
      <c r="R40" s="255">
        <v>1040.0</v>
      </c>
      <c r="W40" s="253" t="s">
        <v>503</v>
      </c>
      <c r="X40" s="255">
        <v>14.0</v>
      </c>
      <c r="Y40" s="255">
        <v>2350.0</v>
      </c>
    </row>
    <row r="41" ht="22.5" customHeight="1">
      <c r="Q41" s="267" t="s">
        <v>145</v>
      </c>
      <c r="R41" s="255">
        <v>1000.0</v>
      </c>
      <c r="W41" s="253" t="s">
        <v>570</v>
      </c>
      <c r="X41" s="255">
        <v>2.0</v>
      </c>
      <c r="Y41" s="255">
        <v>2340.0</v>
      </c>
    </row>
    <row r="42" ht="22.5" customHeight="1">
      <c r="Q42" s="253" t="s">
        <v>572</v>
      </c>
      <c r="R42" s="255">
        <v>825.0</v>
      </c>
      <c r="W42" s="253" t="s">
        <v>164</v>
      </c>
      <c r="X42" s="255">
        <v>10.0</v>
      </c>
      <c r="Y42" s="255">
        <v>2300.0</v>
      </c>
    </row>
    <row r="43" ht="22.5" customHeight="1">
      <c r="Q43" s="253" t="s">
        <v>573</v>
      </c>
      <c r="R43" s="255">
        <v>480.0</v>
      </c>
      <c r="W43" s="253" t="s">
        <v>574</v>
      </c>
      <c r="X43" s="255">
        <v>7.0</v>
      </c>
      <c r="Y43" s="255">
        <v>2160.0</v>
      </c>
    </row>
    <row r="44" ht="22.5" customHeight="1">
      <c r="Q44" s="267" t="s">
        <v>72</v>
      </c>
      <c r="R44" s="255">
        <v>391.0</v>
      </c>
      <c r="W44" s="253" t="s">
        <v>162</v>
      </c>
      <c r="X44" s="255">
        <v>6.0</v>
      </c>
      <c r="Y44" s="255">
        <v>2080.0</v>
      </c>
    </row>
    <row r="45" ht="22.5" customHeight="1">
      <c r="Q45" s="267" t="s">
        <v>85</v>
      </c>
      <c r="R45" s="255">
        <v>330.0</v>
      </c>
      <c r="W45" s="253" t="s">
        <v>94</v>
      </c>
      <c r="X45" s="255">
        <v>4.0</v>
      </c>
      <c r="Y45" s="255">
        <v>2020.0</v>
      </c>
    </row>
    <row r="46" ht="22.5" customHeight="1">
      <c r="Q46" s="253" t="s">
        <v>167</v>
      </c>
      <c r="R46" s="255">
        <v>300.0</v>
      </c>
      <c r="W46" s="253" t="s">
        <v>176</v>
      </c>
      <c r="X46" s="255">
        <v>6.0</v>
      </c>
      <c r="Y46" s="255">
        <v>2000.0</v>
      </c>
    </row>
    <row r="47" ht="22.5" customHeight="1">
      <c r="Q47" s="267" t="s">
        <v>61</v>
      </c>
      <c r="R47" s="255">
        <v>180.0</v>
      </c>
      <c r="W47" s="253" t="s">
        <v>428</v>
      </c>
      <c r="X47" s="255">
        <v>3.0</v>
      </c>
      <c r="Y47" s="255">
        <v>1960.0</v>
      </c>
    </row>
    <row r="48" ht="22.5" customHeight="1">
      <c r="Q48" s="253" t="s">
        <v>579</v>
      </c>
      <c r="R48" s="255">
        <v>155.0</v>
      </c>
      <c r="W48" s="253" t="s">
        <v>366</v>
      </c>
      <c r="X48" s="255">
        <v>1.0</v>
      </c>
      <c r="Y48" s="255">
        <v>1950.0</v>
      </c>
    </row>
    <row r="49" ht="22.5" customHeight="1">
      <c r="Q49" s="253" t="s">
        <v>237</v>
      </c>
      <c r="R49" s="255">
        <v>75.0</v>
      </c>
      <c r="W49" s="253" t="s">
        <v>580</v>
      </c>
      <c r="X49" s="255">
        <v>9.0</v>
      </c>
      <c r="Y49" s="255">
        <v>1950.0</v>
      </c>
    </row>
    <row r="50" ht="22.5" customHeight="1">
      <c r="Q50" s="253" t="s">
        <v>240</v>
      </c>
      <c r="R50" s="255">
        <v>11.0</v>
      </c>
      <c r="W50" s="253" t="s">
        <v>315</v>
      </c>
      <c r="X50" s="255">
        <v>5.0</v>
      </c>
      <c r="Y50" s="255">
        <v>1940.0</v>
      </c>
    </row>
    <row r="51" ht="22.5" customHeight="1">
      <c r="Q51" s="271"/>
      <c r="R51" s="271"/>
      <c r="W51" s="253" t="s">
        <v>256</v>
      </c>
      <c r="X51" s="255">
        <v>9.0</v>
      </c>
      <c r="Y51" s="255">
        <v>1920.0</v>
      </c>
    </row>
    <row r="52" ht="22.5" customHeight="1">
      <c r="W52" s="253" t="s">
        <v>583</v>
      </c>
      <c r="X52" s="255">
        <v>15.0</v>
      </c>
      <c r="Y52" s="255">
        <v>1920.0</v>
      </c>
    </row>
    <row r="53" ht="22.5" customHeight="1">
      <c r="W53" s="253" t="s">
        <v>93</v>
      </c>
      <c r="X53" s="255">
        <v>2.0</v>
      </c>
      <c r="Y53" s="255">
        <v>1720.0</v>
      </c>
    </row>
    <row r="54" ht="22.5" customHeight="1">
      <c r="W54" s="253" t="s">
        <v>442</v>
      </c>
      <c r="X54" s="255">
        <v>4.0</v>
      </c>
      <c r="Y54" s="255">
        <v>1660.0</v>
      </c>
    </row>
    <row r="55" ht="22.5" customHeight="1">
      <c r="W55" s="253" t="s">
        <v>79</v>
      </c>
      <c r="X55" s="255">
        <v>5.0</v>
      </c>
      <c r="Y55" s="255">
        <v>1650.0</v>
      </c>
    </row>
    <row r="56" ht="22.5" customHeight="1">
      <c r="W56" s="253" t="s">
        <v>586</v>
      </c>
      <c r="X56" s="255">
        <v>8.0</v>
      </c>
      <c r="Y56" s="255">
        <v>1640.0</v>
      </c>
    </row>
    <row r="57" ht="22.5" customHeight="1">
      <c r="W57" s="253" t="s">
        <v>263</v>
      </c>
      <c r="X57" s="255">
        <v>10.0</v>
      </c>
      <c r="Y57" s="255">
        <v>1635.0</v>
      </c>
    </row>
    <row r="58" ht="22.5" customHeight="1">
      <c r="W58" s="253" t="s">
        <v>360</v>
      </c>
      <c r="X58" s="255">
        <v>7.0</v>
      </c>
      <c r="Y58" s="255">
        <v>1480.0</v>
      </c>
    </row>
    <row r="59" ht="22.5" customHeight="1">
      <c r="W59" s="253" t="s">
        <v>588</v>
      </c>
      <c r="X59" s="255">
        <v>4.0</v>
      </c>
      <c r="Y59" s="255">
        <v>1480.0</v>
      </c>
    </row>
    <row r="60" ht="22.5" customHeight="1">
      <c r="W60" s="253" t="s">
        <v>213</v>
      </c>
      <c r="X60" s="255">
        <v>8.0</v>
      </c>
      <c r="Y60" s="255">
        <v>1470.0</v>
      </c>
    </row>
    <row r="61" ht="22.5" customHeight="1">
      <c r="W61" s="253" t="s">
        <v>590</v>
      </c>
      <c r="X61" s="255">
        <v>1.0</v>
      </c>
      <c r="Y61" s="255">
        <v>1440.0</v>
      </c>
    </row>
    <row r="62" ht="22.5" customHeight="1">
      <c r="W62" s="253" t="s">
        <v>591</v>
      </c>
      <c r="X62" s="255">
        <v>3.0</v>
      </c>
      <c r="Y62" s="255">
        <v>1420.0</v>
      </c>
    </row>
    <row r="63" ht="22.5" customHeight="1">
      <c r="W63" s="253" t="s">
        <v>99</v>
      </c>
      <c r="X63" s="255">
        <v>5.0</v>
      </c>
      <c r="Y63" s="255">
        <v>1280.0</v>
      </c>
    </row>
    <row r="64" ht="22.5" customHeight="1">
      <c r="W64" s="253" t="s">
        <v>287</v>
      </c>
      <c r="X64" s="255">
        <v>2.0</v>
      </c>
      <c r="Y64" s="255">
        <v>1200.0</v>
      </c>
    </row>
    <row r="65" ht="22.5" customHeight="1">
      <c r="W65" s="253" t="s">
        <v>593</v>
      </c>
      <c r="X65" s="255">
        <v>1.0</v>
      </c>
      <c r="Y65" s="255">
        <v>1200.0</v>
      </c>
    </row>
    <row r="66" ht="22.5" customHeight="1">
      <c r="W66" s="253" t="s">
        <v>594</v>
      </c>
      <c r="X66" s="255">
        <v>2.0</v>
      </c>
      <c r="Y66" s="255">
        <v>1150.0</v>
      </c>
    </row>
    <row r="67" ht="22.5" customHeight="1">
      <c r="W67" s="253" t="s">
        <v>241</v>
      </c>
      <c r="X67" s="255">
        <v>2.0</v>
      </c>
      <c r="Y67" s="255">
        <v>1120.0</v>
      </c>
    </row>
    <row r="68" ht="22.5" customHeight="1">
      <c r="W68" s="253" t="s">
        <v>239</v>
      </c>
      <c r="X68" s="255">
        <v>4.0</v>
      </c>
      <c r="Y68" s="255">
        <v>1120.0</v>
      </c>
    </row>
    <row r="69" ht="22.5" customHeight="1">
      <c r="W69" s="253" t="s">
        <v>174</v>
      </c>
      <c r="X69" s="255">
        <v>2.0</v>
      </c>
      <c r="Y69" s="255">
        <v>960.0</v>
      </c>
    </row>
    <row r="70" ht="22.5" customHeight="1">
      <c r="W70" s="253" t="s">
        <v>426</v>
      </c>
      <c r="X70" s="255">
        <v>1.0</v>
      </c>
      <c r="Y70" s="255">
        <v>960.0</v>
      </c>
    </row>
    <row r="71" ht="22.5" customHeight="1">
      <c r="W71" s="253" t="s">
        <v>452</v>
      </c>
      <c r="X71" s="255">
        <v>3.0</v>
      </c>
      <c r="Y71" s="255">
        <v>880.0</v>
      </c>
    </row>
    <row r="72" ht="22.5" customHeight="1">
      <c r="W72" s="253" t="s">
        <v>111</v>
      </c>
      <c r="X72" s="255">
        <v>4.0</v>
      </c>
      <c r="Y72" s="255">
        <v>855.0</v>
      </c>
    </row>
    <row r="73" ht="22.5" customHeight="1">
      <c r="W73" s="253" t="s">
        <v>220</v>
      </c>
      <c r="X73" s="255">
        <v>4.0</v>
      </c>
      <c r="Y73" s="255">
        <v>840.0</v>
      </c>
    </row>
    <row r="74" ht="22.5" customHeight="1">
      <c r="W74" s="253" t="s">
        <v>209</v>
      </c>
      <c r="X74" s="255">
        <v>2.0</v>
      </c>
      <c r="Y74" s="255">
        <v>800.0</v>
      </c>
    </row>
    <row r="75" ht="22.5" customHeight="1">
      <c r="W75" s="253" t="s">
        <v>333</v>
      </c>
      <c r="X75" s="255">
        <v>1.0</v>
      </c>
      <c r="Y75" s="255">
        <v>800.0</v>
      </c>
    </row>
    <row r="76" ht="22.5" customHeight="1">
      <c r="W76" s="253" t="s">
        <v>409</v>
      </c>
      <c r="X76" s="255">
        <v>1.0</v>
      </c>
      <c r="Y76" s="255">
        <v>800.0</v>
      </c>
    </row>
    <row r="77" ht="22.5" customHeight="1">
      <c r="W77" s="253" t="s">
        <v>53</v>
      </c>
      <c r="X77" s="255">
        <v>1.0</v>
      </c>
      <c r="Y77" s="255">
        <v>800.0</v>
      </c>
    </row>
    <row r="78" ht="22.5" customHeight="1">
      <c r="W78" s="253" t="s">
        <v>599</v>
      </c>
      <c r="X78" s="255">
        <v>2.0</v>
      </c>
      <c r="Y78" s="255">
        <v>800.0</v>
      </c>
    </row>
    <row r="79" ht="22.5" customHeight="1">
      <c r="W79" s="253" t="s">
        <v>134</v>
      </c>
      <c r="X79" s="255">
        <v>8.0</v>
      </c>
      <c r="Y79" s="255">
        <v>781.0</v>
      </c>
    </row>
    <row r="80" ht="22.5" customHeight="1">
      <c r="W80" s="253" t="s">
        <v>323</v>
      </c>
      <c r="X80" s="255">
        <v>4.0</v>
      </c>
      <c r="Y80" s="255">
        <v>760.0</v>
      </c>
    </row>
    <row r="81" ht="22.5" customHeight="1">
      <c r="W81" s="253" t="s">
        <v>379</v>
      </c>
      <c r="X81" s="255">
        <v>2.0</v>
      </c>
      <c r="Y81" s="255">
        <v>720.0</v>
      </c>
    </row>
    <row r="82" ht="22.5" customHeight="1">
      <c r="W82" s="253" t="s">
        <v>602</v>
      </c>
      <c r="X82" s="255">
        <v>1.0</v>
      </c>
      <c r="Y82" s="255">
        <v>700.0</v>
      </c>
    </row>
    <row r="83" ht="22.5" customHeight="1">
      <c r="W83" s="253" t="s">
        <v>604</v>
      </c>
      <c r="X83" s="255">
        <v>1.0</v>
      </c>
      <c r="Y83" s="255">
        <v>700.0</v>
      </c>
    </row>
    <row r="84" ht="22.5" customHeight="1">
      <c r="W84" s="253" t="s">
        <v>235</v>
      </c>
      <c r="X84" s="255">
        <v>1.0</v>
      </c>
      <c r="Y84" s="255">
        <v>640.0</v>
      </c>
    </row>
    <row r="85" ht="22.5" customHeight="1">
      <c r="W85" s="253" t="s">
        <v>605</v>
      </c>
      <c r="X85" s="255">
        <v>1.0</v>
      </c>
      <c r="Y85" s="255">
        <v>640.0</v>
      </c>
    </row>
    <row r="86" ht="22.5" customHeight="1">
      <c r="W86" s="253" t="s">
        <v>607</v>
      </c>
      <c r="X86" s="255">
        <v>1.0</v>
      </c>
      <c r="Y86" s="255">
        <v>640.0</v>
      </c>
    </row>
    <row r="87" ht="22.5" customHeight="1">
      <c r="W87" s="253" t="s">
        <v>608</v>
      </c>
      <c r="X87" s="255">
        <v>2.0</v>
      </c>
      <c r="Y87" s="255">
        <v>630.0</v>
      </c>
    </row>
    <row r="88" ht="22.5" customHeight="1">
      <c r="W88" s="253" t="s">
        <v>150</v>
      </c>
      <c r="X88" s="255">
        <v>1.0</v>
      </c>
      <c r="Y88" s="255">
        <v>560.0</v>
      </c>
    </row>
    <row r="89" ht="22.5" customHeight="1">
      <c r="W89" s="253" t="s">
        <v>512</v>
      </c>
      <c r="X89" s="255">
        <v>2.0</v>
      </c>
      <c r="Y89" s="255">
        <v>560.0</v>
      </c>
    </row>
    <row r="90" ht="22.5" customHeight="1">
      <c r="W90" s="253" t="s">
        <v>467</v>
      </c>
      <c r="X90" s="255">
        <v>2.0</v>
      </c>
      <c r="Y90" s="255">
        <v>560.0</v>
      </c>
    </row>
    <row r="91" ht="22.5" customHeight="1">
      <c r="W91" s="253" t="s">
        <v>102</v>
      </c>
      <c r="X91" s="255">
        <v>4.0</v>
      </c>
      <c r="Y91" s="255">
        <v>538.0</v>
      </c>
    </row>
    <row r="92" ht="22.5" customHeight="1">
      <c r="W92" s="253" t="s">
        <v>461</v>
      </c>
      <c r="X92" s="255">
        <v>2.0</v>
      </c>
      <c r="Y92" s="255">
        <v>500.0</v>
      </c>
    </row>
    <row r="93" ht="22.5" customHeight="1">
      <c r="W93" s="253" t="s">
        <v>497</v>
      </c>
      <c r="X93" s="255">
        <v>1.0</v>
      </c>
      <c r="Y93" s="255">
        <v>500.0</v>
      </c>
    </row>
    <row r="94" ht="22.5" customHeight="1">
      <c r="W94" s="253" t="s">
        <v>218</v>
      </c>
      <c r="X94" s="255">
        <v>2.0</v>
      </c>
      <c r="Y94" s="255">
        <v>480.0</v>
      </c>
    </row>
    <row r="95" ht="22.5" customHeight="1">
      <c r="W95" s="253" t="s">
        <v>267</v>
      </c>
      <c r="X95" s="255">
        <v>2.0</v>
      </c>
      <c r="Y95" s="255">
        <v>480.0</v>
      </c>
    </row>
    <row r="96" ht="22.5" customHeight="1">
      <c r="W96" s="253" t="s">
        <v>347</v>
      </c>
      <c r="X96" s="255">
        <v>1.0</v>
      </c>
      <c r="Y96" s="255">
        <v>480.0</v>
      </c>
    </row>
    <row r="97" ht="22.5" customHeight="1">
      <c r="W97" s="253" t="s">
        <v>350</v>
      </c>
      <c r="X97" s="255">
        <v>1.0</v>
      </c>
      <c r="Y97" s="255">
        <v>480.0</v>
      </c>
    </row>
    <row r="98" ht="22.5" customHeight="1">
      <c r="W98" s="253" t="s">
        <v>614</v>
      </c>
      <c r="X98" s="255">
        <v>2.0</v>
      </c>
      <c r="Y98" s="255">
        <v>480.0</v>
      </c>
    </row>
    <row r="99" ht="22.5" customHeight="1">
      <c r="W99" s="253" t="s">
        <v>612</v>
      </c>
      <c r="X99" s="255">
        <v>1.0</v>
      </c>
      <c r="Y99" s="255">
        <v>480.0</v>
      </c>
    </row>
    <row r="100" ht="22.5" customHeight="1">
      <c r="W100" s="253" t="s">
        <v>616</v>
      </c>
      <c r="X100" s="255">
        <v>2.0</v>
      </c>
      <c r="Y100" s="255">
        <v>480.0</v>
      </c>
    </row>
    <row r="101" ht="22.5" customHeight="1">
      <c r="W101" s="253" t="s">
        <v>617</v>
      </c>
      <c r="X101" s="255">
        <v>2.0</v>
      </c>
      <c r="Y101" s="255">
        <v>480.0</v>
      </c>
    </row>
    <row r="102" ht="22.5" customHeight="1">
      <c r="W102" s="253" t="s">
        <v>620</v>
      </c>
      <c r="X102" s="255">
        <v>4.0</v>
      </c>
      <c r="Y102" s="255">
        <v>471.0</v>
      </c>
    </row>
    <row r="103" ht="22.5" customHeight="1">
      <c r="W103" s="253" t="s">
        <v>621</v>
      </c>
      <c r="X103" s="255">
        <v>2.0</v>
      </c>
      <c r="Y103" s="255">
        <v>440.0</v>
      </c>
    </row>
    <row r="104" ht="22.5" customHeight="1">
      <c r="W104" s="253" t="s">
        <v>622</v>
      </c>
      <c r="X104" s="255">
        <v>5.0</v>
      </c>
      <c r="Y104" s="255">
        <v>420.0</v>
      </c>
    </row>
    <row r="105" ht="22.5" customHeight="1">
      <c r="W105" s="253" t="s">
        <v>294</v>
      </c>
      <c r="X105" s="255">
        <v>2.0</v>
      </c>
      <c r="Y105" s="255">
        <v>400.0</v>
      </c>
    </row>
    <row r="106" ht="22.5" customHeight="1">
      <c r="W106" s="253" t="s">
        <v>319</v>
      </c>
      <c r="X106" s="255">
        <v>1.0</v>
      </c>
      <c r="Y106" s="255">
        <v>400.0</v>
      </c>
    </row>
    <row r="107" ht="22.5" customHeight="1">
      <c r="W107" s="253" t="s">
        <v>624</v>
      </c>
      <c r="X107" s="255">
        <v>1.0</v>
      </c>
      <c r="Y107" s="255">
        <v>400.0</v>
      </c>
    </row>
    <row r="108" ht="22.5" customHeight="1">
      <c r="W108" s="253" t="s">
        <v>625</v>
      </c>
      <c r="X108" s="255">
        <v>1.0</v>
      </c>
      <c r="Y108" s="255">
        <v>400.0</v>
      </c>
    </row>
    <row r="109" ht="22.5" customHeight="1">
      <c r="W109" s="253" t="s">
        <v>626</v>
      </c>
      <c r="X109" s="255">
        <v>1.0</v>
      </c>
      <c r="Y109" s="255">
        <v>400.0</v>
      </c>
    </row>
    <row r="110" ht="22.5" customHeight="1">
      <c r="W110" s="253" t="s">
        <v>627</v>
      </c>
      <c r="X110" s="255">
        <v>1.0</v>
      </c>
      <c r="Y110" s="255">
        <v>400.0</v>
      </c>
    </row>
    <row r="111" ht="22.5" customHeight="1">
      <c r="W111" s="253" t="s">
        <v>628</v>
      </c>
      <c r="X111" s="255">
        <v>1.0</v>
      </c>
      <c r="Y111" s="255">
        <v>400.0</v>
      </c>
    </row>
    <row r="112" ht="22.5" customHeight="1">
      <c r="W112" s="253" t="s">
        <v>630</v>
      </c>
      <c r="X112" s="255">
        <v>1.0</v>
      </c>
      <c r="Y112" s="255">
        <v>400.0</v>
      </c>
    </row>
    <row r="113" ht="22.5" customHeight="1">
      <c r="W113" s="253" t="s">
        <v>632</v>
      </c>
      <c r="X113" s="255">
        <v>1.0</v>
      </c>
      <c r="Y113" s="255">
        <v>400.0</v>
      </c>
    </row>
    <row r="114" ht="22.5" customHeight="1">
      <c r="W114" s="253" t="s">
        <v>633</v>
      </c>
      <c r="X114" s="255">
        <v>4.0</v>
      </c>
      <c r="Y114" s="255">
        <v>396.0</v>
      </c>
    </row>
    <row r="115" ht="22.5" customHeight="1">
      <c r="W115" s="253" t="s">
        <v>634</v>
      </c>
      <c r="X115" s="255">
        <v>3.0</v>
      </c>
      <c r="Y115" s="255">
        <v>360.0</v>
      </c>
    </row>
    <row r="116" ht="22.5" customHeight="1">
      <c r="W116" s="253" t="s">
        <v>358</v>
      </c>
      <c r="X116" s="255">
        <v>1.0</v>
      </c>
      <c r="Y116" s="255">
        <v>320.0</v>
      </c>
    </row>
    <row r="117" ht="22.5" customHeight="1">
      <c r="W117" s="253" t="s">
        <v>231</v>
      </c>
      <c r="X117" s="255">
        <v>1.0</v>
      </c>
      <c r="Y117" s="255">
        <v>320.0</v>
      </c>
    </row>
    <row r="118" ht="22.5" customHeight="1">
      <c r="W118" s="253" t="s">
        <v>261</v>
      </c>
      <c r="X118" s="255">
        <v>1.0</v>
      </c>
      <c r="Y118" s="255">
        <v>320.0</v>
      </c>
    </row>
    <row r="119" ht="22.5" customHeight="1">
      <c r="W119" s="253" t="s">
        <v>338</v>
      </c>
      <c r="X119" s="255">
        <v>1.0</v>
      </c>
      <c r="Y119" s="255">
        <v>320.0</v>
      </c>
    </row>
    <row r="120" ht="22.5" customHeight="1">
      <c r="W120" s="253" t="s">
        <v>362</v>
      </c>
      <c r="X120" s="255">
        <v>1.0</v>
      </c>
      <c r="Y120" s="255">
        <v>320.0</v>
      </c>
    </row>
    <row r="121" ht="22.5" customHeight="1">
      <c r="W121" s="253" t="s">
        <v>565</v>
      </c>
      <c r="X121" s="255">
        <v>1.0</v>
      </c>
      <c r="Y121" s="255">
        <v>320.0</v>
      </c>
    </row>
    <row r="122" ht="22.5" customHeight="1">
      <c r="W122" s="253" t="s">
        <v>109</v>
      </c>
      <c r="X122" s="255">
        <v>1.0</v>
      </c>
      <c r="Y122" s="255">
        <v>320.0</v>
      </c>
    </row>
    <row r="123" ht="22.5" customHeight="1">
      <c r="W123" s="253" t="s">
        <v>638</v>
      </c>
      <c r="X123" s="255">
        <v>1.0</v>
      </c>
      <c r="Y123" s="255">
        <v>320.0</v>
      </c>
    </row>
    <row r="124" ht="22.5" customHeight="1">
      <c r="W124" s="253" t="s">
        <v>640</v>
      </c>
      <c r="X124" s="255">
        <v>1.0</v>
      </c>
      <c r="Y124" s="255">
        <v>320.0</v>
      </c>
    </row>
    <row r="125" ht="22.5" customHeight="1">
      <c r="W125" s="253" t="s">
        <v>641</v>
      </c>
      <c r="X125" s="255">
        <v>1.0</v>
      </c>
      <c r="Y125" s="255">
        <v>320.0</v>
      </c>
    </row>
    <row r="126" ht="22.5" customHeight="1">
      <c r="W126" s="253" t="s">
        <v>457</v>
      </c>
      <c r="X126" s="255">
        <v>1.0</v>
      </c>
      <c r="Y126" s="255">
        <v>320.0</v>
      </c>
    </row>
    <row r="127" ht="22.5" customHeight="1">
      <c r="W127" s="253" t="s">
        <v>531</v>
      </c>
      <c r="X127" s="255">
        <v>1.0</v>
      </c>
      <c r="Y127" s="255">
        <v>320.0</v>
      </c>
    </row>
    <row r="128" ht="22.5" customHeight="1">
      <c r="W128" s="253" t="s">
        <v>644</v>
      </c>
      <c r="X128" s="255">
        <v>1.0</v>
      </c>
      <c r="Y128" s="255">
        <v>300.0</v>
      </c>
    </row>
    <row r="129" ht="22.5" customHeight="1">
      <c r="W129" s="253" t="s">
        <v>645</v>
      </c>
      <c r="X129" s="255">
        <v>1.0</v>
      </c>
      <c r="Y129" s="255">
        <v>288.0</v>
      </c>
    </row>
    <row r="130" ht="22.5" customHeight="1">
      <c r="W130" s="253" t="s">
        <v>646</v>
      </c>
      <c r="X130" s="255">
        <v>3.0</v>
      </c>
      <c r="Y130" s="255">
        <v>280.0</v>
      </c>
    </row>
    <row r="131" ht="22.5" customHeight="1">
      <c r="W131" s="253" t="s">
        <v>289</v>
      </c>
      <c r="X131" s="255">
        <v>1.0</v>
      </c>
      <c r="Y131" s="255">
        <v>240.0</v>
      </c>
    </row>
    <row r="132" ht="22.5" customHeight="1">
      <c r="W132" s="253" t="s">
        <v>648</v>
      </c>
      <c r="X132" s="255">
        <v>1.0</v>
      </c>
      <c r="Y132" s="255">
        <v>240.0</v>
      </c>
    </row>
    <row r="133" ht="22.5" customHeight="1">
      <c r="W133" s="253" t="s">
        <v>376</v>
      </c>
      <c r="X133" s="255">
        <v>1.0</v>
      </c>
      <c r="Y133" s="255">
        <v>215.0</v>
      </c>
    </row>
    <row r="134" ht="22.5" customHeight="1">
      <c r="W134" s="253" t="s">
        <v>403</v>
      </c>
      <c r="X134" s="255">
        <v>2.0</v>
      </c>
      <c r="Y134" s="255">
        <v>200.0</v>
      </c>
    </row>
    <row r="135" ht="22.5" customHeight="1">
      <c r="W135" s="253" t="s">
        <v>484</v>
      </c>
      <c r="X135" s="255">
        <v>1.0</v>
      </c>
      <c r="Y135" s="255">
        <v>160.0</v>
      </c>
    </row>
    <row r="136" ht="22.5" customHeight="1">
      <c r="W136" s="253" t="s">
        <v>651</v>
      </c>
      <c r="X136" s="255">
        <v>2.0</v>
      </c>
      <c r="Y136" s="255">
        <v>160.0</v>
      </c>
    </row>
    <row r="137" ht="22.5" customHeight="1">
      <c r="W137" s="253" t="s">
        <v>653</v>
      </c>
      <c r="X137" s="255">
        <v>1.0</v>
      </c>
      <c r="Y137" s="255">
        <v>160.0</v>
      </c>
    </row>
    <row r="138" ht="22.5" customHeight="1">
      <c r="W138" s="253" t="s">
        <v>369</v>
      </c>
      <c r="X138" s="255">
        <v>1.0</v>
      </c>
      <c r="Y138" s="255">
        <v>160.0</v>
      </c>
    </row>
    <row r="139" ht="22.5" customHeight="1">
      <c r="W139" s="253" t="s">
        <v>411</v>
      </c>
      <c r="X139" s="255">
        <v>1.0</v>
      </c>
      <c r="Y139" s="255">
        <v>160.0</v>
      </c>
    </row>
    <row r="140" ht="22.5" customHeight="1">
      <c r="W140" s="253" t="s">
        <v>655</v>
      </c>
      <c r="X140" s="255">
        <v>2.0</v>
      </c>
      <c r="Y140" s="255">
        <v>160.0</v>
      </c>
    </row>
    <row r="141" ht="22.5" customHeight="1">
      <c r="W141" s="253" t="s">
        <v>233</v>
      </c>
      <c r="X141" s="255">
        <v>1.0</v>
      </c>
      <c r="Y141" s="255">
        <v>80.0</v>
      </c>
    </row>
    <row r="142" ht="22.5" customHeight="1">
      <c r="W142" s="253" t="s">
        <v>131</v>
      </c>
      <c r="X142" s="255">
        <v>1.0</v>
      </c>
      <c r="Y142" s="255">
        <v>80.0</v>
      </c>
    </row>
    <row r="143" ht="22.5" customHeight="1">
      <c r="W143" s="253" t="s">
        <v>658</v>
      </c>
      <c r="X143" s="255">
        <v>1.0</v>
      </c>
      <c r="Y143" s="255">
        <v>80.0</v>
      </c>
    </row>
    <row r="144" ht="22.5" customHeight="1">
      <c r="W144" s="253" t="s">
        <v>548</v>
      </c>
      <c r="X144" s="255">
        <v>1.0</v>
      </c>
      <c r="Y144" s="255">
        <v>80.0</v>
      </c>
    </row>
    <row r="145" ht="22.5" customHeight="1">
      <c r="W145" s="253" t="s">
        <v>70</v>
      </c>
      <c r="X145" s="255">
        <v>1.0</v>
      </c>
      <c r="Y145" s="255">
        <v>72.0</v>
      </c>
    </row>
  </sheetData>
  <mergeCells count="1">
    <mergeCell ref="A33:E33"/>
  </mergeCells>
  <dataValidations>
    <dataValidation type="custom" allowBlank="1" showDropDown="1" sqref="L18:L27 B18:B27 G18:G27">
      <formula1>AND(ISNUMBER(B18),(NOT(OR(NOT(ISERROR(DATEVALUE(B18))), AND(ISNUMBER(B18), LEFT(CELL("format", B18))="D")))))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4" width="8.88"/>
    <col customWidth="1" min="5" max="5" width="7.75"/>
    <col customWidth="1" min="6" max="6" width="8.88"/>
    <col customWidth="1" min="7" max="7" width="10.5"/>
    <col customWidth="1" min="8" max="9" width="8.88"/>
    <col customWidth="1" min="10" max="10" width="8.38"/>
    <col customWidth="1" min="11" max="11" width="10.5"/>
    <col customWidth="1" min="12" max="12" width="8.25"/>
    <col customWidth="1" min="13" max="13" width="7.75"/>
    <col customWidth="1" min="14" max="14" width="14.0"/>
    <col customWidth="1" min="15" max="15" width="11.25"/>
    <col customWidth="1" min="16" max="16" width="10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/>
      <c r="B3" s="278" t="s">
        <v>34</v>
      </c>
      <c r="C3" s="279"/>
      <c r="D3" s="4"/>
      <c r="E3" s="280" t="s">
        <v>40</v>
      </c>
      <c r="F3" s="279"/>
      <c r="G3" s="281" t="s">
        <v>32</v>
      </c>
      <c r="H3" s="4"/>
      <c r="I3" s="282" t="s">
        <v>674</v>
      </c>
      <c r="J3" s="4"/>
      <c r="K3" s="283" t="s">
        <v>675</v>
      </c>
      <c r="L3" s="279"/>
      <c r="M3" s="4"/>
      <c r="N3" s="284" t="s">
        <v>676</v>
      </c>
      <c r="O3" s="285"/>
      <c r="P3" s="279"/>
      <c r="Q3" s="4"/>
    </row>
    <row r="4">
      <c r="A4" s="4"/>
      <c r="B4" s="286">
        <f>SUMIF(Orders!$M$2:$M$1682,"Instapay",Orders!$L$2:$L$1682)</f>
        <v>129035</v>
      </c>
      <c r="C4" s="287" t="s">
        <v>678</v>
      </c>
      <c r="D4" s="4"/>
      <c r="E4" s="286">
        <f>SUMIF(Orders!$R$2:$R$1682,"Instapay",Orders!$Q$2:$Q$1682)</f>
        <v>9980</v>
      </c>
      <c r="F4" s="287" t="s">
        <v>678</v>
      </c>
      <c r="G4" s="288">
        <f t="shared" ref="G4:G10" si="1">B4+E4</f>
        <v>139015</v>
      </c>
      <c r="H4" s="4"/>
      <c r="I4" s="288">
        <f t="shared" ref="I4:I9" si="2">G4-K4</f>
        <v>14460</v>
      </c>
      <c r="J4" s="4"/>
      <c r="K4" s="286">
        <f>'محفظتي'!A358</f>
        <v>124555</v>
      </c>
      <c r="L4" s="287" t="s">
        <v>678</v>
      </c>
      <c r="M4" s="4"/>
      <c r="N4" s="289">
        <v>30000.0</v>
      </c>
      <c r="O4" s="290">
        <v>0.40069444444444446</v>
      </c>
      <c r="P4" s="291">
        <v>46132.0</v>
      </c>
      <c r="Q4" s="4"/>
    </row>
    <row r="5">
      <c r="A5" s="4"/>
      <c r="B5" s="286">
        <f>SUMIF(Orders!$M$2:$M$1682,"VF",Orders!$L$2:$L$1682)</f>
        <v>11195</v>
      </c>
      <c r="C5" s="292" t="s">
        <v>110</v>
      </c>
      <c r="D5" s="4"/>
      <c r="E5" s="286">
        <f>SUMIF(Orders!$R$2:$R$1682,"VF",Orders!$Q$2:$Q$1682)</f>
        <v>0</v>
      </c>
      <c r="F5" s="292" t="s">
        <v>110</v>
      </c>
      <c r="G5" s="288">
        <f t="shared" si="1"/>
        <v>11195</v>
      </c>
      <c r="H5" s="4"/>
      <c r="I5" s="288">
        <f t="shared" si="2"/>
        <v>-2175</v>
      </c>
      <c r="J5" s="4"/>
      <c r="K5" s="286">
        <f>'محفظتي'!E358</f>
        <v>13370</v>
      </c>
      <c r="L5" s="292" t="s">
        <v>110</v>
      </c>
      <c r="M5" s="4"/>
      <c r="N5" s="293">
        <v>3000.0</v>
      </c>
      <c r="O5" s="290">
        <v>0.3486111111111111</v>
      </c>
      <c r="P5" s="291">
        <v>46212.0</v>
      </c>
      <c r="Q5" s="4"/>
    </row>
    <row r="6">
      <c r="A6" s="4"/>
      <c r="B6" s="286">
        <f>SUMIF(Orders!$M$2:$M$1682,"CASH",Orders!$L$2:$L$1682)</f>
        <v>2881</v>
      </c>
      <c r="C6" s="294" t="s">
        <v>271</v>
      </c>
      <c r="D6" s="4"/>
      <c r="E6" s="286">
        <f>SUMIF(Orders!$R$2:$R$1682,"CASH",Orders!$Q$2:$Q$1682)</f>
        <v>5345</v>
      </c>
      <c r="F6" s="294" t="s">
        <v>271</v>
      </c>
      <c r="G6" s="288">
        <f t="shared" si="1"/>
        <v>8226</v>
      </c>
      <c r="H6" s="4"/>
      <c r="I6" s="288">
        <f t="shared" si="2"/>
        <v>-4484</v>
      </c>
      <c r="J6" s="4"/>
      <c r="K6" s="286">
        <f>'محفظتي'!I358</f>
        <v>12710</v>
      </c>
      <c r="L6" s="294" t="s">
        <v>271</v>
      </c>
      <c r="M6" s="4"/>
      <c r="N6" s="293">
        <v>3000.0</v>
      </c>
      <c r="O6" s="293" t="s">
        <v>682</v>
      </c>
      <c r="P6" s="291">
        <v>46212.0</v>
      </c>
      <c r="Q6" s="4"/>
    </row>
    <row r="7">
      <c r="A7" s="4"/>
      <c r="B7" s="286">
        <f>SUMIF(Orders!$M$2:$M$1682,"Visa post ",Orders!$L$2:$L$1682)</f>
        <v>0</v>
      </c>
      <c r="C7" s="295" t="s">
        <v>115</v>
      </c>
      <c r="D7" s="4"/>
      <c r="E7" s="286">
        <f>SUMIF(Orders!$R$2:$R$1682,"Visa post ",Orders!$Q$2:$Q$1682)</f>
        <v>7265</v>
      </c>
      <c r="F7" s="295" t="s">
        <v>115</v>
      </c>
      <c r="G7" s="288">
        <f t="shared" si="1"/>
        <v>7265</v>
      </c>
      <c r="H7" s="4"/>
      <c r="I7" s="288">
        <f t="shared" si="2"/>
        <v>1665</v>
      </c>
      <c r="J7" s="4"/>
      <c r="K7" s="286">
        <f>'محفظتي'!M358</f>
        <v>5600</v>
      </c>
      <c r="L7" s="295" t="s">
        <v>115</v>
      </c>
      <c r="M7" s="4"/>
      <c r="N7" s="293"/>
      <c r="O7" s="296"/>
      <c r="P7" s="297"/>
      <c r="Q7" s="4"/>
    </row>
    <row r="8">
      <c r="A8" s="4"/>
      <c r="B8" s="286">
        <f>SUMIF(Orders!$M$2:$M$1682,"Postaa",Orders!$L$2:$L$1682)</f>
        <v>0</v>
      </c>
      <c r="C8" s="298" t="s">
        <v>684</v>
      </c>
      <c r="D8" s="4"/>
      <c r="E8" s="286">
        <f>SUMIF(Orders!$R$2:$R$1682,"Postaa",Orders!$Q$2:$Q$1682)</f>
        <v>21952</v>
      </c>
      <c r="F8" s="298" t="s">
        <v>684</v>
      </c>
      <c r="G8" s="288">
        <f t="shared" si="1"/>
        <v>21952</v>
      </c>
      <c r="H8" s="4"/>
      <c r="I8" s="288">
        <f t="shared" si="2"/>
        <v>1552</v>
      </c>
      <c r="J8" s="4"/>
      <c r="K8" s="286">
        <f>'محفظتي'!Q358</f>
        <v>20400</v>
      </c>
      <c r="L8" s="298" t="s">
        <v>684</v>
      </c>
      <c r="M8" s="4"/>
      <c r="N8" s="293"/>
      <c r="O8" s="296"/>
      <c r="P8" s="297"/>
      <c r="Q8" s="4"/>
    </row>
    <row r="9">
      <c r="B9" s="286">
        <f>SUMIF(Orders!$M$2:$M$1682,"Last",Orders!$L$2:$L$1682)</f>
        <v>0</v>
      </c>
      <c r="C9" s="299" t="s">
        <v>687</v>
      </c>
      <c r="D9" s="4"/>
      <c r="E9" s="286">
        <f>SUMIF(Orders!$R$2:$R$1682,"Last",Orders!$Q$2:$Q$1682)</f>
        <v>24473</v>
      </c>
      <c r="F9" s="299" t="s">
        <v>687</v>
      </c>
      <c r="G9" s="288">
        <f t="shared" si="1"/>
        <v>24473</v>
      </c>
      <c r="H9" s="4"/>
      <c r="I9" s="288">
        <f t="shared" si="2"/>
        <v>-8757</v>
      </c>
      <c r="J9" s="4"/>
      <c r="K9" s="286">
        <f>'محفظتي'!U358</f>
        <v>33230</v>
      </c>
      <c r="L9" s="299" t="s">
        <v>687</v>
      </c>
      <c r="M9" s="4"/>
      <c r="N9" s="293"/>
      <c r="O9" s="296"/>
      <c r="P9" s="297"/>
      <c r="Q9" s="4"/>
    </row>
    <row r="10">
      <c r="A10" s="4"/>
      <c r="B10" s="300">
        <f>SUM(B4:B8)</f>
        <v>143111</v>
      </c>
      <c r="C10" s="300"/>
      <c r="D10" s="300"/>
      <c r="E10" s="300">
        <f>SUM(E4:E9)</f>
        <v>69015</v>
      </c>
      <c r="F10" s="300"/>
      <c r="G10" s="300">
        <f t="shared" si="1"/>
        <v>212126</v>
      </c>
      <c r="H10" s="301"/>
      <c r="I10" s="302">
        <f>SUM(I4:I9)</f>
        <v>2261</v>
      </c>
      <c r="J10" s="301"/>
      <c r="K10" s="303">
        <f>SUM(K4:K9)</f>
        <v>209865</v>
      </c>
      <c r="L10" s="304"/>
      <c r="M10" s="4"/>
      <c r="N10" s="305">
        <f>SUM(N4:N9)</f>
        <v>36000</v>
      </c>
      <c r="O10" s="285"/>
      <c r="P10" s="279"/>
      <c r="Q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06"/>
      <c r="O11" s="306"/>
      <c r="P11" s="306"/>
      <c r="Q11" s="4"/>
    </row>
    <row r="12">
      <c r="A12" s="4"/>
      <c r="B12" s="307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06"/>
      <c r="O12" s="306"/>
      <c r="P12" s="306"/>
      <c r="Q12" s="4"/>
    </row>
    <row r="13">
      <c r="A13" s="4"/>
      <c r="B13" s="307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O13" s="306"/>
      <c r="P13" s="306"/>
      <c r="Q13" s="4"/>
    </row>
    <row r="14">
      <c r="A14" s="4"/>
      <c r="B14" s="307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18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/>
      <c r="B17" s="4"/>
      <c r="C17" s="266" t="s">
        <v>32</v>
      </c>
      <c r="D17" s="308" t="s">
        <v>34</v>
      </c>
      <c r="E17" s="309" t="s">
        <v>40</v>
      </c>
      <c r="F17" s="310" t="s">
        <v>691</v>
      </c>
      <c r="G17" s="311" t="s">
        <v>693</v>
      </c>
      <c r="H17" s="266" t="s">
        <v>675</v>
      </c>
      <c r="I17" s="311" t="s">
        <v>694</v>
      </c>
      <c r="J17" s="311" t="s">
        <v>695</v>
      </c>
      <c r="K17" s="311" t="s">
        <v>696</v>
      </c>
      <c r="L17" s="311" t="s">
        <v>697</v>
      </c>
      <c r="M17" s="312" t="s">
        <v>698</v>
      </c>
      <c r="N17" s="309" t="s">
        <v>699</v>
      </c>
      <c r="O17" s="4"/>
      <c r="P17" s="4"/>
      <c r="Q17" s="4"/>
    </row>
    <row r="18">
      <c r="B18" s="4"/>
      <c r="C18" s="313">
        <f>SUM(Table1[Total])</f>
        <v>250102</v>
      </c>
      <c r="D18" s="314">
        <f>SUM(Orders!L2:L1682)</f>
        <v>144051</v>
      </c>
      <c r="E18" s="314">
        <f>SUM(Orders!Q2:Q1682)</f>
        <v>69015</v>
      </c>
      <c r="F18" s="315">
        <f>D18+E18</f>
        <v>213066</v>
      </c>
      <c r="G18" s="316">
        <f>C18-D18-E18</f>
        <v>37036</v>
      </c>
      <c r="H18" s="317">
        <f>K10</f>
        <v>209865</v>
      </c>
      <c r="I18" s="316">
        <f>'محفظتي'!Y358</f>
        <v>131683.6</v>
      </c>
      <c r="J18" s="316">
        <f>'محفظتي'!AC358</f>
        <v>10508</v>
      </c>
      <c r="K18" s="316">
        <f>'محفظتي'!AG358</f>
        <v>27335</v>
      </c>
      <c r="L18" s="316">
        <f>'محفظتي'!AK358</f>
        <v>5350</v>
      </c>
      <c r="M18" s="318">
        <f>N10</f>
        <v>36000</v>
      </c>
      <c r="N18" s="314">
        <f>H18-I18-J18-K18-M18-L18</f>
        <v>-1011.6</v>
      </c>
      <c r="O18" s="4"/>
      <c r="P18" s="4"/>
      <c r="Q18" s="4"/>
    </row>
    <row r="19">
      <c r="B19" s="4"/>
      <c r="C19" s="4"/>
      <c r="D19" s="4"/>
      <c r="E19" s="4"/>
      <c r="F19" s="4"/>
      <c r="G19" s="4"/>
      <c r="H19" s="319">
        <f>F18-H18</f>
        <v>3201</v>
      </c>
      <c r="I19" s="320"/>
      <c r="J19" s="320"/>
      <c r="K19" s="320"/>
      <c r="L19" s="4"/>
      <c r="M19" s="4"/>
      <c r="N19" s="4"/>
      <c r="O19" s="4"/>
      <c r="P19" s="4"/>
      <c r="Q19" s="4"/>
    </row>
    <row r="20">
      <c r="A20" s="4"/>
      <c r="B20" s="4"/>
      <c r="C20" s="321"/>
      <c r="D20" s="321"/>
      <c r="E20" s="321"/>
      <c r="F20" s="321"/>
      <c r="G20" s="321"/>
      <c r="H20" s="321"/>
      <c r="I20" s="322"/>
      <c r="J20" s="320"/>
      <c r="K20" s="320"/>
      <c r="L20" s="4"/>
      <c r="M20" s="4"/>
      <c r="N20" s="4"/>
      <c r="O20" s="4"/>
      <c r="P20" s="4"/>
      <c r="Q20" s="4"/>
    </row>
    <row r="21">
      <c r="A21" s="4"/>
      <c r="B21" s="4"/>
      <c r="C21" s="4"/>
      <c r="D21" s="4"/>
      <c r="E21" s="4"/>
      <c r="F21" s="4"/>
      <c r="G21" s="4"/>
      <c r="H21" s="4"/>
      <c r="J21" s="320"/>
      <c r="K21" s="323">
        <f>C18-I18-K18</f>
        <v>91083.4</v>
      </c>
      <c r="L21" s="4"/>
      <c r="M21" s="324">
        <f>M18+N18</f>
        <v>34988.4</v>
      </c>
      <c r="N21" s="4"/>
      <c r="O21" s="4"/>
      <c r="P21" s="4"/>
      <c r="Q21" s="4"/>
    </row>
    <row r="22">
      <c r="A22" s="4"/>
      <c r="B22" s="4"/>
      <c r="C22" s="4"/>
      <c r="D22" s="4"/>
      <c r="E22" s="4"/>
      <c r="F22" s="4"/>
      <c r="G22" s="4"/>
      <c r="H22" s="4"/>
      <c r="I22" s="320"/>
      <c r="J22" s="320"/>
      <c r="K22" s="323">
        <f>K21-J18</f>
        <v>80575.4</v>
      </c>
      <c r="L22" s="4"/>
      <c r="M22" s="4"/>
      <c r="N22" s="4"/>
      <c r="O22" s="4"/>
      <c r="P22" s="4"/>
      <c r="Q22" s="4"/>
    </row>
    <row r="23">
      <c r="A23" s="4"/>
      <c r="B23" s="4"/>
      <c r="C23" s="325">
        <f>SUM(Orders!S3:S1683)</f>
        <v>35798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</sheetData>
  <mergeCells count="5">
    <mergeCell ref="B3:C3"/>
    <mergeCell ref="E3:F3"/>
    <mergeCell ref="K3:L3"/>
    <mergeCell ref="N3:P3"/>
    <mergeCell ref="N10:P10"/>
  </mergeCells>
  <conditionalFormatting sqref="I4:I9">
    <cfRule type="cellIs" dxfId="6" priority="1" operator="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1.13"/>
    <col customWidth="1" min="3" max="3" width="8.75"/>
    <col customWidth="1" min="4" max="4" width="4.5"/>
    <col customWidth="1" min="5" max="5" width="8.13"/>
    <col customWidth="1" min="6" max="6" width="11.13"/>
    <col customWidth="1" min="7" max="7" width="8.75"/>
    <col customWidth="1" min="8" max="8" width="4.5"/>
    <col customWidth="1" min="9" max="9" width="8.13"/>
    <col customWidth="1" min="10" max="10" width="11.13"/>
    <col customWidth="1" min="11" max="11" width="8.75"/>
    <col customWidth="1" min="12" max="12" width="4.5"/>
    <col customWidth="1" min="13" max="13" width="8.13"/>
    <col customWidth="1" min="14" max="14" width="11.13"/>
    <col customWidth="1" min="15" max="15" width="8.75"/>
    <col customWidth="1" min="16" max="16" width="4.5"/>
    <col customWidth="1" min="17" max="17" width="8.13"/>
    <col customWidth="1" min="18" max="18" width="11.13"/>
    <col customWidth="1" min="19" max="19" width="9.25"/>
    <col customWidth="1" min="20" max="20" width="4.5"/>
    <col customWidth="1" min="21" max="21" width="6.25"/>
    <col customWidth="1" min="22" max="23" width="9.25"/>
    <col customWidth="1" min="24" max="24" width="4.5"/>
    <col customWidth="1" min="25" max="25" width="13.5"/>
    <col customWidth="1" min="26" max="26" width="21.25"/>
    <col customWidth="1" min="27" max="27" width="9.5"/>
    <col customWidth="1" min="28" max="28" width="4.5"/>
    <col customWidth="1" min="29" max="29" width="10.0"/>
    <col customWidth="1" min="30" max="30" width="23.38"/>
    <col customWidth="1" min="31" max="31" width="9.5"/>
    <col customWidth="1" min="32" max="32" width="4.5"/>
    <col customWidth="1" min="33" max="33" width="11.25"/>
    <col customWidth="1" min="34" max="34" width="13.63"/>
    <col customWidth="1" min="35" max="35" width="10.88"/>
    <col customWidth="1" min="36" max="36" width="3.38"/>
    <col customWidth="1" min="37" max="40" width="10.63"/>
  </cols>
  <sheetData>
    <row r="1">
      <c r="A1" s="326" t="s">
        <v>73</v>
      </c>
      <c r="B1" s="206"/>
      <c r="C1" s="121"/>
      <c r="D1" s="177"/>
      <c r="E1" s="327" t="s">
        <v>110</v>
      </c>
      <c r="F1" s="206"/>
      <c r="G1" s="121"/>
      <c r="H1" s="177"/>
      <c r="I1" s="328" t="s">
        <v>271</v>
      </c>
      <c r="J1" s="2"/>
      <c r="K1" s="3"/>
      <c r="L1" s="4"/>
      <c r="M1" s="329" t="s">
        <v>707</v>
      </c>
      <c r="N1" s="330"/>
      <c r="O1" s="331"/>
      <c r="P1" s="4"/>
      <c r="Q1" s="332" t="s">
        <v>684</v>
      </c>
      <c r="R1" s="330"/>
      <c r="S1" s="331"/>
      <c r="T1" s="4"/>
      <c r="U1" s="333" t="s">
        <v>687</v>
      </c>
      <c r="V1" s="330"/>
      <c r="W1" s="331"/>
      <c r="X1" s="4"/>
      <c r="Y1" s="334" t="s">
        <v>708</v>
      </c>
      <c r="Z1" s="285"/>
      <c r="AA1" s="285"/>
      <c r="AB1" s="285"/>
      <c r="AC1" s="285"/>
      <c r="AD1" s="285"/>
      <c r="AE1" s="279"/>
      <c r="AF1" s="4"/>
      <c r="AG1" s="4"/>
      <c r="AH1" s="4"/>
      <c r="AI1" s="4"/>
      <c r="AJ1" s="4"/>
      <c r="AK1" s="4"/>
      <c r="AL1" s="4"/>
      <c r="AM1" s="4"/>
      <c r="AN1" s="307"/>
    </row>
    <row r="2">
      <c r="A2" s="335">
        <v>1230.0</v>
      </c>
      <c r="B2" s="336">
        <v>0.9673611111111111</v>
      </c>
      <c r="C2" s="337">
        <v>46099.0</v>
      </c>
      <c r="D2" s="177"/>
      <c r="E2" s="338">
        <v>240.0</v>
      </c>
      <c r="F2" s="339">
        <v>0.40555555555555556</v>
      </c>
      <c r="G2" s="340">
        <v>46100.0</v>
      </c>
      <c r="H2" s="177"/>
      <c r="I2" s="338">
        <v>680.0</v>
      </c>
      <c r="J2" s="341" t="s">
        <v>710</v>
      </c>
      <c r="K2" s="340">
        <v>46103.0</v>
      </c>
      <c r="L2" s="4"/>
      <c r="M2" s="338">
        <v>5250.0</v>
      </c>
      <c r="N2" s="341" t="s">
        <v>711</v>
      </c>
      <c r="O2" s="340">
        <v>46121.0</v>
      </c>
      <c r="P2" s="4"/>
      <c r="Q2" s="338">
        <v>13400.0</v>
      </c>
      <c r="R2" s="341" t="s">
        <v>712</v>
      </c>
      <c r="S2" s="340">
        <v>46140.0</v>
      </c>
      <c r="T2" s="4"/>
      <c r="U2" s="342">
        <v>8240.0</v>
      </c>
      <c r="V2" s="281" t="s">
        <v>110</v>
      </c>
      <c r="W2" s="343">
        <v>46200.0</v>
      </c>
      <c r="X2" s="4"/>
      <c r="Y2" s="334" t="s">
        <v>713</v>
      </c>
      <c r="Z2" s="285"/>
      <c r="AA2" s="279"/>
      <c r="AB2" s="344"/>
      <c r="AC2" s="334" t="s">
        <v>500</v>
      </c>
      <c r="AD2" s="285"/>
      <c r="AE2" s="279"/>
      <c r="AF2" s="4"/>
      <c r="AG2" s="334" t="s">
        <v>714</v>
      </c>
      <c r="AH2" s="285"/>
      <c r="AI2" s="279"/>
      <c r="AJ2" s="345"/>
      <c r="AK2" s="281"/>
      <c r="AL2" s="346" t="s">
        <v>480</v>
      </c>
      <c r="AM2" s="36"/>
      <c r="AN2" s="307"/>
    </row>
    <row r="3">
      <c r="A3" s="342">
        <v>1120.0</v>
      </c>
      <c r="B3" s="347">
        <v>0.6680555555555555</v>
      </c>
      <c r="C3" s="337">
        <v>46099.0</v>
      </c>
      <c r="D3" s="177"/>
      <c r="E3" s="342">
        <v>500.0</v>
      </c>
      <c r="F3" s="347">
        <v>0.4673611111111111</v>
      </c>
      <c r="G3" s="343">
        <v>46100.0</v>
      </c>
      <c r="H3" s="177"/>
      <c r="I3" s="342">
        <v>1950.0</v>
      </c>
      <c r="J3" s="282" t="s">
        <v>716</v>
      </c>
      <c r="K3" s="343">
        <v>46108.0</v>
      </c>
      <c r="L3" s="4"/>
      <c r="M3" s="342">
        <v>350.0</v>
      </c>
      <c r="N3" s="282" t="s">
        <v>711</v>
      </c>
      <c r="O3" s="343">
        <v>46156.0</v>
      </c>
      <c r="P3" s="4"/>
      <c r="Q3" s="342">
        <v>2000.0</v>
      </c>
      <c r="R3" s="282" t="s">
        <v>711</v>
      </c>
      <c r="S3" s="343">
        <v>46156.0</v>
      </c>
      <c r="T3" s="4"/>
      <c r="U3" s="342">
        <v>6270.0</v>
      </c>
      <c r="V3" s="281" t="s">
        <v>717</v>
      </c>
      <c r="W3" s="343">
        <v>46208.0</v>
      </c>
      <c r="X3" s="4"/>
      <c r="Y3" s="348">
        <v>650.0</v>
      </c>
      <c r="Z3" s="349" t="s">
        <v>718</v>
      </c>
      <c r="AA3" s="350">
        <v>46102.0</v>
      </c>
      <c r="AB3" s="4"/>
      <c r="AC3" s="351">
        <v>225.0</v>
      </c>
      <c r="AD3" s="349" t="s">
        <v>719</v>
      </c>
      <c r="AE3" s="350">
        <v>46101.0</v>
      </c>
      <c r="AF3" s="4"/>
      <c r="AG3" s="351">
        <v>30.0</v>
      </c>
      <c r="AH3" s="349" t="s">
        <v>71</v>
      </c>
      <c r="AI3" s="350">
        <v>46103.0</v>
      </c>
      <c r="AJ3" s="179"/>
      <c r="AK3" s="351">
        <v>600.0</v>
      </c>
      <c r="AL3" s="352" t="s">
        <v>24</v>
      </c>
      <c r="AM3" s="350">
        <v>46143.0</v>
      </c>
      <c r="AN3" s="179"/>
    </row>
    <row r="4">
      <c r="A4" s="342">
        <v>120.0</v>
      </c>
      <c r="B4" s="347">
        <v>0.7840277777777778</v>
      </c>
      <c r="C4" s="337">
        <v>46099.0</v>
      </c>
      <c r="D4" s="177"/>
      <c r="E4" s="342">
        <v>100.0</v>
      </c>
      <c r="F4" s="347">
        <v>0.6965277777777777</v>
      </c>
      <c r="G4" s="343">
        <v>46100.0</v>
      </c>
      <c r="H4" s="177"/>
      <c r="I4" s="342">
        <v>1000.0</v>
      </c>
      <c r="J4" s="282" t="s">
        <v>720</v>
      </c>
      <c r="K4" s="343">
        <v>46119.0</v>
      </c>
      <c r="L4" s="4"/>
      <c r="M4" s="342"/>
      <c r="N4" s="353"/>
      <c r="O4" s="354"/>
      <c r="P4" s="4"/>
      <c r="Q4" s="342">
        <v>5000.0</v>
      </c>
      <c r="R4" s="282" t="s">
        <v>711</v>
      </c>
      <c r="S4" s="343">
        <v>46183.0</v>
      </c>
      <c r="T4" s="4"/>
      <c r="U4" s="342">
        <v>18720.0</v>
      </c>
      <c r="V4" s="281" t="s">
        <v>722</v>
      </c>
      <c r="W4" s="343">
        <v>46230.0</v>
      </c>
      <c r="X4" s="4"/>
      <c r="Y4" s="348">
        <v>960.0</v>
      </c>
      <c r="Z4" s="351" t="s">
        <v>723</v>
      </c>
      <c r="AA4" s="350">
        <v>46102.0</v>
      </c>
      <c r="AB4" s="4"/>
      <c r="AC4" s="351">
        <v>275.0</v>
      </c>
      <c r="AD4" s="349" t="s">
        <v>724</v>
      </c>
      <c r="AE4" s="350">
        <v>46101.0</v>
      </c>
      <c r="AF4" s="4"/>
      <c r="AG4" s="355">
        <v>2800.0</v>
      </c>
      <c r="AH4" s="356" t="s">
        <v>116</v>
      </c>
      <c r="AI4" s="357">
        <v>46105.0</v>
      </c>
      <c r="AJ4" s="179"/>
      <c r="AK4" s="351">
        <v>600.0</v>
      </c>
      <c r="AL4" s="352" t="s">
        <v>725</v>
      </c>
      <c r="AM4" s="350">
        <v>46143.0</v>
      </c>
      <c r="AN4" s="179"/>
    </row>
    <row r="5">
      <c r="A5" s="342">
        <v>400.0</v>
      </c>
      <c r="B5" s="347">
        <v>0.8409722222222222</v>
      </c>
      <c r="C5" s="337">
        <v>46099.0</v>
      </c>
      <c r="D5" s="177"/>
      <c r="E5" s="342">
        <v>500.0</v>
      </c>
      <c r="F5" s="347">
        <v>0.6027777777777777</v>
      </c>
      <c r="G5" s="343">
        <v>46101.0</v>
      </c>
      <c r="H5" s="307"/>
      <c r="I5" s="342">
        <v>400.0</v>
      </c>
      <c r="J5" s="282" t="s">
        <v>160</v>
      </c>
      <c r="K5" s="343">
        <v>46119.0</v>
      </c>
      <c r="L5" s="4"/>
      <c r="M5" s="358"/>
      <c r="N5" s="353"/>
      <c r="O5" s="354"/>
      <c r="P5" s="4"/>
      <c r="Q5" s="358"/>
      <c r="R5" s="353"/>
      <c r="S5" s="354"/>
      <c r="T5" s="4"/>
      <c r="U5" s="358"/>
      <c r="V5" s="353"/>
      <c r="W5" s="354"/>
      <c r="X5" s="4"/>
      <c r="Y5" s="348">
        <v>960.0</v>
      </c>
      <c r="Z5" s="349" t="s">
        <v>726</v>
      </c>
      <c r="AA5" s="350">
        <v>46102.0</v>
      </c>
      <c r="AB5" s="4"/>
      <c r="AC5" s="351">
        <v>60.0</v>
      </c>
      <c r="AD5" s="349" t="s">
        <v>727</v>
      </c>
      <c r="AE5" s="350">
        <v>46102.0</v>
      </c>
      <c r="AF5" s="4"/>
      <c r="AG5" s="355">
        <v>950.0</v>
      </c>
      <c r="AH5" s="356" t="s">
        <v>116</v>
      </c>
      <c r="AI5" s="357">
        <v>46112.0</v>
      </c>
      <c r="AJ5" s="179"/>
      <c r="AK5" s="351">
        <v>800.0</v>
      </c>
      <c r="AL5" s="352" t="s">
        <v>61</v>
      </c>
      <c r="AM5" s="350">
        <v>46143.0</v>
      </c>
      <c r="AN5" s="179"/>
    </row>
    <row r="6">
      <c r="A6" s="342">
        <v>120.0</v>
      </c>
      <c r="B6" s="347">
        <v>0.04583333333333333</v>
      </c>
      <c r="C6" s="337">
        <v>46100.0</v>
      </c>
      <c r="D6" s="177"/>
      <c r="E6" s="342">
        <v>250.0</v>
      </c>
      <c r="F6" s="347">
        <v>0.9173611111111111</v>
      </c>
      <c r="G6" s="343">
        <v>46101.0</v>
      </c>
      <c r="H6" s="307"/>
      <c r="I6" s="342">
        <v>585.0</v>
      </c>
      <c r="J6" s="282" t="s">
        <v>729</v>
      </c>
      <c r="K6" s="359">
        <v>46130.0</v>
      </c>
      <c r="L6" s="4"/>
      <c r="M6" s="358"/>
      <c r="N6" s="353"/>
      <c r="O6" s="354"/>
      <c r="P6" s="4"/>
      <c r="Q6" s="358"/>
      <c r="R6" s="353"/>
      <c r="S6" s="354"/>
      <c r="T6" s="4"/>
      <c r="U6" s="358"/>
      <c r="V6" s="353"/>
      <c r="W6" s="354"/>
      <c r="X6" s="4"/>
      <c r="Y6" s="348">
        <v>820.0</v>
      </c>
      <c r="Z6" s="349" t="s">
        <v>730</v>
      </c>
      <c r="AA6" s="350">
        <v>46102.0</v>
      </c>
      <c r="AB6" s="4"/>
      <c r="AC6" s="351">
        <v>450.0</v>
      </c>
      <c r="AD6" s="349" t="s">
        <v>731</v>
      </c>
      <c r="AE6" s="350">
        <v>46102.0</v>
      </c>
      <c r="AF6" s="4"/>
      <c r="AG6" s="351">
        <v>300.0</v>
      </c>
      <c r="AH6" s="349" t="s">
        <v>732</v>
      </c>
      <c r="AI6" s="350">
        <v>46113.0</v>
      </c>
      <c r="AJ6" s="179"/>
      <c r="AK6" s="351">
        <v>500.0</v>
      </c>
      <c r="AL6" s="352" t="s">
        <v>72</v>
      </c>
      <c r="AM6" s="350">
        <v>46143.0</v>
      </c>
      <c r="AN6" s="179"/>
    </row>
    <row r="7">
      <c r="A7" s="342">
        <v>160.0</v>
      </c>
      <c r="B7" s="347">
        <v>0.40902777777777777</v>
      </c>
      <c r="C7" s="337">
        <v>46100.0</v>
      </c>
      <c r="D7" s="177"/>
      <c r="E7" s="342">
        <v>120.0</v>
      </c>
      <c r="F7" s="347">
        <v>0.6527777777777778</v>
      </c>
      <c r="G7" s="343">
        <v>46102.0</v>
      </c>
      <c r="H7" s="307"/>
      <c r="I7" s="342">
        <v>1000.0</v>
      </c>
      <c r="J7" s="282" t="s">
        <v>733</v>
      </c>
      <c r="K7" s="343">
        <v>46144.0</v>
      </c>
      <c r="L7" s="4"/>
      <c r="M7" s="358"/>
      <c r="N7" s="353"/>
      <c r="O7" s="354" t="str">
        <f t="shared" ref="O7:O10" si="1">IF(M7&lt;&gt;"",TODAY(),"")</f>
        <v/>
      </c>
      <c r="P7" s="4"/>
      <c r="Q7" s="358"/>
      <c r="R7" s="353"/>
      <c r="S7" s="354" t="str">
        <f t="shared" ref="S7:S10" si="2">IF(Q7&lt;&gt;"",TODAY(),"")</f>
        <v/>
      </c>
      <c r="T7" s="4"/>
      <c r="U7" s="358"/>
      <c r="V7" s="353"/>
      <c r="W7" s="354" t="str">
        <f t="shared" ref="W7:W10" si="3">IF(U7&lt;&gt;"",TODAY(),"")</f>
        <v/>
      </c>
      <c r="X7" s="4"/>
      <c r="Y7" s="348">
        <v>600.0</v>
      </c>
      <c r="Z7" s="349" t="s">
        <v>735</v>
      </c>
      <c r="AA7" s="350">
        <v>46104.0</v>
      </c>
      <c r="AB7" s="4"/>
      <c r="AC7" s="351">
        <v>640.0</v>
      </c>
      <c r="AD7" s="349" t="s">
        <v>736</v>
      </c>
      <c r="AE7" s="350">
        <v>46103.0</v>
      </c>
      <c r="AF7" s="4"/>
      <c r="AG7" s="351">
        <v>155.0</v>
      </c>
      <c r="AH7" s="349" t="s">
        <v>737</v>
      </c>
      <c r="AI7" s="350">
        <v>46113.0</v>
      </c>
      <c r="AJ7" s="179"/>
      <c r="AK7" s="351">
        <v>1100.0</v>
      </c>
      <c r="AL7" s="352" t="s">
        <v>24</v>
      </c>
      <c r="AM7" s="350">
        <v>46143.0</v>
      </c>
      <c r="AN7" s="179"/>
    </row>
    <row r="8">
      <c r="A8" s="342">
        <v>80.0</v>
      </c>
      <c r="B8" s="347">
        <v>0.69375</v>
      </c>
      <c r="C8" s="337">
        <v>46100.0</v>
      </c>
      <c r="D8" s="177"/>
      <c r="E8" s="342">
        <v>160.0</v>
      </c>
      <c r="F8" s="347">
        <v>0.7104166666666667</v>
      </c>
      <c r="G8" s="343">
        <v>46103.0</v>
      </c>
      <c r="H8" s="307"/>
      <c r="I8" s="342">
        <v>200.0</v>
      </c>
      <c r="J8" s="282" t="s">
        <v>4</v>
      </c>
      <c r="K8" s="360">
        <v>46152.0</v>
      </c>
      <c r="L8" s="4"/>
      <c r="M8" s="358"/>
      <c r="N8" s="353"/>
      <c r="O8" s="354" t="str">
        <f t="shared" si="1"/>
        <v/>
      </c>
      <c r="P8" s="4"/>
      <c r="Q8" s="358"/>
      <c r="R8" s="353"/>
      <c r="S8" s="354" t="str">
        <f t="shared" si="2"/>
        <v/>
      </c>
      <c r="T8" s="4"/>
      <c r="U8" s="358"/>
      <c r="V8" s="353"/>
      <c r="W8" s="354" t="str">
        <f t="shared" si="3"/>
        <v/>
      </c>
      <c r="X8" s="4"/>
      <c r="Y8" s="348">
        <v>9700.0</v>
      </c>
      <c r="Z8" s="351" t="s">
        <v>738</v>
      </c>
      <c r="AA8" s="350">
        <v>46104.0</v>
      </c>
      <c r="AB8" s="4"/>
      <c r="AC8" s="351">
        <v>750.0</v>
      </c>
      <c r="AD8" s="349" t="s">
        <v>741</v>
      </c>
      <c r="AE8" s="350">
        <v>46116.0</v>
      </c>
      <c r="AF8" s="4"/>
      <c r="AG8" s="351">
        <v>50.0</v>
      </c>
      <c r="AH8" s="349" t="s">
        <v>112</v>
      </c>
      <c r="AI8" s="350">
        <v>46113.0</v>
      </c>
      <c r="AJ8" s="179"/>
      <c r="AK8" s="351">
        <v>1750.0</v>
      </c>
      <c r="AL8" s="349" t="s">
        <v>742</v>
      </c>
      <c r="AM8" s="350">
        <v>46149.0</v>
      </c>
      <c r="AN8" s="179"/>
    </row>
    <row r="9">
      <c r="A9" s="342">
        <v>500.0</v>
      </c>
      <c r="B9" s="347">
        <v>0.8430555555555556</v>
      </c>
      <c r="C9" s="337">
        <v>46100.0</v>
      </c>
      <c r="D9" s="177"/>
      <c r="E9" s="342">
        <v>400.0</v>
      </c>
      <c r="F9" s="347">
        <v>0.05138888888888889</v>
      </c>
      <c r="G9" s="343">
        <v>46104.0</v>
      </c>
      <c r="H9" s="307"/>
      <c r="I9" s="342">
        <v>20.0</v>
      </c>
      <c r="J9" s="282" t="s">
        <v>743</v>
      </c>
      <c r="K9" s="343">
        <v>46166.0</v>
      </c>
      <c r="L9" s="4"/>
      <c r="M9" s="358"/>
      <c r="N9" s="353"/>
      <c r="O9" s="354" t="str">
        <f t="shared" si="1"/>
        <v/>
      </c>
      <c r="P9" s="4"/>
      <c r="Q9" s="358"/>
      <c r="R9" s="353"/>
      <c r="S9" s="354" t="str">
        <f t="shared" si="2"/>
        <v/>
      </c>
      <c r="T9" s="4"/>
      <c r="U9" s="358"/>
      <c r="V9" s="353"/>
      <c r="W9" s="354" t="str">
        <f t="shared" si="3"/>
        <v/>
      </c>
      <c r="X9" s="4"/>
      <c r="Y9" s="348">
        <v>820.0</v>
      </c>
      <c r="Z9" s="349" t="s">
        <v>744</v>
      </c>
      <c r="AA9" s="350">
        <v>46104.0</v>
      </c>
      <c r="AB9" s="4"/>
      <c r="AC9" s="351">
        <v>750.0</v>
      </c>
      <c r="AD9" s="349" t="s">
        <v>745</v>
      </c>
      <c r="AE9" s="362">
        <v>46156.0</v>
      </c>
      <c r="AF9" s="4"/>
      <c r="AG9" s="351">
        <v>150.0</v>
      </c>
      <c r="AH9" s="349" t="s">
        <v>747</v>
      </c>
      <c r="AI9" s="350">
        <v>46113.0</v>
      </c>
      <c r="AJ9" s="179"/>
      <c r="AK9" s="281"/>
      <c r="AL9" s="282"/>
      <c r="AM9" s="363"/>
      <c r="AN9" s="179"/>
    </row>
    <row r="10">
      <c r="A10" s="342">
        <v>240.0</v>
      </c>
      <c r="B10" s="347">
        <v>0.6291666666666667</v>
      </c>
      <c r="C10" s="337">
        <v>46101.0</v>
      </c>
      <c r="D10" s="307"/>
      <c r="E10" s="342">
        <v>600.0</v>
      </c>
      <c r="F10" s="347">
        <v>0.94375</v>
      </c>
      <c r="G10" s="343">
        <v>46105.0</v>
      </c>
      <c r="H10" s="307"/>
      <c r="I10" s="342">
        <v>940.0</v>
      </c>
      <c r="J10" s="281" t="s">
        <v>748</v>
      </c>
      <c r="K10" s="343">
        <v>46179.0</v>
      </c>
      <c r="L10" s="4"/>
      <c r="M10" s="358"/>
      <c r="N10" s="353"/>
      <c r="O10" s="354" t="str">
        <f t="shared" si="1"/>
        <v/>
      </c>
      <c r="P10" s="4"/>
      <c r="Q10" s="358"/>
      <c r="R10" s="353"/>
      <c r="S10" s="354" t="str">
        <f t="shared" si="2"/>
        <v/>
      </c>
      <c r="T10" s="4"/>
      <c r="U10" s="358"/>
      <c r="V10" s="353"/>
      <c r="W10" s="354" t="str">
        <f t="shared" si="3"/>
        <v/>
      </c>
      <c r="X10" s="4"/>
      <c r="Y10" s="348">
        <v>280.0</v>
      </c>
      <c r="Z10" s="349" t="s">
        <v>749</v>
      </c>
      <c r="AA10" s="350">
        <v>46105.0</v>
      </c>
      <c r="AB10" s="4"/>
      <c r="AC10" s="351">
        <v>380.0</v>
      </c>
      <c r="AD10" s="349" t="s">
        <v>751</v>
      </c>
      <c r="AE10" s="364">
        <v>46184.0</v>
      </c>
      <c r="AF10" s="4"/>
      <c r="AG10" s="351">
        <v>640.0</v>
      </c>
      <c r="AH10" s="349" t="s">
        <v>732</v>
      </c>
      <c r="AI10" s="350">
        <v>46119.0</v>
      </c>
      <c r="AJ10" s="4"/>
      <c r="AK10" s="36"/>
      <c r="AL10" s="36"/>
      <c r="AM10" s="363"/>
      <c r="AN10" s="179"/>
    </row>
    <row r="11">
      <c r="A11" s="342">
        <v>120.0</v>
      </c>
      <c r="B11" s="347">
        <v>0.7993055555555556</v>
      </c>
      <c r="C11" s="337">
        <v>46101.0</v>
      </c>
      <c r="D11" s="307"/>
      <c r="E11" s="342">
        <v>250.0</v>
      </c>
      <c r="F11" s="347">
        <v>0.9944444444444445</v>
      </c>
      <c r="G11" s="343">
        <v>46109.0</v>
      </c>
      <c r="H11" s="307"/>
      <c r="I11" s="342">
        <v>1000.0</v>
      </c>
      <c r="J11" s="282" t="s">
        <v>753</v>
      </c>
      <c r="K11" s="343">
        <v>46221.0</v>
      </c>
      <c r="L11" s="4"/>
      <c r="M11" s="358"/>
      <c r="N11" s="353"/>
      <c r="O11" s="354"/>
      <c r="P11" s="4"/>
      <c r="Q11" s="358"/>
      <c r="R11" s="353"/>
      <c r="S11" s="354"/>
      <c r="T11" s="4"/>
      <c r="U11" s="358"/>
      <c r="V11" s="353"/>
      <c r="W11" s="354"/>
      <c r="X11" s="4"/>
      <c r="Y11" s="348">
        <v>340.0</v>
      </c>
      <c r="Z11" s="349" t="s">
        <v>754</v>
      </c>
      <c r="AA11" s="350">
        <v>46105.0</v>
      </c>
      <c r="AB11" s="4"/>
      <c r="AC11" s="351">
        <v>450.0</v>
      </c>
      <c r="AD11" s="349" t="s">
        <v>755</v>
      </c>
      <c r="AE11" s="364">
        <v>46184.0</v>
      </c>
      <c r="AF11" s="4"/>
      <c r="AG11" s="351">
        <v>355.0</v>
      </c>
      <c r="AH11" s="349" t="s">
        <v>756</v>
      </c>
      <c r="AI11" s="350">
        <v>46119.0</v>
      </c>
      <c r="AJ11" s="4"/>
      <c r="AK11" s="36"/>
      <c r="AL11" s="36"/>
      <c r="AM11" s="363"/>
      <c r="AN11" s="179"/>
    </row>
    <row r="12">
      <c r="A12" s="342">
        <v>280.0</v>
      </c>
      <c r="B12" s="347">
        <v>0.8763888888888889</v>
      </c>
      <c r="C12" s="337">
        <v>46101.0</v>
      </c>
      <c r="D12" s="307"/>
      <c r="E12" s="342">
        <v>320.0</v>
      </c>
      <c r="F12" s="347">
        <v>0.6652777777777777</v>
      </c>
      <c r="G12" s="343">
        <v>46113.0</v>
      </c>
      <c r="H12" s="307"/>
      <c r="I12" s="342">
        <v>4935.0</v>
      </c>
      <c r="J12" s="282" t="s">
        <v>757</v>
      </c>
      <c r="K12" s="365">
        <v>46231.0</v>
      </c>
      <c r="L12" s="4"/>
      <c r="M12" s="358"/>
      <c r="N12" s="353"/>
      <c r="O12" s="354"/>
      <c r="P12" s="4"/>
      <c r="Q12" s="358"/>
      <c r="R12" s="353"/>
      <c r="S12" s="354"/>
      <c r="T12" s="4"/>
      <c r="U12" s="358"/>
      <c r="V12" s="353"/>
      <c r="W12" s="354"/>
      <c r="X12" s="4"/>
      <c r="Y12" s="348">
        <v>150.0</v>
      </c>
      <c r="Z12" s="349" t="s">
        <v>759</v>
      </c>
      <c r="AA12" s="350">
        <v>46105.0</v>
      </c>
      <c r="AB12" s="4"/>
      <c r="AC12" s="351">
        <v>135.0</v>
      </c>
      <c r="AD12" s="349" t="s">
        <v>760</v>
      </c>
      <c r="AE12" s="364">
        <v>46184.0</v>
      </c>
      <c r="AF12" s="4"/>
      <c r="AG12" s="351">
        <v>300.0</v>
      </c>
      <c r="AH12" s="349" t="s">
        <v>762</v>
      </c>
      <c r="AI12" s="350">
        <v>46119.0</v>
      </c>
      <c r="AJ12" s="4"/>
      <c r="AK12" s="36"/>
      <c r="AL12" s="36"/>
      <c r="AM12" s="363"/>
      <c r="AN12" s="179"/>
    </row>
    <row r="13">
      <c r="A13" s="342">
        <v>280.0</v>
      </c>
      <c r="B13" s="347">
        <v>0.8777777777777778</v>
      </c>
      <c r="C13" s="337">
        <v>46101.0</v>
      </c>
      <c r="D13" s="307"/>
      <c r="E13" s="342">
        <v>160.0</v>
      </c>
      <c r="F13" s="347">
        <v>0.9791666666666666</v>
      </c>
      <c r="G13" s="343">
        <v>46113.0</v>
      </c>
      <c r="H13" s="307"/>
      <c r="I13" s="358"/>
      <c r="J13" s="353"/>
      <c r="K13" s="354"/>
      <c r="L13" s="4"/>
      <c r="M13" s="358"/>
      <c r="N13" s="353"/>
      <c r="O13" s="354"/>
      <c r="P13" s="4"/>
      <c r="Q13" s="358"/>
      <c r="R13" s="353"/>
      <c r="S13" s="354"/>
      <c r="T13" s="4"/>
      <c r="U13" s="358"/>
      <c r="V13" s="353"/>
      <c r="W13" s="354"/>
      <c r="X13" s="4"/>
      <c r="Y13" s="348">
        <v>540.0</v>
      </c>
      <c r="Z13" s="349" t="s">
        <v>763</v>
      </c>
      <c r="AA13" s="350">
        <v>46105.0</v>
      </c>
      <c r="AB13" s="4"/>
      <c r="AC13" s="351">
        <v>30.0</v>
      </c>
      <c r="AD13" s="349" t="s">
        <v>764</v>
      </c>
      <c r="AE13" s="364">
        <v>46184.0</v>
      </c>
      <c r="AF13" s="4"/>
      <c r="AG13" s="351">
        <v>200.0</v>
      </c>
      <c r="AH13" s="349" t="s">
        <v>766</v>
      </c>
      <c r="AI13" s="350">
        <v>46119.0</v>
      </c>
      <c r="AJ13" s="4"/>
      <c r="AK13" s="36"/>
      <c r="AL13" s="36"/>
      <c r="AM13" s="363"/>
      <c r="AN13" s="179"/>
    </row>
    <row r="14">
      <c r="A14" s="342">
        <v>160.0</v>
      </c>
      <c r="B14" s="347">
        <v>0.8784722222222222</v>
      </c>
      <c r="C14" s="337">
        <v>46101.0</v>
      </c>
      <c r="D14" s="307"/>
      <c r="E14" s="342">
        <v>215.0</v>
      </c>
      <c r="F14" s="347">
        <v>0.7291666666666666</v>
      </c>
      <c r="G14" s="343">
        <v>46114.0</v>
      </c>
      <c r="H14" s="307"/>
      <c r="I14" s="358"/>
      <c r="J14" s="353"/>
      <c r="K14" s="354"/>
      <c r="L14" s="4"/>
      <c r="M14" s="358"/>
      <c r="N14" s="353"/>
      <c r="O14" s="354"/>
      <c r="P14" s="4"/>
      <c r="Q14" s="358"/>
      <c r="R14" s="353"/>
      <c r="S14" s="354"/>
      <c r="T14" s="4"/>
      <c r="U14" s="358"/>
      <c r="V14" s="353"/>
      <c r="W14" s="354"/>
      <c r="X14" s="4"/>
      <c r="Y14" s="348">
        <v>280.0</v>
      </c>
      <c r="Z14" s="349" t="s">
        <v>767</v>
      </c>
      <c r="AA14" s="350">
        <v>46105.0</v>
      </c>
      <c r="AB14" s="4"/>
      <c r="AC14" s="351">
        <v>110.0</v>
      </c>
      <c r="AD14" s="349" t="s">
        <v>768</v>
      </c>
      <c r="AE14" s="364">
        <v>46184.0</v>
      </c>
      <c r="AF14" s="4"/>
      <c r="AG14" s="355">
        <v>-3750.0</v>
      </c>
      <c r="AH14" s="356" t="s">
        <v>116</v>
      </c>
      <c r="AI14" s="357">
        <v>46121.0</v>
      </c>
      <c r="AJ14" s="4"/>
      <c r="AK14" s="36"/>
      <c r="AL14" s="36"/>
      <c r="AM14" s="363"/>
      <c r="AN14" s="179"/>
    </row>
    <row r="15">
      <c r="A15" s="342">
        <v>200.0</v>
      </c>
      <c r="B15" s="347">
        <v>0.8840277777777777</v>
      </c>
      <c r="C15" s="337">
        <v>46101.0</v>
      </c>
      <c r="D15" s="307"/>
      <c r="E15" s="342">
        <v>250.0</v>
      </c>
      <c r="F15" s="347">
        <v>0.7472222222222222</v>
      </c>
      <c r="G15" s="343">
        <v>46114.0</v>
      </c>
      <c r="H15" s="307"/>
      <c r="I15" s="358"/>
      <c r="J15" s="353"/>
      <c r="K15" s="354"/>
      <c r="L15" s="4"/>
      <c r="M15" s="358"/>
      <c r="N15" s="353"/>
      <c r="O15" s="354"/>
      <c r="P15" s="4"/>
      <c r="Q15" s="358"/>
      <c r="R15" s="353"/>
      <c r="S15" s="354"/>
      <c r="T15" s="4"/>
      <c r="U15" s="358"/>
      <c r="V15" s="353"/>
      <c r="W15" s="354"/>
      <c r="X15" s="4"/>
      <c r="Y15" s="348">
        <v>300.0</v>
      </c>
      <c r="Z15" s="349" t="s">
        <v>771</v>
      </c>
      <c r="AA15" s="350">
        <v>46106.0</v>
      </c>
      <c r="AB15" s="4"/>
      <c r="AC15" s="351">
        <v>200.0</v>
      </c>
      <c r="AD15" s="349" t="s">
        <v>772</v>
      </c>
      <c r="AE15" s="364">
        <v>46184.0</v>
      </c>
      <c r="AF15" s="4"/>
      <c r="AG15" s="351">
        <v>355.0</v>
      </c>
      <c r="AH15" s="349" t="s">
        <v>756</v>
      </c>
      <c r="AI15" s="350">
        <v>46130.0</v>
      </c>
      <c r="AJ15" s="4"/>
      <c r="AK15" s="36"/>
      <c r="AL15" s="36"/>
      <c r="AM15" s="363"/>
      <c r="AN15" s="179"/>
    </row>
    <row r="16">
      <c r="A16" s="342">
        <v>240.0</v>
      </c>
      <c r="B16" s="347">
        <v>0.9368055555555556</v>
      </c>
      <c r="C16" s="337">
        <v>46101.0</v>
      </c>
      <c r="D16" s="307"/>
      <c r="E16" s="342">
        <v>160.0</v>
      </c>
      <c r="F16" s="347">
        <v>0.9152777777777777</v>
      </c>
      <c r="G16" s="343">
        <v>46114.0</v>
      </c>
      <c r="H16" s="307"/>
      <c r="I16" s="358"/>
      <c r="J16" s="353"/>
      <c r="K16" s="354"/>
      <c r="L16" s="4"/>
      <c r="M16" s="358"/>
      <c r="N16" s="353"/>
      <c r="O16" s="354"/>
      <c r="P16" s="4"/>
      <c r="Q16" s="358"/>
      <c r="R16" s="353"/>
      <c r="S16" s="354"/>
      <c r="T16" s="4"/>
      <c r="U16" s="358"/>
      <c r="V16" s="353"/>
      <c r="W16" s="354"/>
      <c r="X16" s="4"/>
      <c r="Y16" s="348">
        <v>1020.0</v>
      </c>
      <c r="Z16" s="349" t="s">
        <v>774</v>
      </c>
      <c r="AA16" s="350">
        <v>46106.0</v>
      </c>
      <c r="AB16" s="4"/>
      <c r="AC16" s="351">
        <v>90.0</v>
      </c>
      <c r="AD16" s="349" t="s">
        <v>775</v>
      </c>
      <c r="AE16" s="364">
        <v>46193.0</v>
      </c>
      <c r="AF16" s="4"/>
      <c r="AG16" s="351">
        <v>70.0</v>
      </c>
      <c r="AH16" s="349" t="s">
        <v>776</v>
      </c>
      <c r="AI16" s="350">
        <v>46130.0</v>
      </c>
      <c r="AJ16" s="4"/>
      <c r="AK16" s="36"/>
      <c r="AL16" s="36"/>
      <c r="AM16" s="363"/>
      <c r="AN16" s="179"/>
    </row>
    <row r="17">
      <c r="A17" s="342">
        <v>300.0</v>
      </c>
      <c r="B17" s="347">
        <v>0.9694444444444444</v>
      </c>
      <c r="C17" s="337">
        <v>46101.0</v>
      </c>
      <c r="D17" s="307"/>
      <c r="E17" s="342">
        <v>120.0</v>
      </c>
      <c r="F17" s="347">
        <v>0.9590277777777778</v>
      </c>
      <c r="G17" s="343">
        <v>46114.0</v>
      </c>
      <c r="H17" s="307"/>
      <c r="I17" s="358"/>
      <c r="J17" s="353"/>
      <c r="K17" s="354"/>
      <c r="L17" s="4"/>
      <c r="M17" s="358"/>
      <c r="N17" s="353"/>
      <c r="O17" s="354"/>
      <c r="P17" s="4"/>
      <c r="Q17" s="358"/>
      <c r="R17" s="353"/>
      <c r="S17" s="354"/>
      <c r="T17" s="4"/>
      <c r="U17" s="358"/>
      <c r="V17" s="353"/>
      <c r="W17" s="354"/>
      <c r="X17" s="4"/>
      <c r="Y17" s="348">
        <v>520.0</v>
      </c>
      <c r="Z17" s="349" t="s">
        <v>778</v>
      </c>
      <c r="AA17" s="350">
        <v>46106.0</v>
      </c>
      <c r="AB17" s="4"/>
      <c r="AC17" s="351">
        <v>150.0</v>
      </c>
      <c r="AD17" s="349" t="s">
        <v>779</v>
      </c>
      <c r="AE17" s="364">
        <v>46193.0</v>
      </c>
      <c r="AF17" s="4"/>
      <c r="AG17" s="351">
        <v>120.0</v>
      </c>
      <c r="AH17" s="349" t="s">
        <v>780</v>
      </c>
      <c r="AI17" s="350">
        <v>46130.0</v>
      </c>
      <c r="AJ17" s="4"/>
      <c r="AK17" s="36"/>
      <c r="AL17" s="36"/>
      <c r="AM17" s="363"/>
      <c r="AN17" s="179"/>
    </row>
    <row r="18">
      <c r="A18" s="342">
        <v>80.0</v>
      </c>
      <c r="B18" s="347">
        <v>0.9736111111111111</v>
      </c>
      <c r="C18" s="337">
        <v>46101.0</v>
      </c>
      <c r="D18" s="307"/>
      <c r="E18" s="342">
        <v>160.0</v>
      </c>
      <c r="F18" s="347">
        <v>0.9694444444444444</v>
      </c>
      <c r="G18" s="343">
        <v>46114.0</v>
      </c>
      <c r="H18" s="307"/>
      <c r="I18" s="358"/>
      <c r="J18" s="353"/>
      <c r="K18" s="354"/>
      <c r="L18" s="4"/>
      <c r="M18" s="358"/>
      <c r="N18" s="353"/>
      <c r="O18" s="354"/>
      <c r="P18" s="4"/>
      <c r="Q18" s="358"/>
      <c r="R18" s="353"/>
      <c r="S18" s="354"/>
      <c r="T18" s="4"/>
      <c r="U18" s="358"/>
      <c r="V18" s="353"/>
      <c r="W18" s="354"/>
      <c r="X18" s="4"/>
      <c r="Y18" s="348">
        <v>360.0</v>
      </c>
      <c r="Z18" s="349" t="s">
        <v>783</v>
      </c>
      <c r="AA18" s="350">
        <v>46107.0</v>
      </c>
      <c r="AB18" s="4"/>
      <c r="AC18" s="351">
        <v>200.0</v>
      </c>
      <c r="AD18" s="349" t="s">
        <v>784</v>
      </c>
      <c r="AE18" s="364">
        <v>46193.0</v>
      </c>
      <c r="AF18" s="4"/>
      <c r="AG18" s="351">
        <v>150.0</v>
      </c>
      <c r="AH18" s="349" t="s">
        <v>720</v>
      </c>
      <c r="AI18" s="350">
        <v>46130.0</v>
      </c>
      <c r="AJ18" s="4"/>
      <c r="AK18" s="36"/>
      <c r="AL18" s="36"/>
      <c r="AM18" s="363"/>
      <c r="AN18" s="179"/>
    </row>
    <row r="19">
      <c r="A19" s="342">
        <v>160.0</v>
      </c>
      <c r="B19" s="347">
        <v>0.9826388888888888</v>
      </c>
      <c r="C19" s="337">
        <v>46101.0</v>
      </c>
      <c r="D19" s="307"/>
      <c r="E19" s="342">
        <v>150.0</v>
      </c>
      <c r="F19" s="347">
        <v>0.5493055555555556</v>
      </c>
      <c r="G19" s="343">
        <v>46115.0</v>
      </c>
      <c r="H19" s="307"/>
      <c r="I19" s="358"/>
      <c r="J19" s="353"/>
      <c r="K19" s="354"/>
      <c r="L19" s="4"/>
      <c r="M19" s="358"/>
      <c r="N19" s="353"/>
      <c r="O19" s="354"/>
      <c r="P19" s="4"/>
      <c r="Q19" s="358"/>
      <c r="R19" s="353"/>
      <c r="S19" s="354"/>
      <c r="T19" s="4"/>
      <c r="U19" s="358"/>
      <c r="V19" s="353"/>
      <c r="W19" s="354"/>
      <c r="X19" s="4"/>
      <c r="Y19" s="348">
        <v>40.0</v>
      </c>
      <c r="Z19" s="349" t="s">
        <v>785</v>
      </c>
      <c r="AA19" s="350">
        <v>46107.0</v>
      </c>
      <c r="AB19" s="4"/>
      <c r="AC19" s="351">
        <v>710.0</v>
      </c>
      <c r="AD19" s="349" t="s">
        <v>786</v>
      </c>
      <c r="AE19" s="364">
        <v>46193.0</v>
      </c>
      <c r="AF19" s="4"/>
      <c r="AG19" s="351">
        <v>50.0</v>
      </c>
      <c r="AH19" s="349" t="s">
        <v>787</v>
      </c>
      <c r="AI19" s="350">
        <v>46130.0</v>
      </c>
      <c r="AJ19" s="4"/>
      <c r="AK19" s="36"/>
      <c r="AL19" s="36"/>
      <c r="AM19" s="363"/>
      <c r="AN19" s="179"/>
    </row>
    <row r="20">
      <c r="A20" s="342">
        <v>120.0</v>
      </c>
      <c r="B20" s="347">
        <v>0.08055555555555556</v>
      </c>
      <c r="C20" s="343">
        <v>46102.0</v>
      </c>
      <c r="D20" s="307"/>
      <c r="E20" s="342">
        <v>160.0</v>
      </c>
      <c r="F20" s="347">
        <v>0.7763888888888889</v>
      </c>
      <c r="G20" s="366">
        <v>46116.0</v>
      </c>
      <c r="H20" s="307"/>
      <c r="I20" s="358"/>
      <c r="J20" s="353"/>
      <c r="K20" s="354"/>
      <c r="L20" s="4"/>
      <c r="M20" s="358"/>
      <c r="N20" s="353"/>
      <c r="O20" s="354"/>
      <c r="P20" s="4"/>
      <c r="Q20" s="358"/>
      <c r="R20" s="353"/>
      <c r="S20" s="354"/>
      <c r="T20" s="4"/>
      <c r="U20" s="358"/>
      <c r="V20" s="353"/>
      <c r="W20" s="354"/>
      <c r="X20" s="4"/>
      <c r="Y20" s="348">
        <v>400.0</v>
      </c>
      <c r="Z20" s="349" t="s">
        <v>789</v>
      </c>
      <c r="AA20" s="350">
        <v>46109.0</v>
      </c>
      <c r="AB20" s="4"/>
      <c r="AC20" s="351">
        <v>50.0</v>
      </c>
      <c r="AD20" s="349" t="s">
        <v>790</v>
      </c>
      <c r="AE20" s="364">
        <v>46193.0</v>
      </c>
      <c r="AF20" s="4"/>
      <c r="AG20" s="351">
        <v>200.0</v>
      </c>
      <c r="AH20" s="349" t="s">
        <v>776</v>
      </c>
      <c r="AI20" s="350">
        <v>46130.0</v>
      </c>
      <c r="AJ20" s="4"/>
      <c r="AK20" s="36"/>
      <c r="AL20" s="36"/>
      <c r="AM20" s="363"/>
      <c r="AN20" s="179"/>
    </row>
    <row r="21">
      <c r="A21" s="342">
        <v>240.0</v>
      </c>
      <c r="B21" s="347">
        <v>0.5659722222222222</v>
      </c>
      <c r="C21" s="343">
        <v>46102.0</v>
      </c>
      <c r="D21" s="307"/>
      <c r="E21" s="342">
        <v>1000.0</v>
      </c>
      <c r="F21" s="347">
        <v>0.6972222222222222</v>
      </c>
      <c r="G21" s="343">
        <v>46126.0</v>
      </c>
      <c r="H21" s="307"/>
      <c r="I21" s="358"/>
      <c r="J21" s="353"/>
      <c r="K21" s="354"/>
      <c r="L21" s="4"/>
      <c r="M21" s="358"/>
      <c r="N21" s="353"/>
      <c r="O21" s="354"/>
      <c r="P21" s="4"/>
      <c r="Q21" s="358"/>
      <c r="R21" s="353"/>
      <c r="S21" s="354"/>
      <c r="T21" s="4"/>
      <c r="U21" s="358"/>
      <c r="V21" s="353"/>
      <c r="W21" s="354"/>
      <c r="X21" s="4"/>
      <c r="Y21" s="348">
        <v>100.0</v>
      </c>
      <c r="Z21" s="349" t="s">
        <v>793</v>
      </c>
      <c r="AA21" s="350">
        <v>46109.0</v>
      </c>
      <c r="AB21" s="4"/>
      <c r="AC21" s="351">
        <v>230.0</v>
      </c>
      <c r="AD21" s="367" t="s">
        <v>794</v>
      </c>
      <c r="AE21" s="364">
        <v>46201.0</v>
      </c>
      <c r="AF21" s="4"/>
      <c r="AG21" s="351">
        <v>160.0</v>
      </c>
      <c r="AH21" s="349" t="s">
        <v>795</v>
      </c>
      <c r="AI21" s="350">
        <v>46130.0</v>
      </c>
      <c r="AJ21" s="4"/>
      <c r="AK21" s="36"/>
      <c r="AL21" s="36"/>
      <c r="AM21" s="363"/>
      <c r="AN21" s="179"/>
    </row>
    <row r="22">
      <c r="A22" s="342">
        <v>400.0</v>
      </c>
      <c r="B22" s="347">
        <v>0.5777777777777777</v>
      </c>
      <c r="C22" s="343">
        <v>46102.0</v>
      </c>
      <c r="D22" s="307"/>
      <c r="E22" s="342">
        <v>160.0</v>
      </c>
      <c r="F22" s="347">
        <v>0.6986111111111111</v>
      </c>
      <c r="G22" s="343">
        <v>46126.0</v>
      </c>
      <c r="H22" s="307"/>
      <c r="I22" s="358"/>
      <c r="J22" s="353"/>
      <c r="K22" s="354"/>
      <c r="L22" s="4"/>
      <c r="M22" s="358"/>
      <c r="N22" s="353"/>
      <c r="O22" s="354"/>
      <c r="P22" s="4"/>
      <c r="Q22" s="358"/>
      <c r="R22" s="353"/>
      <c r="S22" s="354"/>
      <c r="T22" s="4"/>
      <c r="U22" s="358"/>
      <c r="V22" s="353"/>
      <c r="W22" s="354"/>
      <c r="X22" s="4"/>
      <c r="Y22" s="348">
        <v>75.0</v>
      </c>
      <c r="Z22" s="349" t="s">
        <v>797</v>
      </c>
      <c r="AA22" s="350">
        <v>46109.0</v>
      </c>
      <c r="AB22" s="4"/>
      <c r="AC22" s="351">
        <v>230.0</v>
      </c>
      <c r="AD22" s="368" t="s">
        <v>798</v>
      </c>
      <c r="AE22" s="364">
        <v>46201.0</v>
      </c>
      <c r="AF22" s="4"/>
      <c r="AG22" s="351">
        <v>650.0</v>
      </c>
      <c r="AH22" s="349" t="s">
        <v>732</v>
      </c>
      <c r="AI22" s="350">
        <v>46144.0</v>
      </c>
      <c r="AJ22" s="4"/>
      <c r="AK22" s="36"/>
      <c r="AL22" s="36"/>
      <c r="AM22" s="363"/>
      <c r="AN22" s="179"/>
    </row>
    <row r="23">
      <c r="A23" s="342">
        <v>80.0</v>
      </c>
      <c r="B23" s="347">
        <v>0.6145833333333334</v>
      </c>
      <c r="C23" s="343">
        <v>46102.0</v>
      </c>
      <c r="D23" s="307"/>
      <c r="E23" s="342">
        <v>240.0</v>
      </c>
      <c r="F23" s="347">
        <v>0.6986111111111111</v>
      </c>
      <c r="G23" s="343">
        <v>46126.0</v>
      </c>
      <c r="H23" s="307"/>
      <c r="I23" s="358"/>
      <c r="J23" s="353"/>
      <c r="K23" s="354"/>
      <c r="L23" s="4"/>
      <c r="M23" s="358"/>
      <c r="N23" s="353"/>
      <c r="O23" s="354"/>
      <c r="P23" s="4"/>
      <c r="Q23" s="358"/>
      <c r="R23" s="353"/>
      <c r="S23" s="354"/>
      <c r="T23" s="4"/>
      <c r="U23" s="358"/>
      <c r="V23" s="353"/>
      <c r="W23" s="354"/>
      <c r="X23" s="4"/>
      <c r="Y23" s="348">
        <v>80.0</v>
      </c>
      <c r="Z23" s="349" t="s">
        <v>799</v>
      </c>
      <c r="AA23" s="350">
        <v>46110.0</v>
      </c>
      <c r="AB23" s="4"/>
      <c r="AC23" s="351">
        <v>100.0</v>
      </c>
      <c r="AD23" s="368" t="s">
        <v>801</v>
      </c>
      <c r="AE23" s="364">
        <v>46201.0</v>
      </c>
      <c r="AF23" s="4"/>
      <c r="AG23" s="351">
        <v>100.0</v>
      </c>
      <c r="AH23" s="349" t="s">
        <v>802</v>
      </c>
      <c r="AI23" s="350">
        <v>46142.0</v>
      </c>
      <c r="AJ23" s="4"/>
      <c r="AK23" s="36"/>
      <c r="AL23" s="36"/>
      <c r="AM23" s="363"/>
      <c r="AN23" s="179"/>
    </row>
    <row r="24">
      <c r="A24" s="342">
        <v>200.0</v>
      </c>
      <c r="B24" s="347">
        <v>0.6298611111111111</v>
      </c>
      <c r="C24" s="343">
        <v>46102.0</v>
      </c>
      <c r="D24" s="307"/>
      <c r="E24" s="342">
        <v>255.0</v>
      </c>
      <c r="F24" s="347">
        <v>0.7</v>
      </c>
      <c r="G24" s="343">
        <v>46126.0</v>
      </c>
      <c r="H24" s="307"/>
      <c r="I24" s="358"/>
      <c r="J24" s="353"/>
      <c r="K24" s="354"/>
      <c r="L24" s="4"/>
      <c r="M24" s="358"/>
      <c r="N24" s="353"/>
      <c r="O24" s="354"/>
      <c r="P24" s="4"/>
      <c r="Q24" s="358"/>
      <c r="R24" s="353"/>
      <c r="S24" s="354"/>
      <c r="T24" s="4"/>
      <c r="U24" s="358"/>
      <c r="V24" s="353"/>
      <c r="W24" s="354"/>
      <c r="X24" s="4"/>
      <c r="Y24" s="348">
        <v>1000.0</v>
      </c>
      <c r="Z24" s="349" t="s">
        <v>803</v>
      </c>
      <c r="AA24" s="350">
        <v>46111.0</v>
      </c>
      <c r="AB24" s="4"/>
      <c r="AC24" s="351">
        <v>275.0</v>
      </c>
      <c r="AD24" s="368" t="s">
        <v>805</v>
      </c>
      <c r="AE24" s="364">
        <v>46201.0</v>
      </c>
      <c r="AF24" s="4"/>
      <c r="AG24" s="351">
        <v>200.0</v>
      </c>
      <c r="AH24" s="349" t="s">
        <v>71</v>
      </c>
      <c r="AI24" s="350">
        <v>46144.0</v>
      </c>
      <c r="AJ24" s="4"/>
      <c r="AK24" s="36"/>
      <c r="AL24" s="36"/>
      <c r="AM24" s="363"/>
      <c r="AN24" s="179"/>
    </row>
    <row r="25">
      <c r="A25" s="342">
        <v>160.0</v>
      </c>
      <c r="B25" s="347">
        <v>0.675</v>
      </c>
      <c r="C25" s="343">
        <v>46102.0</v>
      </c>
      <c r="D25" s="307"/>
      <c r="E25" s="342">
        <v>320.0</v>
      </c>
      <c r="F25" s="347">
        <v>0.98125</v>
      </c>
      <c r="G25" s="343">
        <v>46133.0</v>
      </c>
      <c r="H25" s="307"/>
      <c r="I25" s="358"/>
      <c r="J25" s="353"/>
      <c r="K25" s="354"/>
      <c r="L25" s="4"/>
      <c r="M25" s="358"/>
      <c r="N25" s="353"/>
      <c r="O25" s="354"/>
      <c r="P25" s="4"/>
      <c r="Q25" s="358"/>
      <c r="R25" s="353"/>
      <c r="S25" s="354"/>
      <c r="T25" s="4"/>
      <c r="U25" s="358"/>
      <c r="V25" s="353"/>
      <c r="W25" s="354"/>
      <c r="X25" s="4"/>
      <c r="Y25" s="348">
        <v>450.0</v>
      </c>
      <c r="Z25" s="349" t="s">
        <v>806</v>
      </c>
      <c r="AA25" s="350">
        <v>46111.0</v>
      </c>
      <c r="AB25" s="4"/>
      <c r="AC25" s="351">
        <v>250.0</v>
      </c>
      <c r="AD25" s="368" t="s">
        <v>807</v>
      </c>
      <c r="AE25" s="364">
        <v>46201.0</v>
      </c>
      <c r="AF25" s="4"/>
      <c r="AG25" s="351">
        <v>200.0</v>
      </c>
      <c r="AH25" s="349" t="s">
        <v>4</v>
      </c>
      <c r="AI25" s="350">
        <v>46152.0</v>
      </c>
      <c r="AJ25" s="4"/>
      <c r="AK25" s="36"/>
      <c r="AL25" s="36"/>
      <c r="AM25" s="363"/>
      <c r="AN25" s="179"/>
    </row>
    <row r="26">
      <c r="A26" s="342">
        <v>400.0</v>
      </c>
      <c r="B26" s="347">
        <v>0.6979166666666666</v>
      </c>
      <c r="C26" s="343">
        <v>46102.0</v>
      </c>
      <c r="D26" s="307"/>
      <c r="E26" s="342">
        <v>700.0</v>
      </c>
      <c r="F26" s="347">
        <v>0.8708333333333333</v>
      </c>
      <c r="G26" s="343">
        <v>46143.0</v>
      </c>
      <c r="H26" s="307"/>
      <c r="I26" s="358"/>
      <c r="J26" s="353"/>
      <c r="K26" s="354"/>
      <c r="L26" s="4"/>
      <c r="M26" s="358"/>
      <c r="N26" s="353"/>
      <c r="O26" s="354"/>
      <c r="P26" s="4"/>
      <c r="Q26" s="358"/>
      <c r="R26" s="353"/>
      <c r="S26" s="354"/>
      <c r="T26" s="4"/>
      <c r="U26" s="358"/>
      <c r="V26" s="353"/>
      <c r="W26" s="354"/>
      <c r="X26" s="4"/>
      <c r="Y26" s="348">
        <v>140.0</v>
      </c>
      <c r="Z26" s="349" t="s">
        <v>809</v>
      </c>
      <c r="AA26" s="350">
        <v>46111.0</v>
      </c>
      <c r="AB26" s="4"/>
      <c r="AC26" s="351">
        <v>180.0</v>
      </c>
      <c r="AD26" s="368" t="s">
        <v>810</v>
      </c>
      <c r="AE26" s="364">
        <v>46201.0</v>
      </c>
      <c r="AF26" s="4"/>
      <c r="AG26" s="351">
        <v>240.0</v>
      </c>
      <c r="AH26" s="349" t="s">
        <v>811</v>
      </c>
      <c r="AI26" s="350">
        <v>46177.0</v>
      </c>
      <c r="AJ26" s="4"/>
      <c r="AK26" s="36"/>
      <c r="AL26" s="36"/>
      <c r="AM26" s="363"/>
      <c r="AN26" s="179"/>
    </row>
    <row r="27">
      <c r="A27" s="342">
        <v>80.0</v>
      </c>
      <c r="B27" s="347">
        <v>0.7006944444444444</v>
      </c>
      <c r="C27" s="343">
        <v>46102.0</v>
      </c>
      <c r="D27" s="307"/>
      <c r="E27" s="342">
        <v>195.0</v>
      </c>
      <c r="F27" s="347">
        <v>0.575</v>
      </c>
      <c r="G27" s="343">
        <v>46149.0</v>
      </c>
      <c r="H27" s="307"/>
      <c r="I27" s="358"/>
      <c r="J27" s="353"/>
      <c r="K27" s="354"/>
      <c r="L27" s="4"/>
      <c r="M27" s="358"/>
      <c r="N27" s="353"/>
      <c r="O27" s="354"/>
      <c r="P27" s="4"/>
      <c r="Q27" s="358"/>
      <c r="R27" s="353"/>
      <c r="S27" s="354"/>
      <c r="T27" s="4"/>
      <c r="U27" s="358"/>
      <c r="V27" s="353"/>
      <c r="W27" s="354"/>
      <c r="X27" s="4"/>
      <c r="Y27" s="348">
        <v>200.0</v>
      </c>
      <c r="Z27" s="349" t="s">
        <v>812</v>
      </c>
      <c r="AA27" s="350">
        <v>46111.0</v>
      </c>
      <c r="AB27" s="4"/>
      <c r="AC27" s="351">
        <v>80.0</v>
      </c>
      <c r="AD27" s="368" t="s">
        <v>813</v>
      </c>
      <c r="AE27" s="364">
        <v>46201.0</v>
      </c>
      <c r="AF27" s="4"/>
      <c r="AG27" s="351">
        <v>495.0</v>
      </c>
      <c r="AH27" s="349" t="s">
        <v>815</v>
      </c>
      <c r="AI27" s="350">
        <v>46189.0</v>
      </c>
      <c r="AJ27" s="4"/>
      <c r="AK27" s="36"/>
      <c r="AL27" s="36"/>
      <c r="AM27" s="363"/>
      <c r="AN27" s="179"/>
    </row>
    <row r="28">
      <c r="A28" s="342">
        <v>200.0</v>
      </c>
      <c r="B28" s="347">
        <v>0.8270833333333333</v>
      </c>
      <c r="C28" s="343">
        <v>46102.0</v>
      </c>
      <c r="D28" s="307"/>
      <c r="E28" s="342">
        <v>400.0</v>
      </c>
      <c r="F28" s="347">
        <v>0.7993055555555556</v>
      </c>
      <c r="G28" s="343">
        <v>46153.0</v>
      </c>
      <c r="H28" s="307"/>
      <c r="I28" s="358"/>
      <c r="J28" s="353"/>
      <c r="K28" s="354"/>
      <c r="L28" s="4"/>
      <c r="M28" s="358"/>
      <c r="N28" s="353"/>
      <c r="O28" s="354"/>
      <c r="P28" s="4"/>
      <c r="Q28" s="358"/>
      <c r="R28" s="353"/>
      <c r="S28" s="354"/>
      <c r="T28" s="4"/>
      <c r="U28" s="358"/>
      <c r="V28" s="353"/>
      <c r="W28" s="354"/>
      <c r="X28" s="4"/>
      <c r="Y28" s="348">
        <v>150.0</v>
      </c>
      <c r="Z28" s="349" t="s">
        <v>816</v>
      </c>
      <c r="AA28" s="350">
        <v>46111.0</v>
      </c>
      <c r="AB28" s="4"/>
      <c r="AC28" s="351">
        <v>80.0</v>
      </c>
      <c r="AD28" s="368" t="s">
        <v>818</v>
      </c>
      <c r="AE28" s="364">
        <v>46201.0</v>
      </c>
      <c r="AF28" s="4"/>
      <c r="AG28" s="351">
        <v>3000.0</v>
      </c>
      <c r="AH28" s="349" t="s">
        <v>815</v>
      </c>
      <c r="AI28" s="350">
        <v>46189.0</v>
      </c>
      <c r="AJ28" s="4"/>
      <c r="AK28" s="36"/>
      <c r="AL28" s="36"/>
      <c r="AM28" s="363"/>
      <c r="AN28" s="179"/>
    </row>
    <row r="29">
      <c r="A29" s="342">
        <v>160.0</v>
      </c>
      <c r="B29" s="347">
        <v>0.8277777777777777</v>
      </c>
      <c r="C29" s="343">
        <v>46102.0</v>
      </c>
      <c r="D29" s="307"/>
      <c r="E29" s="342">
        <v>120.0</v>
      </c>
      <c r="F29" s="347">
        <v>0.8583333333333333</v>
      </c>
      <c r="G29" s="343">
        <v>46174.0</v>
      </c>
      <c r="H29" s="307"/>
      <c r="I29" s="358"/>
      <c r="J29" s="353"/>
      <c r="K29" s="354"/>
      <c r="L29" s="4"/>
      <c r="M29" s="358"/>
      <c r="N29" s="353"/>
      <c r="O29" s="354"/>
      <c r="P29" s="4"/>
      <c r="Q29" s="358"/>
      <c r="R29" s="353"/>
      <c r="S29" s="354"/>
      <c r="T29" s="4"/>
      <c r="U29" s="358"/>
      <c r="V29" s="353"/>
      <c r="W29" s="354"/>
      <c r="X29" s="4"/>
      <c r="Y29" s="348">
        <v>1145.0</v>
      </c>
      <c r="Z29" s="349" t="s">
        <v>820</v>
      </c>
      <c r="AA29" s="350">
        <v>46111.0</v>
      </c>
      <c r="AB29" s="4"/>
      <c r="AC29" s="351">
        <v>25.0</v>
      </c>
      <c r="AD29" s="368" t="s">
        <v>821</v>
      </c>
      <c r="AE29" s="364">
        <v>46201.0</v>
      </c>
      <c r="AF29" s="4"/>
      <c r="AG29" s="351">
        <v>1000.0</v>
      </c>
      <c r="AH29" s="349" t="s">
        <v>815</v>
      </c>
      <c r="AI29" s="350">
        <v>46221.0</v>
      </c>
      <c r="AJ29" s="4"/>
      <c r="AK29" s="36"/>
      <c r="AL29" s="36"/>
      <c r="AM29" s="363"/>
      <c r="AN29" s="179"/>
    </row>
    <row r="30">
      <c r="A30" s="342">
        <v>150.0</v>
      </c>
      <c r="B30" s="347">
        <v>0.83125</v>
      </c>
      <c r="C30" s="343">
        <v>46102.0</v>
      </c>
      <c r="D30" s="307"/>
      <c r="E30" s="342">
        <v>340.0</v>
      </c>
      <c r="F30" s="347">
        <v>0.8618055555555556</v>
      </c>
      <c r="G30" s="343">
        <v>46174.0</v>
      </c>
      <c r="H30" s="307"/>
      <c r="I30" s="358"/>
      <c r="J30" s="353"/>
      <c r="K30" s="354"/>
      <c r="L30" s="4"/>
      <c r="M30" s="358"/>
      <c r="N30" s="353"/>
      <c r="O30" s="354"/>
      <c r="P30" s="4"/>
      <c r="Q30" s="358"/>
      <c r="R30" s="353"/>
      <c r="S30" s="354"/>
      <c r="T30" s="4"/>
      <c r="U30" s="358"/>
      <c r="V30" s="353"/>
      <c r="W30" s="354"/>
      <c r="X30" s="4"/>
      <c r="Y30" s="348">
        <v>400.0</v>
      </c>
      <c r="Z30" s="349" t="s">
        <v>789</v>
      </c>
      <c r="AA30" s="350">
        <v>46112.0</v>
      </c>
      <c r="AB30" s="4"/>
      <c r="AC30" s="351">
        <v>760.0</v>
      </c>
      <c r="AD30" s="368" t="s">
        <v>823</v>
      </c>
      <c r="AE30" s="364">
        <v>46201.0</v>
      </c>
      <c r="AF30" s="4"/>
      <c r="AG30" s="351">
        <v>1300.0</v>
      </c>
      <c r="AH30" s="349" t="s">
        <v>824</v>
      </c>
      <c r="AI30" s="370">
        <v>46211.0</v>
      </c>
      <c r="AJ30" s="4"/>
      <c r="AK30" s="36"/>
      <c r="AL30" s="36"/>
      <c r="AM30" s="363"/>
      <c r="AN30" s="179"/>
    </row>
    <row r="31">
      <c r="A31" s="342">
        <v>640.0</v>
      </c>
      <c r="B31" s="347">
        <v>0.9756944444444444</v>
      </c>
      <c r="C31" s="343">
        <v>46102.0</v>
      </c>
      <c r="D31" s="307"/>
      <c r="E31" s="342">
        <v>300.0</v>
      </c>
      <c r="F31" s="347">
        <v>0.8638888888888889</v>
      </c>
      <c r="G31" s="343">
        <v>46174.0</v>
      </c>
      <c r="H31" s="307"/>
      <c r="I31" s="358"/>
      <c r="J31" s="353"/>
      <c r="K31" s="354"/>
      <c r="L31" s="4"/>
      <c r="M31" s="358"/>
      <c r="N31" s="353"/>
      <c r="O31" s="354"/>
      <c r="P31" s="4"/>
      <c r="Q31" s="358"/>
      <c r="R31" s="353"/>
      <c r="S31" s="354"/>
      <c r="T31" s="4"/>
      <c r="U31" s="358"/>
      <c r="V31" s="353"/>
      <c r="W31" s="354"/>
      <c r="X31" s="4"/>
      <c r="Y31" s="348">
        <v>200.0</v>
      </c>
      <c r="Z31" s="349" t="s">
        <v>825</v>
      </c>
      <c r="AA31" s="350">
        <v>46112.0</v>
      </c>
      <c r="AB31" s="4"/>
      <c r="AC31" s="351">
        <v>175.0</v>
      </c>
      <c r="AD31" s="368" t="s">
        <v>826</v>
      </c>
      <c r="AE31" s="364">
        <v>46201.0</v>
      </c>
      <c r="AF31" s="4"/>
      <c r="AG31" s="351">
        <v>90.0</v>
      </c>
      <c r="AH31" s="351" t="s">
        <v>827</v>
      </c>
      <c r="AI31" s="370">
        <v>46213.0</v>
      </c>
      <c r="AJ31" s="4"/>
      <c r="AK31" s="36"/>
      <c r="AL31" s="36"/>
      <c r="AM31" s="363"/>
      <c r="AN31" s="179"/>
    </row>
    <row r="32">
      <c r="A32" s="342">
        <v>120.0</v>
      </c>
      <c r="B32" s="347">
        <v>0.5347222222222222</v>
      </c>
      <c r="C32" s="343">
        <v>46103.0</v>
      </c>
      <c r="D32" s="307"/>
      <c r="E32" s="342">
        <v>400.0</v>
      </c>
      <c r="F32" s="347">
        <v>0.8652777777777778</v>
      </c>
      <c r="G32" s="343">
        <v>46174.0</v>
      </c>
      <c r="H32" s="307"/>
      <c r="I32" s="358"/>
      <c r="J32" s="353"/>
      <c r="K32" s="354"/>
      <c r="L32" s="4"/>
      <c r="M32" s="358"/>
      <c r="N32" s="353"/>
      <c r="O32" s="354"/>
      <c r="P32" s="4"/>
      <c r="Q32" s="358"/>
      <c r="R32" s="353"/>
      <c r="S32" s="354"/>
      <c r="T32" s="4"/>
      <c r="U32" s="358"/>
      <c r="V32" s="353"/>
      <c r="W32" s="354"/>
      <c r="X32" s="4"/>
      <c r="Y32" s="348">
        <v>2000.0</v>
      </c>
      <c r="Z32" s="349" t="s">
        <v>830</v>
      </c>
      <c r="AA32" s="350">
        <v>46113.0</v>
      </c>
      <c r="AB32" s="4"/>
      <c r="AC32" s="351">
        <v>50.0</v>
      </c>
      <c r="AD32" s="368" t="s">
        <v>831</v>
      </c>
      <c r="AE32" s="364">
        <v>46201.0</v>
      </c>
      <c r="AF32" s="4"/>
      <c r="AG32" s="351">
        <v>1310.0</v>
      </c>
      <c r="AH32" s="349" t="s">
        <v>832</v>
      </c>
      <c r="AI32" s="370">
        <v>46213.0</v>
      </c>
      <c r="AJ32" s="4"/>
      <c r="AK32" s="36"/>
      <c r="AL32" s="36"/>
      <c r="AM32" s="363"/>
      <c r="AN32" s="179"/>
    </row>
    <row r="33">
      <c r="A33" s="342">
        <v>200.0</v>
      </c>
      <c r="B33" s="347">
        <v>0.5618055555555556</v>
      </c>
      <c r="C33" s="343">
        <v>46103.0</v>
      </c>
      <c r="D33" s="307"/>
      <c r="E33" s="342">
        <v>150.0</v>
      </c>
      <c r="F33" s="347">
        <v>0.6291666666666667</v>
      </c>
      <c r="G33" s="343">
        <v>46175.0</v>
      </c>
      <c r="H33" s="307"/>
      <c r="I33" s="358"/>
      <c r="J33" s="353"/>
      <c r="K33" s="354"/>
      <c r="L33" s="4"/>
      <c r="M33" s="358"/>
      <c r="N33" s="353"/>
      <c r="O33" s="354"/>
      <c r="P33" s="4"/>
      <c r="Q33" s="358"/>
      <c r="R33" s="353"/>
      <c r="S33" s="354"/>
      <c r="T33" s="4"/>
      <c r="U33" s="358"/>
      <c r="V33" s="353"/>
      <c r="W33" s="354"/>
      <c r="X33" s="4"/>
      <c r="Y33" s="348">
        <v>775.0</v>
      </c>
      <c r="Z33" s="349" t="s">
        <v>834</v>
      </c>
      <c r="AA33" s="350">
        <v>46113.0</v>
      </c>
      <c r="AB33" s="4"/>
      <c r="AC33" s="351">
        <v>15.0</v>
      </c>
      <c r="AD33" s="368" t="s">
        <v>835</v>
      </c>
      <c r="AE33" s="364">
        <v>46201.0</v>
      </c>
      <c r="AF33" s="4"/>
      <c r="AG33" s="351">
        <v>180.0</v>
      </c>
      <c r="AH33" s="349" t="s">
        <v>836</v>
      </c>
      <c r="AI33" s="370">
        <v>46213.0</v>
      </c>
      <c r="AJ33" s="4"/>
      <c r="AK33" s="36"/>
      <c r="AL33" s="36"/>
      <c r="AM33" s="363"/>
      <c r="AN33" s="179"/>
    </row>
    <row r="34">
      <c r="A34" s="342">
        <v>80.0</v>
      </c>
      <c r="B34" s="347">
        <v>0.5881944444444445</v>
      </c>
      <c r="C34" s="343">
        <v>46103.0</v>
      </c>
      <c r="D34" s="307"/>
      <c r="E34" s="342">
        <v>500.0</v>
      </c>
      <c r="F34" s="347">
        <v>0.7138888888888889</v>
      </c>
      <c r="G34" s="343">
        <v>46184.0</v>
      </c>
      <c r="H34" s="307"/>
      <c r="I34" s="358"/>
      <c r="J34" s="353"/>
      <c r="K34" s="354"/>
      <c r="L34" s="4"/>
      <c r="M34" s="358"/>
      <c r="N34" s="353"/>
      <c r="O34" s="354"/>
      <c r="P34" s="4"/>
      <c r="Q34" s="358"/>
      <c r="R34" s="353"/>
      <c r="S34" s="354"/>
      <c r="T34" s="4"/>
      <c r="U34" s="358"/>
      <c r="V34" s="353"/>
      <c r="W34" s="354"/>
      <c r="X34" s="4"/>
      <c r="Y34" s="348">
        <v>1600.0</v>
      </c>
      <c r="Z34" s="349" t="s">
        <v>837</v>
      </c>
      <c r="AA34" s="350">
        <v>46116.0</v>
      </c>
      <c r="AB34" s="4"/>
      <c r="AC34" s="351">
        <v>30.0</v>
      </c>
      <c r="AD34" s="368" t="s">
        <v>838</v>
      </c>
      <c r="AE34" s="364">
        <v>46201.0</v>
      </c>
      <c r="AF34" s="4"/>
      <c r="AG34" s="351">
        <v>90.0</v>
      </c>
      <c r="AH34" s="349" t="s">
        <v>840</v>
      </c>
      <c r="AI34" s="370">
        <v>46213.0</v>
      </c>
      <c r="AJ34" s="4"/>
      <c r="AK34" s="36"/>
      <c r="AL34" s="36"/>
      <c r="AM34" s="363"/>
      <c r="AN34" s="179"/>
    </row>
    <row r="35">
      <c r="A35" s="342">
        <v>320.0</v>
      </c>
      <c r="B35" s="347">
        <v>0.6097222222222223</v>
      </c>
      <c r="C35" s="343">
        <v>46103.0</v>
      </c>
      <c r="D35" s="307"/>
      <c r="E35" s="342">
        <v>1000.0</v>
      </c>
      <c r="F35" s="347">
        <v>0.7673611111111112</v>
      </c>
      <c r="G35" s="343">
        <v>46194.0</v>
      </c>
      <c r="H35" s="307"/>
      <c r="I35" s="358"/>
      <c r="J35" s="353"/>
      <c r="K35" s="354"/>
      <c r="L35" s="4"/>
      <c r="M35" s="358"/>
      <c r="N35" s="353"/>
      <c r="O35" s="354"/>
      <c r="P35" s="4"/>
      <c r="Q35" s="358"/>
      <c r="R35" s="353"/>
      <c r="S35" s="354"/>
      <c r="T35" s="4"/>
      <c r="U35" s="358"/>
      <c r="V35" s="353"/>
      <c r="W35" s="354"/>
      <c r="X35" s="4"/>
      <c r="Y35" s="348">
        <v>780.0</v>
      </c>
      <c r="Z35" s="349" t="s">
        <v>778</v>
      </c>
      <c r="AA35" s="350">
        <v>46116.0</v>
      </c>
      <c r="AB35" s="4"/>
      <c r="AC35" s="351">
        <v>250.0</v>
      </c>
      <c r="AD35" s="368" t="s">
        <v>842</v>
      </c>
      <c r="AE35" s="364">
        <v>46201.0</v>
      </c>
      <c r="AF35" s="4"/>
      <c r="AG35" s="351">
        <v>50.0</v>
      </c>
      <c r="AH35" s="349" t="s">
        <v>843</v>
      </c>
      <c r="AI35" s="370">
        <v>46213.0</v>
      </c>
      <c r="AJ35" s="4"/>
      <c r="AK35" s="36"/>
      <c r="AL35" s="36"/>
      <c r="AM35" s="363"/>
      <c r="AN35" s="179"/>
    </row>
    <row r="36">
      <c r="A36" s="342">
        <v>80.0</v>
      </c>
      <c r="B36" s="347">
        <v>0.6833333333333333</v>
      </c>
      <c r="C36" s="343">
        <v>46103.0</v>
      </c>
      <c r="D36" s="307"/>
      <c r="E36" s="342">
        <v>300.0</v>
      </c>
      <c r="F36" s="347">
        <v>0.6798611111111111</v>
      </c>
      <c r="G36" s="343">
        <v>46202.0</v>
      </c>
      <c r="H36" s="307"/>
      <c r="I36" s="358"/>
      <c r="J36" s="353"/>
      <c r="K36" s="354"/>
      <c r="L36" s="4"/>
      <c r="M36" s="358"/>
      <c r="N36" s="353"/>
      <c r="O36" s="354"/>
      <c r="P36" s="4"/>
      <c r="Q36" s="358"/>
      <c r="R36" s="353"/>
      <c r="S36" s="354"/>
      <c r="T36" s="4"/>
      <c r="U36" s="358"/>
      <c r="V36" s="353"/>
      <c r="W36" s="354"/>
      <c r="X36" s="4"/>
      <c r="Y36" s="348">
        <v>2000.0</v>
      </c>
      <c r="Z36" s="349" t="s">
        <v>845</v>
      </c>
      <c r="AA36" s="350">
        <v>46116.0</v>
      </c>
      <c r="AB36" s="4"/>
      <c r="AC36" s="351">
        <v>140.0</v>
      </c>
      <c r="AD36" s="349" t="s">
        <v>846</v>
      </c>
      <c r="AE36" s="370">
        <v>46203.0</v>
      </c>
      <c r="AF36" s="4"/>
      <c r="AG36" s="351">
        <v>760.0</v>
      </c>
      <c r="AH36" s="349" t="s">
        <v>847</v>
      </c>
      <c r="AI36" s="370">
        <v>46213.0</v>
      </c>
      <c r="AJ36" s="4"/>
      <c r="AK36" s="36"/>
      <c r="AL36" s="36"/>
      <c r="AM36" s="363"/>
      <c r="AN36" s="179"/>
    </row>
    <row r="37">
      <c r="A37" s="342">
        <v>200.0</v>
      </c>
      <c r="B37" s="347">
        <v>0.6875</v>
      </c>
      <c r="C37" s="343">
        <v>46103.0</v>
      </c>
      <c r="D37" s="307"/>
      <c r="E37" s="342">
        <v>700.0</v>
      </c>
      <c r="F37" s="347">
        <v>0.6770833333333334</v>
      </c>
      <c r="G37" s="343">
        <v>46203.0</v>
      </c>
      <c r="H37" s="307"/>
      <c r="I37" s="358"/>
      <c r="J37" s="353"/>
      <c r="K37" s="354"/>
      <c r="L37" s="4"/>
      <c r="M37" s="358"/>
      <c r="N37" s="353"/>
      <c r="O37" s="354"/>
      <c r="P37" s="4"/>
      <c r="Q37" s="358"/>
      <c r="R37" s="353"/>
      <c r="S37" s="354"/>
      <c r="T37" s="4"/>
      <c r="U37" s="358"/>
      <c r="V37" s="353"/>
      <c r="W37" s="354"/>
      <c r="X37" s="4"/>
      <c r="Y37" s="348">
        <v>850.0</v>
      </c>
      <c r="Z37" s="349" t="s">
        <v>848</v>
      </c>
      <c r="AA37" s="350">
        <v>46116.0</v>
      </c>
      <c r="AB37" s="4"/>
      <c r="AC37" s="351">
        <v>60.0</v>
      </c>
      <c r="AD37" s="349" t="s">
        <v>850</v>
      </c>
      <c r="AE37" s="370">
        <v>46205.0</v>
      </c>
      <c r="AF37" s="4"/>
      <c r="AG37" s="351">
        <v>250.0</v>
      </c>
      <c r="AH37" s="349" t="s">
        <v>851</v>
      </c>
      <c r="AI37" s="370">
        <v>46213.0</v>
      </c>
      <c r="AJ37" s="4"/>
      <c r="AK37" s="36"/>
      <c r="AL37" s="36"/>
      <c r="AM37" s="363"/>
      <c r="AN37" s="179"/>
    </row>
    <row r="38">
      <c r="A38" s="342">
        <v>160.0</v>
      </c>
      <c r="B38" s="347">
        <v>0.7055555555555556</v>
      </c>
      <c r="C38" s="343">
        <v>46103.0</v>
      </c>
      <c r="D38" s="307"/>
      <c r="E38" s="342">
        <v>1475.0</v>
      </c>
      <c r="F38" s="353"/>
      <c r="G38" s="343">
        <v>46215.0</v>
      </c>
      <c r="H38" s="307"/>
      <c r="I38" s="358"/>
      <c r="J38" s="353"/>
      <c r="K38" s="354"/>
      <c r="L38" s="4"/>
      <c r="M38" s="358"/>
      <c r="N38" s="353"/>
      <c r="O38" s="354"/>
      <c r="P38" s="4"/>
      <c r="Q38" s="358"/>
      <c r="R38" s="353"/>
      <c r="S38" s="354"/>
      <c r="T38" s="4"/>
      <c r="U38" s="358"/>
      <c r="V38" s="353"/>
      <c r="W38" s="354"/>
      <c r="X38" s="4"/>
      <c r="Y38" s="348">
        <v>760.0</v>
      </c>
      <c r="Z38" s="349" t="s">
        <v>852</v>
      </c>
      <c r="AA38" s="350">
        <v>46116.0</v>
      </c>
      <c r="AB38" s="4"/>
      <c r="AC38" s="351">
        <v>75.0</v>
      </c>
      <c r="AD38" s="349" t="s">
        <v>853</v>
      </c>
      <c r="AE38" s="370">
        <v>46205.0</v>
      </c>
      <c r="AF38" s="4"/>
      <c r="AG38" s="351">
        <v>400.0</v>
      </c>
      <c r="AH38" s="349" t="s">
        <v>854</v>
      </c>
      <c r="AI38" s="370">
        <v>46213.0</v>
      </c>
      <c r="AJ38" s="4"/>
      <c r="AK38" s="36"/>
      <c r="AL38" s="36"/>
      <c r="AM38" s="363"/>
      <c r="AN38" s="179"/>
    </row>
    <row r="39">
      <c r="A39" s="342">
        <v>320.0</v>
      </c>
      <c r="B39" s="347">
        <v>0.7069444444444445</v>
      </c>
      <c r="C39" s="343">
        <v>46103.0</v>
      </c>
      <c r="D39" s="307"/>
      <c r="E39" s="358"/>
      <c r="F39" s="353"/>
      <c r="G39" s="354"/>
      <c r="H39" s="307"/>
      <c r="I39" s="358"/>
      <c r="J39" s="353"/>
      <c r="K39" s="354"/>
      <c r="L39" s="4"/>
      <c r="M39" s="358"/>
      <c r="N39" s="353"/>
      <c r="O39" s="354"/>
      <c r="P39" s="4"/>
      <c r="Q39" s="358"/>
      <c r="R39" s="353"/>
      <c r="S39" s="354"/>
      <c r="T39" s="4"/>
      <c r="U39" s="358"/>
      <c r="V39" s="353"/>
      <c r="W39" s="354"/>
      <c r="X39" s="4"/>
      <c r="Y39" s="348">
        <v>300.0</v>
      </c>
      <c r="Z39" s="349" t="s">
        <v>825</v>
      </c>
      <c r="AA39" s="350">
        <v>46116.0</v>
      </c>
      <c r="AB39" s="4"/>
      <c r="AC39" s="351">
        <v>90.0</v>
      </c>
      <c r="AD39" s="349" t="s">
        <v>857</v>
      </c>
      <c r="AE39" s="370">
        <v>46205.0</v>
      </c>
      <c r="AF39" s="4"/>
      <c r="AG39" s="351">
        <v>350.0</v>
      </c>
      <c r="AH39" s="349" t="s">
        <v>858</v>
      </c>
      <c r="AI39" s="370">
        <v>46213.0</v>
      </c>
      <c r="AJ39" s="4"/>
      <c r="AK39" s="36"/>
      <c r="AL39" s="36"/>
      <c r="AM39" s="363"/>
      <c r="AN39" s="179"/>
    </row>
    <row r="40">
      <c r="A40" s="371">
        <v>480.0</v>
      </c>
      <c r="B40" s="372">
        <v>0.81875</v>
      </c>
      <c r="C40" s="343">
        <v>46103.0</v>
      </c>
      <c r="D40" s="307"/>
      <c r="E40" s="358"/>
      <c r="F40" s="353"/>
      <c r="G40" s="354"/>
      <c r="H40" s="307"/>
      <c r="I40" s="358"/>
      <c r="J40" s="353"/>
      <c r="K40" s="354"/>
      <c r="L40" s="4"/>
      <c r="M40" s="358"/>
      <c r="N40" s="353"/>
      <c r="O40" s="354"/>
      <c r="P40" s="4"/>
      <c r="Q40" s="358"/>
      <c r="R40" s="353"/>
      <c r="S40" s="354"/>
      <c r="T40" s="4"/>
      <c r="U40" s="358"/>
      <c r="V40" s="353"/>
      <c r="W40" s="354"/>
      <c r="X40" s="4"/>
      <c r="Y40" s="348">
        <v>2000.0</v>
      </c>
      <c r="Z40" s="349" t="s">
        <v>845</v>
      </c>
      <c r="AA40" s="350">
        <v>46118.0</v>
      </c>
      <c r="AB40" s="4"/>
      <c r="AC40" s="351">
        <v>300.0</v>
      </c>
      <c r="AD40" s="349" t="s">
        <v>860</v>
      </c>
      <c r="AE40" s="370">
        <v>46205.0</v>
      </c>
      <c r="AF40" s="4"/>
      <c r="AG40" s="351">
        <v>80.0</v>
      </c>
      <c r="AH40" s="349" t="s">
        <v>13</v>
      </c>
      <c r="AI40" s="370">
        <v>46213.0</v>
      </c>
      <c r="AJ40" s="4"/>
      <c r="AK40" s="36"/>
      <c r="AL40" s="36"/>
      <c r="AM40" s="363"/>
      <c r="AN40" s="179"/>
    </row>
    <row r="41">
      <c r="A41" s="371">
        <v>320.0</v>
      </c>
      <c r="B41" s="372">
        <v>0.9819444444444444</v>
      </c>
      <c r="C41" s="343">
        <v>46103.0</v>
      </c>
      <c r="D41" s="307"/>
      <c r="E41" s="358"/>
      <c r="F41" s="353"/>
      <c r="G41" s="354"/>
      <c r="H41" s="307"/>
      <c r="I41" s="358"/>
      <c r="J41" s="353"/>
      <c r="K41" s="354"/>
      <c r="L41" s="4"/>
      <c r="M41" s="358"/>
      <c r="N41" s="353"/>
      <c r="O41" s="354"/>
      <c r="P41" s="4"/>
      <c r="Q41" s="358"/>
      <c r="R41" s="353"/>
      <c r="S41" s="354"/>
      <c r="T41" s="4"/>
      <c r="U41" s="358"/>
      <c r="V41" s="353"/>
      <c r="W41" s="354"/>
      <c r="X41" s="4"/>
      <c r="Y41" s="348">
        <v>850.0</v>
      </c>
      <c r="Z41" s="349" t="s">
        <v>848</v>
      </c>
      <c r="AA41" s="350">
        <v>46118.0</v>
      </c>
      <c r="AB41" s="4"/>
      <c r="AC41" s="351">
        <v>75.0</v>
      </c>
      <c r="AD41" s="349" t="s">
        <v>862</v>
      </c>
      <c r="AE41" s="370">
        <v>46205.0</v>
      </c>
      <c r="AF41" s="4"/>
      <c r="AG41" s="351">
        <v>240.0</v>
      </c>
      <c r="AH41" s="349" t="s">
        <v>863</v>
      </c>
      <c r="AI41" s="370">
        <v>46213.0</v>
      </c>
      <c r="AJ41" s="4"/>
      <c r="AK41" s="36"/>
      <c r="AL41" s="36"/>
      <c r="AM41" s="363"/>
      <c r="AN41" s="179"/>
    </row>
    <row r="42">
      <c r="A42" s="371">
        <v>40.0</v>
      </c>
      <c r="B42" s="372">
        <v>0.9861111111111112</v>
      </c>
      <c r="C42" s="343">
        <v>46103.0</v>
      </c>
      <c r="D42" s="307"/>
      <c r="E42" s="358"/>
      <c r="F42" s="353"/>
      <c r="G42" s="354"/>
      <c r="H42" s="307"/>
      <c r="I42" s="358"/>
      <c r="J42" s="353"/>
      <c r="K42" s="354"/>
      <c r="L42" s="4"/>
      <c r="M42" s="358"/>
      <c r="N42" s="353"/>
      <c r="O42" s="354"/>
      <c r="P42" s="4"/>
      <c r="Q42" s="358"/>
      <c r="R42" s="353"/>
      <c r="S42" s="354"/>
      <c r="T42" s="4"/>
      <c r="U42" s="358"/>
      <c r="V42" s="353"/>
      <c r="W42" s="354"/>
      <c r="X42" s="4"/>
      <c r="Y42" s="348">
        <v>1000.0</v>
      </c>
      <c r="Z42" s="349" t="s">
        <v>865</v>
      </c>
      <c r="AA42" s="350">
        <v>46119.0</v>
      </c>
      <c r="AB42" s="4"/>
      <c r="AC42" s="351">
        <v>150.0</v>
      </c>
      <c r="AD42" s="349" t="s">
        <v>866</v>
      </c>
      <c r="AE42" s="370">
        <v>46205.0</v>
      </c>
      <c r="AF42" s="4"/>
      <c r="AG42" s="351">
        <v>600.0</v>
      </c>
      <c r="AH42" s="349" t="s">
        <v>868</v>
      </c>
      <c r="AI42" s="375">
        <v>46204.0</v>
      </c>
      <c r="AJ42" s="4"/>
      <c r="AK42" s="36"/>
      <c r="AL42" s="36"/>
      <c r="AM42" s="363"/>
      <c r="AN42" s="179"/>
    </row>
    <row r="43">
      <c r="A43" s="371">
        <v>160.0</v>
      </c>
      <c r="B43" s="372">
        <v>0.9881944444444445</v>
      </c>
      <c r="C43" s="343">
        <v>46103.0</v>
      </c>
      <c r="D43" s="307"/>
      <c r="E43" s="358"/>
      <c r="F43" s="353"/>
      <c r="G43" s="354"/>
      <c r="H43" s="307"/>
      <c r="I43" s="358"/>
      <c r="J43" s="353"/>
      <c r="K43" s="354"/>
      <c r="L43" s="4"/>
      <c r="M43" s="358"/>
      <c r="N43" s="353"/>
      <c r="O43" s="354"/>
      <c r="P43" s="4"/>
      <c r="Q43" s="358"/>
      <c r="R43" s="353"/>
      <c r="S43" s="354"/>
      <c r="T43" s="4"/>
      <c r="U43" s="358"/>
      <c r="V43" s="353"/>
      <c r="W43" s="354"/>
      <c r="X43" s="4"/>
      <c r="Y43" s="348">
        <v>450.0</v>
      </c>
      <c r="Z43" s="349" t="s">
        <v>783</v>
      </c>
      <c r="AA43" s="350">
        <v>46119.0</v>
      </c>
      <c r="AB43" s="4"/>
      <c r="AC43" s="351">
        <v>220.0</v>
      </c>
      <c r="AD43" s="349" t="s">
        <v>871</v>
      </c>
      <c r="AE43" s="370">
        <v>46205.0</v>
      </c>
      <c r="AF43" s="4"/>
      <c r="AG43" s="351">
        <v>220.0</v>
      </c>
      <c r="AH43" s="349" t="s">
        <v>872</v>
      </c>
      <c r="AI43" s="364">
        <v>46207.0</v>
      </c>
      <c r="AJ43" s="4"/>
      <c r="AK43" s="36"/>
      <c r="AL43" s="36"/>
      <c r="AM43" s="363"/>
      <c r="AN43" s="179"/>
    </row>
    <row r="44">
      <c r="A44" s="371">
        <v>400.0</v>
      </c>
      <c r="B44" s="372">
        <v>0.04513888888888889</v>
      </c>
      <c r="C44" s="343">
        <v>46104.0</v>
      </c>
      <c r="D44" s="307"/>
      <c r="E44" s="358"/>
      <c r="F44" s="353"/>
      <c r="G44" s="354"/>
      <c r="H44" s="307"/>
      <c r="I44" s="358"/>
      <c r="J44" s="353"/>
      <c r="K44" s="354"/>
      <c r="L44" s="4"/>
      <c r="M44" s="358"/>
      <c r="N44" s="353"/>
      <c r="O44" s="354"/>
      <c r="P44" s="4"/>
      <c r="Q44" s="358"/>
      <c r="R44" s="353"/>
      <c r="S44" s="354"/>
      <c r="T44" s="4"/>
      <c r="U44" s="358"/>
      <c r="V44" s="353"/>
      <c r="W44" s="354"/>
      <c r="X44" s="4"/>
      <c r="Y44" s="348">
        <v>1000.0</v>
      </c>
      <c r="Z44" s="349" t="s">
        <v>865</v>
      </c>
      <c r="AA44" s="350">
        <v>46120.0</v>
      </c>
      <c r="AB44" s="4"/>
      <c r="AC44" s="351">
        <v>320.0</v>
      </c>
      <c r="AD44" s="349" t="s">
        <v>871</v>
      </c>
      <c r="AE44" s="370">
        <v>46207.0</v>
      </c>
      <c r="AF44" s="4"/>
      <c r="AG44" s="351">
        <v>200.0</v>
      </c>
      <c r="AH44" s="349" t="s">
        <v>876</v>
      </c>
      <c r="AI44" s="375">
        <v>46207.0</v>
      </c>
      <c r="AJ44" s="4"/>
      <c r="AK44" s="36"/>
      <c r="AL44" s="36"/>
      <c r="AM44" s="363"/>
      <c r="AN44" s="179"/>
    </row>
    <row r="45">
      <c r="A45" s="371">
        <v>160.0</v>
      </c>
      <c r="B45" s="372">
        <v>0.5486111111111112</v>
      </c>
      <c r="C45" s="343">
        <v>46104.0</v>
      </c>
      <c r="D45" s="307"/>
      <c r="E45" s="358"/>
      <c r="F45" s="353"/>
      <c r="G45" s="354"/>
      <c r="H45" s="307"/>
      <c r="I45" s="358"/>
      <c r="J45" s="353"/>
      <c r="K45" s="354"/>
      <c r="L45" s="4"/>
      <c r="M45" s="358"/>
      <c r="N45" s="353"/>
      <c r="O45" s="354"/>
      <c r="P45" s="4"/>
      <c r="Q45" s="358"/>
      <c r="R45" s="353"/>
      <c r="S45" s="354"/>
      <c r="T45" s="4"/>
      <c r="U45" s="358"/>
      <c r="V45" s="353"/>
      <c r="W45" s="354"/>
      <c r="X45" s="4"/>
      <c r="Y45" s="348">
        <v>450.0</v>
      </c>
      <c r="Z45" s="349" t="s">
        <v>783</v>
      </c>
      <c r="AA45" s="350">
        <v>46120.0</v>
      </c>
      <c r="AB45" s="4"/>
      <c r="AC45" s="351">
        <v>25.0</v>
      </c>
      <c r="AD45" s="349" t="s">
        <v>878</v>
      </c>
      <c r="AE45" s="370">
        <v>46207.0</v>
      </c>
      <c r="AF45" s="4"/>
      <c r="AG45" s="351">
        <v>250.0</v>
      </c>
      <c r="AH45" s="349" t="s">
        <v>879</v>
      </c>
      <c r="AI45" s="375">
        <v>46206.0</v>
      </c>
      <c r="AJ45" s="4"/>
      <c r="AK45" s="36"/>
      <c r="AL45" s="36"/>
      <c r="AM45" s="363"/>
      <c r="AN45" s="179"/>
    </row>
    <row r="46">
      <c r="A46" s="371">
        <v>80.0</v>
      </c>
      <c r="B46" s="372">
        <v>0.6395833333333333</v>
      </c>
      <c r="C46" s="343">
        <v>46104.0</v>
      </c>
      <c r="D46" s="307"/>
      <c r="E46" s="358"/>
      <c r="F46" s="353"/>
      <c r="G46" s="354"/>
      <c r="H46" s="307"/>
      <c r="I46" s="358"/>
      <c r="J46" s="353"/>
      <c r="K46" s="354"/>
      <c r="L46" s="4"/>
      <c r="M46" s="358"/>
      <c r="N46" s="353"/>
      <c r="O46" s="354"/>
      <c r="P46" s="4"/>
      <c r="Q46" s="358"/>
      <c r="R46" s="353"/>
      <c r="S46" s="354"/>
      <c r="T46" s="4"/>
      <c r="U46" s="358"/>
      <c r="V46" s="353"/>
      <c r="W46" s="354"/>
      <c r="X46" s="4"/>
      <c r="Y46" s="376">
        <v>385.0</v>
      </c>
      <c r="Z46" s="368" t="s">
        <v>882</v>
      </c>
      <c r="AA46" s="377">
        <v>46121.0</v>
      </c>
      <c r="AB46" s="4"/>
      <c r="AC46" s="351">
        <v>400.0</v>
      </c>
      <c r="AD46" s="349" t="s">
        <v>883</v>
      </c>
      <c r="AE46" s="364">
        <v>46228.0</v>
      </c>
      <c r="AF46" s="4"/>
      <c r="AG46" s="378">
        <v>6720.0</v>
      </c>
      <c r="AH46" s="379" t="s">
        <v>815</v>
      </c>
      <c r="AI46" s="350">
        <v>46230.0</v>
      </c>
      <c r="AJ46" s="4"/>
      <c r="AK46" s="36"/>
      <c r="AL46" s="36"/>
      <c r="AM46" s="363"/>
      <c r="AN46" s="179"/>
    </row>
    <row r="47">
      <c r="A47" s="371">
        <v>80.0</v>
      </c>
      <c r="B47" s="372">
        <v>0.6409722222222223</v>
      </c>
      <c r="C47" s="343">
        <v>46104.0</v>
      </c>
      <c r="D47" s="307"/>
      <c r="E47" s="358"/>
      <c r="F47" s="353"/>
      <c r="G47" s="354"/>
      <c r="H47" s="307"/>
      <c r="I47" s="358"/>
      <c r="J47" s="353"/>
      <c r="K47" s="354"/>
      <c r="L47" s="4"/>
      <c r="M47" s="358"/>
      <c r="N47" s="353"/>
      <c r="O47" s="354"/>
      <c r="P47" s="4"/>
      <c r="Q47" s="358"/>
      <c r="R47" s="353"/>
      <c r="S47" s="354"/>
      <c r="T47" s="4"/>
      <c r="U47" s="358"/>
      <c r="V47" s="353"/>
      <c r="W47" s="354"/>
      <c r="X47" s="4"/>
      <c r="Y47" s="348">
        <v>800.0</v>
      </c>
      <c r="Z47" s="349" t="s">
        <v>885</v>
      </c>
      <c r="AA47" s="350">
        <v>46126.0</v>
      </c>
      <c r="AB47" s="4"/>
      <c r="AC47" s="351">
        <v>18.0</v>
      </c>
      <c r="AD47" s="349" t="s">
        <v>886</v>
      </c>
      <c r="AE47" s="370">
        <v>46228.0</v>
      </c>
      <c r="AF47" s="4"/>
      <c r="AG47" s="351">
        <v>140.0</v>
      </c>
      <c r="AH47" s="349" t="s">
        <v>887</v>
      </c>
      <c r="AI47" s="364">
        <v>46218.0</v>
      </c>
      <c r="AJ47" s="4"/>
      <c r="AK47" s="36"/>
      <c r="AL47" s="36"/>
      <c r="AM47" s="363"/>
      <c r="AN47" s="179"/>
    </row>
    <row r="48">
      <c r="A48" s="371">
        <v>160.0</v>
      </c>
      <c r="B48" s="372">
        <v>0.6423611111111112</v>
      </c>
      <c r="C48" s="343">
        <v>46104.0</v>
      </c>
      <c r="D48" s="307"/>
      <c r="E48" s="358"/>
      <c r="F48" s="353"/>
      <c r="G48" s="354"/>
      <c r="H48" s="307"/>
      <c r="I48" s="358"/>
      <c r="J48" s="353"/>
      <c r="K48" s="354"/>
      <c r="L48" s="4"/>
      <c r="M48" s="358"/>
      <c r="N48" s="353"/>
      <c r="O48" s="354"/>
      <c r="P48" s="4"/>
      <c r="Q48" s="358"/>
      <c r="R48" s="353"/>
      <c r="S48" s="354"/>
      <c r="T48" s="4"/>
      <c r="U48" s="358"/>
      <c r="V48" s="353"/>
      <c r="W48" s="354"/>
      <c r="X48" s="4"/>
      <c r="Y48" s="348">
        <v>850.0</v>
      </c>
      <c r="Z48" s="349" t="s">
        <v>889</v>
      </c>
      <c r="AA48" s="350">
        <v>46126.0</v>
      </c>
      <c r="AB48" s="4"/>
      <c r="AC48" s="351">
        <v>150.0</v>
      </c>
      <c r="AD48" s="349" t="s">
        <v>890</v>
      </c>
      <c r="AE48" s="370">
        <v>46228.0</v>
      </c>
      <c r="AF48" s="4"/>
      <c r="AG48" s="342">
        <v>4935.0</v>
      </c>
      <c r="AH48" s="282" t="s">
        <v>757</v>
      </c>
      <c r="AI48" s="365">
        <v>46231.0</v>
      </c>
      <c r="AJ48" s="4"/>
      <c r="AK48" s="36"/>
      <c r="AL48" s="36"/>
      <c r="AM48" s="363"/>
      <c r="AN48" s="179"/>
    </row>
    <row r="49">
      <c r="A49" s="371">
        <v>280.0</v>
      </c>
      <c r="B49" s="372">
        <v>0.6458333333333334</v>
      </c>
      <c r="C49" s="343">
        <v>46104.0</v>
      </c>
      <c r="D49" s="307"/>
      <c r="E49" s="358"/>
      <c r="F49" s="353"/>
      <c r="G49" s="354"/>
      <c r="H49" s="307"/>
      <c r="I49" s="358"/>
      <c r="J49" s="353"/>
      <c r="K49" s="354"/>
      <c r="L49" s="4"/>
      <c r="M49" s="358"/>
      <c r="N49" s="353"/>
      <c r="O49" s="354"/>
      <c r="P49" s="4"/>
      <c r="Q49" s="358"/>
      <c r="R49" s="353"/>
      <c r="S49" s="354"/>
      <c r="T49" s="4"/>
      <c r="U49" s="358"/>
      <c r="V49" s="353"/>
      <c r="W49" s="354"/>
      <c r="X49" s="4"/>
      <c r="Y49" s="348">
        <v>460.0</v>
      </c>
      <c r="Z49" s="349" t="s">
        <v>892</v>
      </c>
      <c r="AA49" s="350">
        <v>46127.0</v>
      </c>
      <c r="AB49" s="4"/>
      <c r="AC49" s="351">
        <v>100.0</v>
      </c>
      <c r="AD49" s="349" t="s">
        <v>893</v>
      </c>
      <c r="AE49" s="370">
        <v>46228.0</v>
      </c>
      <c r="AF49" s="4"/>
      <c r="AG49" s="380"/>
      <c r="AH49" s="380"/>
      <c r="AI49" s="381"/>
      <c r="AJ49" s="4"/>
      <c r="AK49" s="36"/>
      <c r="AL49" s="36"/>
      <c r="AM49" s="363"/>
      <c r="AN49" s="179"/>
    </row>
    <row r="50">
      <c r="A50" s="371">
        <v>160.0</v>
      </c>
      <c r="B50" s="372">
        <v>0.8013888888888889</v>
      </c>
      <c r="C50" s="343">
        <v>46104.0</v>
      </c>
      <c r="D50" s="307"/>
      <c r="E50" s="358"/>
      <c r="F50" s="353"/>
      <c r="G50" s="354"/>
      <c r="H50" s="307"/>
      <c r="I50" s="358"/>
      <c r="J50" s="353"/>
      <c r="K50" s="354"/>
      <c r="L50" s="4"/>
      <c r="M50" s="358"/>
      <c r="N50" s="353"/>
      <c r="O50" s="354"/>
      <c r="P50" s="4"/>
      <c r="Q50" s="358"/>
      <c r="R50" s="353"/>
      <c r="S50" s="354"/>
      <c r="T50" s="4"/>
      <c r="U50" s="358"/>
      <c r="V50" s="353"/>
      <c r="W50" s="354"/>
      <c r="X50" s="4"/>
      <c r="Y50" s="348">
        <v>200.0</v>
      </c>
      <c r="Z50" s="349" t="s">
        <v>896</v>
      </c>
      <c r="AA50" s="350">
        <v>46127.0</v>
      </c>
      <c r="AB50" s="4"/>
      <c r="AC50" s="281"/>
      <c r="AD50" s="282"/>
      <c r="AE50" s="382"/>
      <c r="AF50" s="4"/>
      <c r="AG50" s="380"/>
      <c r="AH50" s="380"/>
      <c r="AI50" s="381"/>
      <c r="AJ50" s="4"/>
      <c r="AK50" s="36"/>
      <c r="AL50" s="36"/>
      <c r="AM50" s="363"/>
      <c r="AN50" s="179"/>
    </row>
    <row r="51">
      <c r="A51" s="371">
        <v>240.0</v>
      </c>
      <c r="B51" s="372">
        <v>0.8034722222222223</v>
      </c>
      <c r="C51" s="343">
        <v>46104.0</v>
      </c>
      <c r="D51" s="307"/>
      <c r="E51" s="358"/>
      <c r="F51" s="353"/>
      <c r="G51" s="354"/>
      <c r="H51" s="307"/>
      <c r="I51" s="358"/>
      <c r="J51" s="353"/>
      <c r="K51" s="354"/>
      <c r="L51" s="4"/>
      <c r="M51" s="358"/>
      <c r="N51" s="353"/>
      <c r="O51" s="354"/>
      <c r="P51" s="4"/>
      <c r="Q51" s="358"/>
      <c r="R51" s="353"/>
      <c r="S51" s="354"/>
      <c r="T51" s="4"/>
      <c r="U51" s="358"/>
      <c r="V51" s="353"/>
      <c r="W51" s="354"/>
      <c r="X51" s="4"/>
      <c r="Y51" s="348">
        <v>400.0</v>
      </c>
      <c r="Z51" s="349" t="s">
        <v>899</v>
      </c>
      <c r="AA51" s="350">
        <v>46130.0</v>
      </c>
      <c r="AB51" s="4"/>
      <c r="AC51" s="36"/>
      <c r="AD51" s="36"/>
      <c r="AE51" s="36"/>
      <c r="AF51" s="4"/>
      <c r="AG51" s="380"/>
      <c r="AH51" s="380"/>
      <c r="AI51" s="381"/>
      <c r="AJ51" s="4"/>
      <c r="AK51" s="36"/>
      <c r="AL51" s="36"/>
      <c r="AM51" s="363"/>
      <c r="AN51" s="179"/>
    </row>
    <row r="52">
      <c r="A52" s="371">
        <v>80.0</v>
      </c>
      <c r="B52" s="372">
        <v>0.8069444444444445</v>
      </c>
      <c r="C52" s="343">
        <v>46104.0</v>
      </c>
      <c r="D52" s="307"/>
      <c r="E52" s="358"/>
      <c r="F52" s="353"/>
      <c r="G52" s="354"/>
      <c r="H52" s="307"/>
      <c r="I52" s="358"/>
      <c r="J52" s="353"/>
      <c r="K52" s="354"/>
      <c r="L52" s="4"/>
      <c r="M52" s="358"/>
      <c r="N52" s="353"/>
      <c r="O52" s="354"/>
      <c r="P52" s="4"/>
      <c r="Q52" s="358"/>
      <c r="R52" s="353"/>
      <c r="S52" s="354"/>
      <c r="T52" s="4"/>
      <c r="U52" s="358"/>
      <c r="V52" s="353"/>
      <c r="W52" s="354"/>
      <c r="X52" s="4"/>
      <c r="Y52" s="348">
        <v>200.0</v>
      </c>
      <c r="Z52" s="349" t="s">
        <v>902</v>
      </c>
      <c r="AA52" s="350">
        <v>46130.0</v>
      </c>
      <c r="AB52" s="4"/>
      <c r="AC52" s="36"/>
      <c r="AD52" s="36"/>
      <c r="AE52" s="36"/>
      <c r="AF52" s="4"/>
      <c r="AG52" s="380"/>
      <c r="AH52" s="380"/>
      <c r="AI52" s="381"/>
      <c r="AJ52" s="4"/>
      <c r="AK52" s="36"/>
      <c r="AL52" s="36"/>
      <c r="AM52" s="363"/>
      <c r="AN52" s="179"/>
    </row>
    <row r="53">
      <c r="A53" s="371">
        <v>1400.0</v>
      </c>
      <c r="B53" s="372">
        <v>0.8486111111111111</v>
      </c>
      <c r="C53" s="343">
        <v>46104.0</v>
      </c>
      <c r="D53" s="307"/>
      <c r="E53" s="358"/>
      <c r="F53" s="353"/>
      <c r="G53" s="354"/>
      <c r="H53" s="307"/>
      <c r="I53" s="358"/>
      <c r="J53" s="353"/>
      <c r="K53" s="354"/>
      <c r="L53" s="4"/>
      <c r="M53" s="358"/>
      <c r="N53" s="353"/>
      <c r="O53" s="354"/>
      <c r="P53" s="4"/>
      <c r="Q53" s="358"/>
      <c r="R53" s="353"/>
      <c r="S53" s="354"/>
      <c r="T53" s="4"/>
      <c r="U53" s="358"/>
      <c r="V53" s="353"/>
      <c r="W53" s="354"/>
      <c r="X53" s="4"/>
      <c r="Y53" s="348">
        <v>100.0</v>
      </c>
      <c r="Z53" s="349" t="s">
        <v>905</v>
      </c>
      <c r="AA53" s="350">
        <v>46130.0</v>
      </c>
      <c r="AB53" s="4"/>
      <c r="AC53" s="36"/>
      <c r="AD53" s="36"/>
      <c r="AE53" s="36"/>
      <c r="AF53" s="4"/>
      <c r="AG53" s="36"/>
      <c r="AH53" s="36"/>
      <c r="AI53" s="381"/>
      <c r="AJ53" s="4"/>
      <c r="AK53" s="36"/>
      <c r="AL53" s="36"/>
      <c r="AM53" s="363"/>
      <c r="AN53" s="179"/>
    </row>
    <row r="54">
      <c r="A54" s="371">
        <v>100.0</v>
      </c>
      <c r="B54" s="372">
        <v>0.8493055555555555</v>
      </c>
      <c r="C54" s="343">
        <v>46104.0</v>
      </c>
      <c r="D54" s="307"/>
      <c r="E54" s="358"/>
      <c r="F54" s="353"/>
      <c r="G54" s="354"/>
      <c r="H54" s="307"/>
      <c r="I54" s="358"/>
      <c r="J54" s="353"/>
      <c r="K54" s="354"/>
      <c r="L54" s="4"/>
      <c r="M54" s="358"/>
      <c r="N54" s="353"/>
      <c r="O54" s="354"/>
      <c r="P54" s="4"/>
      <c r="Q54" s="358"/>
      <c r="R54" s="353"/>
      <c r="S54" s="354"/>
      <c r="T54" s="4"/>
      <c r="U54" s="358"/>
      <c r="V54" s="353"/>
      <c r="W54" s="354"/>
      <c r="X54" s="4"/>
      <c r="Y54" s="348">
        <v>25.0</v>
      </c>
      <c r="Z54" s="349" t="s">
        <v>907</v>
      </c>
      <c r="AA54" s="350">
        <v>46130.0</v>
      </c>
      <c r="AC54" s="36"/>
      <c r="AD54" s="36"/>
      <c r="AE54" s="36"/>
      <c r="AG54" s="36"/>
      <c r="AH54" s="36"/>
      <c r="AI54" s="381"/>
      <c r="AJ54" s="4"/>
      <c r="AK54" s="36"/>
      <c r="AL54" s="36"/>
      <c r="AM54" s="363"/>
      <c r="AN54" s="179"/>
    </row>
    <row r="55">
      <c r="A55" s="371">
        <v>1450.0</v>
      </c>
      <c r="B55" s="372">
        <v>0.5923611111111111</v>
      </c>
      <c r="C55" s="343">
        <v>46105.0</v>
      </c>
      <c r="D55" s="307"/>
      <c r="E55" s="358"/>
      <c r="F55" s="353"/>
      <c r="G55" s="354"/>
      <c r="H55" s="307"/>
      <c r="I55" s="358"/>
      <c r="J55" s="353"/>
      <c r="K55" s="354"/>
      <c r="L55" s="4"/>
      <c r="M55" s="358"/>
      <c r="N55" s="353"/>
      <c r="O55" s="354"/>
      <c r="P55" s="4"/>
      <c r="Q55" s="358"/>
      <c r="R55" s="353"/>
      <c r="S55" s="354"/>
      <c r="T55" s="4"/>
      <c r="U55" s="358"/>
      <c r="V55" s="353"/>
      <c r="W55" s="354"/>
      <c r="X55" s="4"/>
      <c r="Y55" s="348">
        <v>400.0</v>
      </c>
      <c r="Z55" s="349" t="s">
        <v>789</v>
      </c>
      <c r="AA55" s="350">
        <v>46135.0</v>
      </c>
      <c r="AB55" s="4"/>
      <c r="AC55" s="36"/>
      <c r="AD55" s="36"/>
      <c r="AE55" s="36"/>
      <c r="AF55" s="4"/>
      <c r="AG55" s="380"/>
      <c r="AH55" s="380"/>
      <c r="AI55" s="381"/>
      <c r="AJ55" s="4"/>
      <c r="AK55" s="36"/>
      <c r="AL55" s="36"/>
      <c r="AM55" s="363"/>
      <c r="AN55" s="179"/>
    </row>
    <row r="56">
      <c r="A56" s="371">
        <v>400.0</v>
      </c>
      <c r="B56" s="372">
        <v>0.9909722222222223</v>
      </c>
      <c r="C56" s="343">
        <v>46105.0</v>
      </c>
      <c r="D56" s="307"/>
      <c r="E56" s="358"/>
      <c r="F56" s="353"/>
      <c r="G56" s="354"/>
      <c r="H56" s="307"/>
      <c r="I56" s="358"/>
      <c r="J56" s="353"/>
      <c r="K56" s="354"/>
      <c r="L56" s="4"/>
      <c r="M56" s="358"/>
      <c r="N56" s="353"/>
      <c r="O56" s="354"/>
      <c r="P56" s="4"/>
      <c r="Q56" s="358"/>
      <c r="R56" s="353"/>
      <c r="S56" s="354"/>
      <c r="T56" s="4"/>
      <c r="U56" s="358"/>
      <c r="V56" s="353"/>
      <c r="W56" s="354"/>
      <c r="X56" s="4"/>
      <c r="Y56" s="348">
        <v>150.0</v>
      </c>
      <c r="Z56" s="349" t="s">
        <v>911</v>
      </c>
      <c r="AA56" s="350">
        <v>46135.0</v>
      </c>
      <c r="AB56" s="4"/>
      <c r="AC56" s="36"/>
      <c r="AD56" s="36"/>
      <c r="AE56" s="36"/>
      <c r="AF56" s="4"/>
      <c r="AG56" s="380"/>
      <c r="AH56" s="380"/>
      <c r="AI56" s="381"/>
      <c r="AJ56" s="4"/>
      <c r="AK56" s="36"/>
      <c r="AL56" s="36"/>
      <c r="AM56" s="363"/>
      <c r="AN56" s="179"/>
    </row>
    <row r="57">
      <c r="A57" s="371">
        <v>240.0</v>
      </c>
      <c r="B57" s="372">
        <v>0.9923611111111111</v>
      </c>
      <c r="C57" s="343">
        <v>46105.0</v>
      </c>
      <c r="D57" s="307"/>
      <c r="E57" s="358"/>
      <c r="F57" s="353"/>
      <c r="G57" s="354"/>
      <c r="H57" s="307"/>
      <c r="I57" s="358"/>
      <c r="J57" s="353"/>
      <c r="K57" s="354"/>
      <c r="L57" s="4"/>
      <c r="M57" s="358"/>
      <c r="N57" s="353"/>
      <c r="O57" s="354"/>
      <c r="P57" s="4"/>
      <c r="Q57" s="358"/>
      <c r="R57" s="353"/>
      <c r="S57" s="354"/>
      <c r="T57" s="4"/>
      <c r="U57" s="358"/>
      <c r="V57" s="353"/>
      <c r="W57" s="354"/>
      <c r="X57" s="4"/>
      <c r="Y57" s="348">
        <v>300.0</v>
      </c>
      <c r="Z57" s="349" t="s">
        <v>914</v>
      </c>
      <c r="AA57" s="350">
        <v>46138.0</v>
      </c>
      <c r="AB57" s="4"/>
      <c r="AC57" s="36"/>
      <c r="AD57" s="36"/>
      <c r="AE57" s="36"/>
      <c r="AF57" s="4"/>
      <c r="AG57" s="380"/>
      <c r="AH57" s="380"/>
      <c r="AI57" s="381"/>
      <c r="AJ57" s="4"/>
      <c r="AK57" s="36"/>
      <c r="AL57" s="36"/>
      <c r="AM57" s="36"/>
      <c r="AN57" s="307"/>
    </row>
    <row r="58">
      <c r="A58" s="371">
        <v>400.0</v>
      </c>
      <c r="B58" s="372">
        <v>0.5645833333333333</v>
      </c>
      <c r="C58" s="343">
        <v>46106.0</v>
      </c>
      <c r="D58" s="307"/>
      <c r="E58" s="358"/>
      <c r="F58" s="353"/>
      <c r="G58" s="354"/>
      <c r="H58" s="307"/>
      <c r="I58" s="358"/>
      <c r="J58" s="353"/>
      <c r="K58" s="354"/>
      <c r="L58" s="4"/>
      <c r="M58" s="358"/>
      <c r="N58" s="353"/>
      <c r="O58" s="354"/>
      <c r="P58" s="4"/>
      <c r="Q58" s="358"/>
      <c r="R58" s="353"/>
      <c r="S58" s="354"/>
      <c r="T58" s="4"/>
      <c r="U58" s="358"/>
      <c r="V58" s="353"/>
      <c r="W58" s="354"/>
      <c r="X58" s="4"/>
      <c r="Y58" s="348">
        <v>350.0</v>
      </c>
      <c r="Z58" s="349" t="s">
        <v>916</v>
      </c>
      <c r="AA58" s="350">
        <v>46139.0</v>
      </c>
      <c r="AB58" s="4"/>
      <c r="AC58" s="36"/>
      <c r="AD58" s="36"/>
      <c r="AE58" s="36"/>
      <c r="AF58" s="4"/>
      <c r="AG58" s="380"/>
      <c r="AH58" s="380"/>
      <c r="AI58" s="381"/>
      <c r="AJ58" s="4"/>
      <c r="AK58" s="36"/>
      <c r="AL58" s="36"/>
      <c r="AM58" s="363"/>
      <c r="AN58" s="307"/>
    </row>
    <row r="59">
      <c r="A59" s="371">
        <v>240.0</v>
      </c>
      <c r="B59" s="372">
        <v>0.5666666666666667</v>
      </c>
      <c r="C59" s="343">
        <v>46106.0</v>
      </c>
      <c r="D59" s="307"/>
      <c r="E59" s="358"/>
      <c r="F59" s="353"/>
      <c r="G59" s="354"/>
      <c r="H59" s="307"/>
      <c r="I59" s="358"/>
      <c r="J59" s="353"/>
      <c r="K59" s="354"/>
      <c r="L59" s="4"/>
      <c r="M59" s="358"/>
      <c r="N59" s="353"/>
      <c r="O59" s="354"/>
      <c r="P59" s="4"/>
      <c r="Q59" s="358"/>
      <c r="R59" s="353"/>
      <c r="S59" s="354"/>
      <c r="T59" s="4"/>
      <c r="U59" s="358"/>
      <c r="V59" s="353"/>
      <c r="W59" s="354"/>
      <c r="X59" s="4"/>
      <c r="Y59" s="348">
        <v>1000.0</v>
      </c>
      <c r="Z59" s="349" t="s">
        <v>865</v>
      </c>
      <c r="AA59" s="350">
        <v>46139.0</v>
      </c>
      <c r="AB59" s="4"/>
      <c r="AC59" s="36"/>
      <c r="AD59" s="36"/>
      <c r="AE59" s="36"/>
      <c r="AF59" s="4"/>
      <c r="AG59" s="380"/>
      <c r="AH59" s="380"/>
      <c r="AI59" s="381"/>
      <c r="AJ59" s="4"/>
      <c r="AK59" s="36"/>
      <c r="AL59" s="36"/>
      <c r="AM59" s="363"/>
      <c r="AN59" s="307"/>
    </row>
    <row r="60">
      <c r="A60" s="371">
        <v>240.0</v>
      </c>
      <c r="B60" s="372">
        <v>0.56875</v>
      </c>
      <c r="C60" s="343">
        <v>46106.0</v>
      </c>
      <c r="D60" s="307"/>
      <c r="E60" s="358"/>
      <c r="F60" s="353"/>
      <c r="G60" s="354"/>
      <c r="H60" s="307"/>
      <c r="I60" s="358"/>
      <c r="J60" s="353"/>
      <c r="K60" s="354"/>
      <c r="L60" s="4"/>
      <c r="M60" s="358"/>
      <c r="N60" s="353"/>
      <c r="O60" s="354"/>
      <c r="P60" s="4"/>
      <c r="Q60" s="358"/>
      <c r="R60" s="353"/>
      <c r="S60" s="354"/>
      <c r="T60" s="4"/>
      <c r="U60" s="358"/>
      <c r="V60" s="353"/>
      <c r="W60" s="354"/>
      <c r="X60" s="4"/>
      <c r="Y60" s="348">
        <v>200.0</v>
      </c>
      <c r="Z60" s="349" t="s">
        <v>919</v>
      </c>
      <c r="AA60" s="350">
        <v>46145.0</v>
      </c>
      <c r="AB60" s="4"/>
      <c r="AC60" s="36"/>
      <c r="AD60" s="36"/>
      <c r="AE60" s="36"/>
      <c r="AF60" s="4"/>
      <c r="AG60" s="380"/>
      <c r="AH60" s="380"/>
      <c r="AI60" s="381"/>
      <c r="AJ60" s="4"/>
      <c r="AK60" s="36"/>
      <c r="AL60" s="36"/>
      <c r="AM60" s="36"/>
      <c r="AN60" s="307"/>
    </row>
    <row r="61">
      <c r="A61" s="371">
        <v>120.0</v>
      </c>
      <c r="B61" s="372">
        <v>0.5951388888888889</v>
      </c>
      <c r="C61" s="343">
        <v>46106.0</v>
      </c>
      <c r="D61" s="307"/>
      <c r="E61" s="358"/>
      <c r="F61" s="353"/>
      <c r="G61" s="354"/>
      <c r="H61" s="307"/>
      <c r="I61" s="358"/>
      <c r="J61" s="353"/>
      <c r="K61" s="354"/>
      <c r="L61" s="4"/>
      <c r="M61" s="358"/>
      <c r="N61" s="353"/>
      <c r="O61" s="354"/>
      <c r="P61" s="4"/>
      <c r="Q61" s="358"/>
      <c r="R61" s="353"/>
      <c r="S61" s="354"/>
      <c r="T61" s="4"/>
      <c r="U61" s="358"/>
      <c r="V61" s="353"/>
      <c r="W61" s="354"/>
      <c r="X61" s="4"/>
      <c r="Y61" s="348">
        <v>220.0</v>
      </c>
      <c r="Z61" s="349" t="s">
        <v>922</v>
      </c>
      <c r="AA61" s="350">
        <v>46149.0</v>
      </c>
      <c r="AB61" s="4"/>
      <c r="AC61" s="36"/>
      <c r="AD61" s="36"/>
      <c r="AE61" s="36"/>
      <c r="AF61" s="4"/>
      <c r="AG61" s="380"/>
      <c r="AH61" s="380"/>
      <c r="AI61" s="381"/>
      <c r="AJ61" s="4"/>
      <c r="AK61" s="36"/>
      <c r="AL61" s="36"/>
      <c r="AM61" s="363"/>
      <c r="AN61" s="307"/>
    </row>
    <row r="62">
      <c r="A62" s="371">
        <v>480.0</v>
      </c>
      <c r="B62" s="372">
        <v>0.6076388888888888</v>
      </c>
      <c r="C62" s="343">
        <v>46106.0</v>
      </c>
      <c r="D62" s="307"/>
      <c r="E62" s="358"/>
      <c r="F62" s="353"/>
      <c r="G62" s="354"/>
      <c r="H62" s="307"/>
      <c r="I62" s="358"/>
      <c r="J62" s="353"/>
      <c r="K62" s="354"/>
      <c r="L62" s="4"/>
      <c r="M62" s="358"/>
      <c r="N62" s="353"/>
      <c r="O62" s="354"/>
      <c r="P62" s="4"/>
      <c r="Q62" s="358"/>
      <c r="R62" s="353"/>
      <c r="S62" s="354"/>
      <c r="T62" s="4"/>
      <c r="U62" s="358"/>
      <c r="V62" s="353"/>
      <c r="W62" s="354"/>
      <c r="X62" s="4"/>
      <c r="Y62" s="348">
        <v>50.0</v>
      </c>
      <c r="Z62" s="349" t="s">
        <v>924</v>
      </c>
      <c r="AA62" s="350">
        <v>46149.0</v>
      </c>
      <c r="AB62" s="4"/>
      <c r="AC62" s="36"/>
      <c r="AD62" s="36"/>
      <c r="AE62" s="36"/>
      <c r="AF62" s="4"/>
      <c r="AG62" s="380"/>
      <c r="AH62" s="380"/>
      <c r="AI62" s="381"/>
      <c r="AJ62" s="4"/>
      <c r="AK62" s="36"/>
      <c r="AL62" s="36"/>
      <c r="AM62" s="363"/>
      <c r="AN62" s="307"/>
    </row>
    <row r="63">
      <c r="A63" s="371">
        <v>160.0</v>
      </c>
      <c r="B63" s="372">
        <v>0.6270833333333333</v>
      </c>
      <c r="C63" s="343">
        <v>46106.0</v>
      </c>
      <c r="D63" s="307"/>
      <c r="E63" s="358"/>
      <c r="F63" s="353"/>
      <c r="G63" s="354"/>
      <c r="H63" s="307"/>
      <c r="I63" s="358"/>
      <c r="J63" s="353"/>
      <c r="K63" s="354"/>
      <c r="L63" s="4"/>
      <c r="M63" s="358"/>
      <c r="N63" s="353"/>
      <c r="O63" s="354"/>
      <c r="P63" s="4"/>
      <c r="Q63" s="358"/>
      <c r="R63" s="353"/>
      <c r="S63" s="354"/>
      <c r="T63" s="4"/>
      <c r="U63" s="358"/>
      <c r="V63" s="353"/>
      <c r="W63" s="354"/>
      <c r="X63" s="4"/>
      <c r="Y63" s="348">
        <v>3600.0</v>
      </c>
      <c r="Z63" s="349" t="s">
        <v>927</v>
      </c>
      <c r="AA63" s="350">
        <v>46149.0</v>
      </c>
      <c r="AB63" s="4"/>
      <c r="AC63" s="36"/>
      <c r="AD63" s="36"/>
      <c r="AE63" s="36"/>
      <c r="AF63" s="4"/>
      <c r="AG63" s="380"/>
      <c r="AH63" s="380"/>
      <c r="AI63" s="381"/>
      <c r="AJ63" s="4"/>
      <c r="AK63" s="36"/>
      <c r="AL63" s="36"/>
      <c r="AM63" s="36"/>
      <c r="AN63" s="307"/>
    </row>
    <row r="64">
      <c r="A64" s="371">
        <v>160.0</v>
      </c>
      <c r="B64" s="372">
        <v>0.6298611111111111</v>
      </c>
      <c r="C64" s="343">
        <v>46106.0</v>
      </c>
      <c r="D64" s="307"/>
      <c r="E64" s="358"/>
      <c r="F64" s="353"/>
      <c r="G64" s="354"/>
      <c r="H64" s="307"/>
      <c r="I64" s="358"/>
      <c r="J64" s="353"/>
      <c r="K64" s="354"/>
      <c r="L64" s="4"/>
      <c r="M64" s="358"/>
      <c r="N64" s="353"/>
      <c r="O64" s="354"/>
      <c r="P64" s="4"/>
      <c r="Q64" s="358"/>
      <c r="R64" s="353"/>
      <c r="S64" s="354"/>
      <c r="T64" s="4"/>
      <c r="U64" s="358"/>
      <c r="V64" s="353"/>
      <c r="W64" s="354"/>
      <c r="X64" s="4"/>
      <c r="Y64" s="348">
        <v>300.0</v>
      </c>
      <c r="Z64" s="349" t="s">
        <v>930</v>
      </c>
      <c r="AA64" s="350">
        <v>46149.0</v>
      </c>
      <c r="AB64" s="4"/>
      <c r="AC64" s="36"/>
      <c r="AD64" s="36"/>
      <c r="AE64" s="36"/>
      <c r="AF64" s="4"/>
      <c r="AG64" s="380"/>
      <c r="AH64" s="380"/>
      <c r="AI64" s="381"/>
      <c r="AJ64" s="4"/>
      <c r="AK64" s="36"/>
      <c r="AL64" s="36"/>
      <c r="AM64" s="363"/>
      <c r="AN64" s="307"/>
    </row>
    <row r="65">
      <c r="A65" s="371">
        <v>120.0</v>
      </c>
      <c r="B65" s="372">
        <v>0.6791666666666667</v>
      </c>
      <c r="C65" s="343">
        <v>46106.0</v>
      </c>
      <c r="D65" s="307"/>
      <c r="E65" s="358"/>
      <c r="F65" s="353"/>
      <c r="G65" s="354"/>
      <c r="H65" s="307"/>
      <c r="I65" s="358"/>
      <c r="J65" s="353"/>
      <c r="K65" s="354"/>
      <c r="L65" s="4"/>
      <c r="M65" s="358"/>
      <c r="N65" s="353"/>
      <c r="O65" s="354"/>
      <c r="P65" s="4"/>
      <c r="Q65" s="358"/>
      <c r="R65" s="353"/>
      <c r="S65" s="354"/>
      <c r="T65" s="4"/>
      <c r="U65" s="358"/>
      <c r="V65" s="353"/>
      <c r="W65" s="354"/>
      <c r="X65" s="4"/>
      <c r="Y65" s="348">
        <v>200.0</v>
      </c>
      <c r="Z65" s="349" t="s">
        <v>896</v>
      </c>
      <c r="AA65" s="350">
        <v>46152.0</v>
      </c>
      <c r="AB65" s="4"/>
      <c r="AC65" s="36"/>
      <c r="AD65" s="36"/>
      <c r="AE65" s="36"/>
      <c r="AF65" s="4"/>
      <c r="AG65" s="380"/>
      <c r="AH65" s="380"/>
      <c r="AI65" s="381"/>
      <c r="AJ65" s="4"/>
      <c r="AK65" s="36"/>
      <c r="AL65" s="36"/>
      <c r="AM65" s="363"/>
      <c r="AN65" s="307"/>
    </row>
    <row r="66">
      <c r="A66" s="371">
        <v>160.0</v>
      </c>
      <c r="B66" s="372">
        <v>0.8506944444444444</v>
      </c>
      <c r="C66" s="343">
        <v>46106.0</v>
      </c>
      <c r="D66" s="307"/>
      <c r="E66" s="358"/>
      <c r="F66" s="353"/>
      <c r="G66" s="354"/>
      <c r="H66" s="307"/>
      <c r="I66" s="358"/>
      <c r="J66" s="353"/>
      <c r="K66" s="354"/>
      <c r="L66" s="4"/>
      <c r="M66" s="358"/>
      <c r="N66" s="353"/>
      <c r="O66" s="354"/>
      <c r="P66" s="4"/>
      <c r="Q66" s="358"/>
      <c r="R66" s="353"/>
      <c r="S66" s="354"/>
      <c r="T66" s="4"/>
      <c r="U66" s="358"/>
      <c r="V66" s="353"/>
      <c r="W66" s="354"/>
      <c r="X66" s="4"/>
      <c r="Y66" s="348">
        <v>500.0</v>
      </c>
      <c r="Z66" s="349" t="s">
        <v>935</v>
      </c>
      <c r="AA66" s="350">
        <v>46152.0</v>
      </c>
      <c r="AB66" s="4"/>
      <c r="AC66" s="36"/>
      <c r="AD66" s="36"/>
      <c r="AE66" s="36"/>
      <c r="AF66" s="4"/>
      <c r="AG66" s="380"/>
      <c r="AH66" s="380"/>
      <c r="AI66" s="381"/>
      <c r="AJ66" s="4"/>
      <c r="AK66" s="36"/>
      <c r="AL66" s="36"/>
      <c r="AM66" s="36"/>
      <c r="AN66" s="307"/>
    </row>
    <row r="67">
      <c r="A67" s="371">
        <v>240.0</v>
      </c>
      <c r="B67" s="372">
        <v>0.8861111111111111</v>
      </c>
      <c r="C67" s="343">
        <v>46106.0</v>
      </c>
      <c r="D67" s="307"/>
      <c r="E67" s="358"/>
      <c r="F67" s="353"/>
      <c r="G67" s="354"/>
      <c r="H67" s="307"/>
      <c r="I67" s="358"/>
      <c r="J67" s="353"/>
      <c r="K67" s="354"/>
      <c r="L67" s="4"/>
      <c r="M67" s="358"/>
      <c r="N67" s="353"/>
      <c r="O67" s="354"/>
      <c r="P67" s="4"/>
      <c r="Q67" s="358"/>
      <c r="R67" s="353"/>
      <c r="S67" s="354"/>
      <c r="T67" s="4"/>
      <c r="U67" s="358"/>
      <c r="V67" s="353"/>
      <c r="W67" s="354"/>
      <c r="X67" s="4"/>
      <c r="Y67" s="348">
        <v>1000.0</v>
      </c>
      <c r="Z67" s="349" t="s">
        <v>937</v>
      </c>
      <c r="AA67" s="350">
        <v>46152.0</v>
      </c>
      <c r="AB67" s="4"/>
      <c r="AC67" s="36"/>
      <c r="AD67" s="36"/>
      <c r="AE67" s="36"/>
      <c r="AF67" s="4"/>
      <c r="AG67" s="380"/>
      <c r="AH67" s="380"/>
      <c r="AI67" s="381"/>
      <c r="AJ67" s="4"/>
      <c r="AK67" s="36"/>
      <c r="AL67" s="36"/>
      <c r="AM67" s="363"/>
      <c r="AN67" s="307"/>
    </row>
    <row r="68">
      <c r="A68" s="371">
        <v>320.0</v>
      </c>
      <c r="B68" s="372">
        <v>0.5972222222222222</v>
      </c>
      <c r="C68" s="343">
        <v>46107.0</v>
      </c>
      <c r="D68" s="307"/>
      <c r="E68" s="358"/>
      <c r="F68" s="353"/>
      <c r="G68" s="354"/>
      <c r="H68" s="307"/>
      <c r="I68" s="358"/>
      <c r="J68" s="353"/>
      <c r="K68" s="354"/>
      <c r="L68" s="4"/>
      <c r="M68" s="358"/>
      <c r="N68" s="353"/>
      <c r="O68" s="354"/>
      <c r="P68" s="4"/>
      <c r="Q68" s="358"/>
      <c r="R68" s="353"/>
      <c r="S68" s="354"/>
      <c r="T68" s="4"/>
      <c r="U68" s="358"/>
      <c r="V68" s="353"/>
      <c r="W68" s="354"/>
      <c r="X68" s="4"/>
      <c r="Y68" s="348">
        <v>1300.0</v>
      </c>
      <c r="Z68" s="349" t="s">
        <v>940</v>
      </c>
      <c r="AA68" s="350">
        <v>46155.0</v>
      </c>
      <c r="AB68" s="4"/>
      <c r="AC68" s="36"/>
      <c r="AD68" s="36"/>
      <c r="AE68" s="36"/>
      <c r="AF68" s="4"/>
      <c r="AG68" s="380"/>
      <c r="AH68" s="380"/>
      <c r="AI68" s="381"/>
      <c r="AJ68" s="4"/>
      <c r="AK68" s="36"/>
      <c r="AL68" s="36"/>
      <c r="AM68" s="363"/>
      <c r="AN68" s="307"/>
    </row>
    <row r="69">
      <c r="A69" s="371">
        <v>320.0</v>
      </c>
      <c r="B69" s="372">
        <v>0.6263888888888889</v>
      </c>
      <c r="C69" s="343">
        <v>46107.0</v>
      </c>
      <c r="D69" s="307"/>
      <c r="E69" s="358"/>
      <c r="F69" s="353"/>
      <c r="G69" s="354"/>
      <c r="H69" s="307"/>
      <c r="I69" s="358"/>
      <c r="J69" s="353"/>
      <c r="K69" s="354"/>
      <c r="L69" s="4"/>
      <c r="M69" s="358"/>
      <c r="N69" s="353"/>
      <c r="O69" s="354"/>
      <c r="P69" s="4"/>
      <c r="Q69" s="358"/>
      <c r="R69" s="353"/>
      <c r="S69" s="354"/>
      <c r="T69" s="4"/>
      <c r="U69" s="358"/>
      <c r="V69" s="353"/>
      <c r="W69" s="354"/>
      <c r="X69" s="4"/>
      <c r="Y69" s="348">
        <v>1200.0</v>
      </c>
      <c r="Z69" s="349" t="s">
        <v>943</v>
      </c>
      <c r="AA69" s="350">
        <v>46156.0</v>
      </c>
      <c r="AB69" s="4"/>
      <c r="AC69" s="36"/>
      <c r="AD69" s="36"/>
      <c r="AE69" s="36"/>
      <c r="AF69" s="4"/>
      <c r="AG69" s="380"/>
      <c r="AH69" s="380"/>
      <c r="AI69" s="381"/>
      <c r="AJ69" s="4"/>
      <c r="AK69" s="36"/>
      <c r="AL69" s="36"/>
      <c r="AM69" s="36"/>
      <c r="AN69" s="307"/>
    </row>
    <row r="70">
      <c r="A70" s="371">
        <v>240.0</v>
      </c>
      <c r="B70" s="372">
        <v>0.6263888888888889</v>
      </c>
      <c r="C70" s="343">
        <v>46107.0</v>
      </c>
      <c r="D70" s="307"/>
      <c r="E70" s="358"/>
      <c r="F70" s="353"/>
      <c r="G70" s="354"/>
      <c r="H70" s="307"/>
      <c r="I70" s="358"/>
      <c r="J70" s="353"/>
      <c r="K70" s="354"/>
      <c r="L70" s="4"/>
      <c r="M70" s="358"/>
      <c r="N70" s="353"/>
      <c r="O70" s="354"/>
      <c r="P70" s="4"/>
      <c r="Q70" s="358"/>
      <c r="R70" s="353"/>
      <c r="S70" s="354"/>
      <c r="T70" s="4"/>
      <c r="U70" s="358"/>
      <c r="V70" s="353"/>
      <c r="W70" s="354"/>
      <c r="X70" s="4"/>
      <c r="Y70" s="348">
        <v>195.0</v>
      </c>
      <c r="Z70" s="349" t="s">
        <v>946</v>
      </c>
      <c r="AA70" s="350">
        <v>46160.0</v>
      </c>
      <c r="AC70" s="36"/>
      <c r="AD70" s="36"/>
      <c r="AE70" s="36"/>
      <c r="AF70" s="4"/>
      <c r="AG70" s="380"/>
      <c r="AH70" s="380"/>
      <c r="AI70" s="381"/>
      <c r="AJ70" s="4"/>
      <c r="AK70" s="36"/>
      <c r="AL70" s="36"/>
      <c r="AM70" s="363"/>
      <c r="AN70" s="307"/>
    </row>
    <row r="71">
      <c r="A71" s="371">
        <v>240.0</v>
      </c>
      <c r="B71" s="372">
        <v>0.7951388888888888</v>
      </c>
      <c r="C71" s="343">
        <v>46107.0</v>
      </c>
      <c r="D71" s="307"/>
      <c r="E71" s="358"/>
      <c r="F71" s="353"/>
      <c r="G71" s="354"/>
      <c r="H71" s="307"/>
      <c r="I71" s="358"/>
      <c r="J71" s="353"/>
      <c r="K71" s="354"/>
      <c r="L71" s="4"/>
      <c r="M71" s="358"/>
      <c r="N71" s="353"/>
      <c r="O71" s="354"/>
      <c r="P71" s="4"/>
      <c r="Q71" s="358"/>
      <c r="R71" s="353"/>
      <c r="S71" s="354"/>
      <c r="T71" s="4"/>
      <c r="U71" s="358"/>
      <c r="V71" s="353"/>
      <c r="W71" s="354"/>
      <c r="X71" s="4"/>
      <c r="Y71" s="348">
        <v>85.0</v>
      </c>
      <c r="Z71" s="349" t="s">
        <v>949</v>
      </c>
      <c r="AA71" s="350">
        <v>46161.0</v>
      </c>
      <c r="AB71" s="4"/>
      <c r="AC71" s="36"/>
      <c r="AD71" s="36"/>
      <c r="AE71" s="36"/>
      <c r="AF71" s="4"/>
      <c r="AG71" s="380"/>
      <c r="AH71" s="380"/>
      <c r="AI71" s="381"/>
      <c r="AJ71" s="4"/>
      <c r="AK71" s="36"/>
      <c r="AL71" s="36"/>
      <c r="AM71" s="363"/>
      <c r="AN71" s="307"/>
    </row>
    <row r="72">
      <c r="A72" s="371">
        <v>280.0</v>
      </c>
      <c r="B72" s="372">
        <v>0.7979166666666667</v>
      </c>
      <c r="C72" s="343">
        <v>46107.0</v>
      </c>
      <c r="D72" s="307"/>
      <c r="E72" s="358"/>
      <c r="F72" s="353"/>
      <c r="G72" s="354"/>
      <c r="H72" s="307"/>
      <c r="I72" s="358"/>
      <c r="J72" s="353"/>
      <c r="K72" s="354"/>
      <c r="L72" s="4"/>
      <c r="M72" s="358"/>
      <c r="N72" s="353"/>
      <c r="O72" s="354"/>
      <c r="P72" s="4"/>
      <c r="Q72" s="358"/>
      <c r="R72" s="353"/>
      <c r="S72" s="354"/>
      <c r="T72" s="4"/>
      <c r="U72" s="358"/>
      <c r="V72" s="353"/>
      <c r="W72" s="354"/>
      <c r="X72" s="4"/>
      <c r="Y72" s="348">
        <v>200.0</v>
      </c>
      <c r="Z72" s="349" t="s">
        <v>952</v>
      </c>
      <c r="AA72" s="350">
        <v>46165.0</v>
      </c>
      <c r="AB72" s="4"/>
      <c r="AC72" s="36"/>
      <c r="AD72" s="36"/>
      <c r="AE72" s="36"/>
      <c r="AF72" s="4"/>
      <c r="AG72" s="380"/>
      <c r="AH72" s="380"/>
      <c r="AI72" s="381"/>
      <c r="AJ72" s="4"/>
      <c r="AK72" s="36"/>
      <c r="AL72" s="36"/>
      <c r="AM72" s="36"/>
      <c r="AN72" s="307"/>
    </row>
    <row r="73">
      <c r="A73" s="371">
        <v>160.0</v>
      </c>
      <c r="B73" s="372">
        <v>0.9409722222222222</v>
      </c>
      <c r="C73" s="343">
        <v>46107.0</v>
      </c>
      <c r="D73" s="307"/>
      <c r="E73" s="358"/>
      <c r="F73" s="353"/>
      <c r="G73" s="354"/>
      <c r="H73" s="307"/>
      <c r="I73" s="358"/>
      <c r="J73" s="353"/>
      <c r="K73" s="354"/>
      <c r="L73" s="4"/>
      <c r="M73" s="358"/>
      <c r="N73" s="353"/>
      <c r="O73" s="354"/>
      <c r="P73" s="4"/>
      <c r="Q73" s="358"/>
      <c r="R73" s="353"/>
      <c r="S73" s="354"/>
      <c r="T73" s="4"/>
      <c r="U73" s="358"/>
      <c r="V73" s="353"/>
      <c r="W73" s="354"/>
      <c r="X73" s="4"/>
      <c r="Y73" s="348">
        <v>400.0</v>
      </c>
      <c r="Z73" s="349" t="s">
        <v>954</v>
      </c>
      <c r="AA73" s="350">
        <v>46165.0</v>
      </c>
      <c r="AB73" s="4"/>
      <c r="AC73" s="36"/>
      <c r="AD73" s="36"/>
      <c r="AE73" s="36"/>
      <c r="AF73" s="4"/>
      <c r="AG73" s="380"/>
      <c r="AH73" s="380"/>
      <c r="AI73" s="381"/>
      <c r="AJ73" s="4"/>
      <c r="AK73" s="36"/>
      <c r="AL73" s="36"/>
      <c r="AM73" s="363"/>
      <c r="AN73" s="307"/>
    </row>
    <row r="74">
      <c r="A74" s="371">
        <v>320.0</v>
      </c>
      <c r="B74" s="372">
        <v>0.9451388888888889</v>
      </c>
      <c r="C74" s="343">
        <v>46107.0</v>
      </c>
      <c r="D74" s="307"/>
      <c r="E74" s="389"/>
      <c r="F74" s="390"/>
      <c r="G74" s="392"/>
      <c r="H74" s="307"/>
      <c r="I74" s="389"/>
      <c r="J74" s="390"/>
      <c r="K74" s="392"/>
      <c r="L74" s="4"/>
      <c r="M74" s="389"/>
      <c r="N74" s="390"/>
      <c r="O74" s="392"/>
      <c r="P74" s="4"/>
      <c r="Q74" s="389"/>
      <c r="R74" s="390"/>
      <c r="S74" s="392"/>
      <c r="T74" s="4"/>
      <c r="U74" s="389"/>
      <c r="V74" s="390"/>
      <c r="W74" s="392"/>
      <c r="X74" s="4"/>
      <c r="Y74" s="348">
        <v>250.0</v>
      </c>
      <c r="Z74" s="349" t="s">
        <v>730</v>
      </c>
      <c r="AA74" s="350">
        <v>46165.0</v>
      </c>
      <c r="AB74" s="4"/>
      <c r="AC74" s="36"/>
      <c r="AD74" s="36"/>
      <c r="AE74" s="36"/>
      <c r="AF74" s="4"/>
      <c r="AG74" s="380"/>
      <c r="AH74" s="380"/>
      <c r="AI74" s="381"/>
      <c r="AJ74" s="4"/>
      <c r="AK74" s="36"/>
      <c r="AL74" s="36"/>
      <c r="AM74" s="363"/>
      <c r="AN74" s="307"/>
    </row>
    <row r="75">
      <c r="A75" s="371">
        <v>120.0</v>
      </c>
      <c r="B75" s="372">
        <v>0.9465277777777777</v>
      </c>
      <c r="C75" s="343">
        <v>46107.0</v>
      </c>
      <c r="D75" s="307"/>
      <c r="E75" s="389"/>
      <c r="F75" s="390"/>
      <c r="G75" s="392"/>
      <c r="H75" s="307"/>
      <c r="I75" s="389"/>
      <c r="J75" s="390"/>
      <c r="K75" s="392"/>
      <c r="L75" s="4"/>
      <c r="M75" s="389"/>
      <c r="N75" s="390"/>
      <c r="O75" s="392"/>
      <c r="P75" s="4"/>
      <c r="Q75" s="389"/>
      <c r="R75" s="390"/>
      <c r="S75" s="392"/>
      <c r="T75" s="4"/>
      <c r="U75" s="389"/>
      <c r="V75" s="390"/>
      <c r="W75" s="392"/>
      <c r="X75" s="4"/>
      <c r="Y75" s="348">
        <v>1200.0</v>
      </c>
      <c r="Z75" s="349" t="s">
        <v>943</v>
      </c>
      <c r="AA75" s="350">
        <v>46166.0</v>
      </c>
      <c r="AC75" s="36"/>
      <c r="AD75" s="36"/>
      <c r="AE75" s="36"/>
      <c r="AF75" s="4"/>
      <c r="AG75" s="380"/>
      <c r="AH75" s="380"/>
      <c r="AI75" s="381"/>
      <c r="AJ75" s="4"/>
      <c r="AK75" s="36"/>
      <c r="AL75" s="36"/>
      <c r="AM75" s="36"/>
      <c r="AN75" s="307"/>
    </row>
    <row r="76">
      <c r="A76" s="371">
        <v>120.0</v>
      </c>
      <c r="B76" s="372">
        <v>0.47638888888888886</v>
      </c>
      <c r="C76" s="366">
        <v>46108.0</v>
      </c>
      <c r="D76" s="307"/>
      <c r="E76" s="371"/>
      <c r="F76" s="372"/>
      <c r="G76" s="366"/>
      <c r="H76" s="307"/>
      <c r="I76" s="389"/>
      <c r="J76" s="390"/>
      <c r="K76" s="392"/>
      <c r="L76" s="4"/>
      <c r="M76" s="389"/>
      <c r="N76" s="390"/>
      <c r="O76" s="392"/>
      <c r="P76" s="4"/>
      <c r="Q76" s="389"/>
      <c r="R76" s="390"/>
      <c r="S76" s="392"/>
      <c r="T76" s="4"/>
      <c r="U76" s="389"/>
      <c r="V76" s="390"/>
      <c r="W76" s="392"/>
      <c r="X76" s="4"/>
      <c r="Y76" s="348">
        <v>275.0</v>
      </c>
      <c r="Z76" s="349" t="s">
        <v>959</v>
      </c>
      <c r="AA76" s="350">
        <v>46175.0</v>
      </c>
      <c r="AB76" s="4"/>
      <c r="AC76" s="36"/>
      <c r="AD76" s="36"/>
      <c r="AE76" s="36"/>
      <c r="AF76" s="4"/>
      <c r="AG76" s="380"/>
      <c r="AH76" s="380"/>
      <c r="AI76" s="381"/>
      <c r="AJ76" s="4"/>
      <c r="AK76" s="36"/>
      <c r="AL76" s="36"/>
      <c r="AM76" s="363"/>
      <c r="AN76" s="307"/>
    </row>
    <row r="77">
      <c r="A77" s="371">
        <v>500.0</v>
      </c>
      <c r="B77" s="372">
        <v>0.8583333333333333</v>
      </c>
      <c r="C77" s="366">
        <v>46108.0</v>
      </c>
      <c r="D77" s="307"/>
      <c r="E77" s="389"/>
      <c r="F77" s="390"/>
      <c r="G77" s="392"/>
      <c r="H77" s="307"/>
      <c r="I77" s="389"/>
      <c r="J77" s="390"/>
      <c r="K77" s="392"/>
      <c r="L77" s="4"/>
      <c r="M77" s="389"/>
      <c r="N77" s="390"/>
      <c r="O77" s="392"/>
      <c r="P77" s="4"/>
      <c r="Q77" s="389"/>
      <c r="R77" s="390"/>
      <c r="S77" s="392"/>
      <c r="T77" s="4"/>
      <c r="U77" s="389"/>
      <c r="V77" s="390"/>
      <c r="W77" s="392"/>
      <c r="X77" s="4"/>
      <c r="Y77" s="348">
        <v>270.0</v>
      </c>
      <c r="Z77" s="349" t="s">
        <v>960</v>
      </c>
      <c r="AA77" s="350">
        <v>46175.0</v>
      </c>
      <c r="AB77" s="4"/>
      <c r="AC77" s="36"/>
      <c r="AD77" s="36"/>
      <c r="AE77" s="36"/>
      <c r="AF77" s="4"/>
      <c r="AG77" s="380"/>
      <c r="AH77" s="380"/>
      <c r="AI77" s="381"/>
      <c r="AJ77" s="4"/>
      <c r="AK77" s="36"/>
      <c r="AL77" s="36"/>
      <c r="AM77" s="363"/>
      <c r="AN77" s="307"/>
    </row>
    <row r="78">
      <c r="A78" s="371">
        <v>240.0</v>
      </c>
      <c r="B78" s="372">
        <v>0.5506944444444445</v>
      </c>
      <c r="C78" s="366">
        <v>46109.0</v>
      </c>
      <c r="D78" s="307"/>
      <c r="E78" s="389"/>
      <c r="F78" s="390"/>
      <c r="G78" s="392"/>
      <c r="H78" s="307"/>
      <c r="I78" s="389"/>
      <c r="J78" s="390"/>
      <c r="K78" s="392"/>
      <c r="L78" s="4"/>
      <c r="M78" s="389"/>
      <c r="N78" s="390"/>
      <c r="O78" s="392"/>
      <c r="P78" s="4"/>
      <c r="Q78" s="389"/>
      <c r="R78" s="390"/>
      <c r="S78" s="392"/>
      <c r="T78" s="4"/>
      <c r="U78" s="389"/>
      <c r="V78" s="390"/>
      <c r="W78" s="392"/>
      <c r="X78" s="4"/>
      <c r="Y78" s="348">
        <v>975.0</v>
      </c>
      <c r="Z78" s="349" t="s">
        <v>963</v>
      </c>
      <c r="AA78" s="350">
        <v>46175.0</v>
      </c>
      <c r="AB78" s="4"/>
      <c r="AC78" s="36"/>
      <c r="AD78" s="36"/>
      <c r="AE78" s="36"/>
      <c r="AF78" s="4"/>
      <c r="AG78" s="380"/>
      <c r="AH78" s="380"/>
      <c r="AI78" s="381"/>
      <c r="AJ78" s="4"/>
      <c r="AK78" s="36"/>
      <c r="AL78" s="36"/>
      <c r="AM78" s="36"/>
      <c r="AN78" s="307"/>
    </row>
    <row r="79">
      <c r="A79" s="371">
        <v>160.0</v>
      </c>
      <c r="B79" s="372">
        <v>0.5090277777777777</v>
      </c>
      <c r="C79" s="366">
        <v>46110.0</v>
      </c>
      <c r="D79" s="307"/>
      <c r="E79" s="389"/>
      <c r="F79" s="390"/>
      <c r="G79" s="392"/>
      <c r="H79" s="307"/>
      <c r="I79" s="389"/>
      <c r="J79" s="390"/>
      <c r="K79" s="392"/>
      <c r="L79" s="4"/>
      <c r="M79" s="389"/>
      <c r="N79" s="390"/>
      <c r="O79" s="392"/>
      <c r="P79" s="4"/>
      <c r="Q79" s="389"/>
      <c r="R79" s="390"/>
      <c r="S79" s="392"/>
      <c r="T79" s="4"/>
      <c r="U79" s="389"/>
      <c r="V79" s="390"/>
      <c r="W79" s="392"/>
      <c r="X79" s="4"/>
      <c r="Y79" s="348">
        <v>300.0</v>
      </c>
      <c r="Z79" s="349" t="s">
        <v>968</v>
      </c>
      <c r="AA79" s="350">
        <v>46181.0</v>
      </c>
      <c r="AB79" s="4"/>
      <c r="AC79" s="36"/>
      <c r="AD79" s="36"/>
      <c r="AE79" s="36"/>
      <c r="AF79" s="4"/>
      <c r="AG79" s="380"/>
      <c r="AH79" s="380"/>
      <c r="AI79" s="381"/>
      <c r="AJ79" s="4"/>
      <c r="AK79" s="36"/>
      <c r="AL79" s="36"/>
      <c r="AM79" s="363"/>
      <c r="AN79" s="307"/>
    </row>
    <row r="80">
      <c r="A80" s="371">
        <v>40.0</v>
      </c>
      <c r="B80" s="372">
        <v>0.5097222222222222</v>
      </c>
      <c r="C80" s="366">
        <v>46110.0</v>
      </c>
      <c r="D80" s="307"/>
      <c r="E80" s="389"/>
      <c r="F80" s="390"/>
      <c r="G80" s="392"/>
      <c r="H80" s="307"/>
      <c r="I80" s="389"/>
      <c r="J80" s="390"/>
      <c r="K80" s="392"/>
      <c r="L80" s="4"/>
      <c r="M80" s="389"/>
      <c r="N80" s="390"/>
      <c r="O80" s="392"/>
      <c r="P80" s="4"/>
      <c r="Q80" s="389"/>
      <c r="R80" s="390"/>
      <c r="S80" s="392"/>
      <c r="T80" s="4"/>
      <c r="U80" s="389"/>
      <c r="V80" s="390"/>
      <c r="W80" s="392"/>
      <c r="X80" s="4"/>
      <c r="Y80" s="348">
        <v>2000.0</v>
      </c>
      <c r="Z80" s="349" t="s">
        <v>969</v>
      </c>
      <c r="AA80" s="350">
        <v>46181.0</v>
      </c>
      <c r="AB80" s="4"/>
      <c r="AC80" s="36"/>
      <c r="AD80" s="36"/>
      <c r="AE80" s="36"/>
      <c r="AF80" s="4"/>
      <c r="AG80" s="380"/>
      <c r="AH80" s="380"/>
      <c r="AI80" s="381"/>
      <c r="AJ80" s="4"/>
      <c r="AK80" s="36"/>
      <c r="AL80" s="36"/>
      <c r="AM80" s="363"/>
      <c r="AN80" s="307"/>
    </row>
    <row r="81">
      <c r="A81" s="371">
        <v>180.0</v>
      </c>
      <c r="B81" s="372">
        <v>0.5104166666666666</v>
      </c>
      <c r="C81" s="366">
        <v>46110.0</v>
      </c>
      <c r="D81" s="307"/>
      <c r="E81" s="389"/>
      <c r="F81" s="390"/>
      <c r="G81" s="392"/>
      <c r="H81" s="307"/>
      <c r="I81" s="389"/>
      <c r="J81" s="390"/>
      <c r="K81" s="392"/>
      <c r="L81" s="4"/>
      <c r="M81" s="389"/>
      <c r="N81" s="390"/>
      <c r="O81" s="392"/>
      <c r="P81" s="4"/>
      <c r="Q81" s="389"/>
      <c r="R81" s="390"/>
      <c r="S81" s="392"/>
      <c r="T81" s="4"/>
      <c r="U81" s="389"/>
      <c r="V81" s="390"/>
      <c r="W81" s="392"/>
      <c r="X81" s="4"/>
      <c r="Y81" s="348">
        <v>650.0</v>
      </c>
      <c r="Z81" s="349" t="s">
        <v>971</v>
      </c>
      <c r="AA81" s="350">
        <v>46181.0</v>
      </c>
      <c r="AB81" s="4"/>
      <c r="AC81" s="36"/>
      <c r="AD81" s="36"/>
      <c r="AE81" s="36"/>
      <c r="AF81" s="4"/>
      <c r="AG81" s="380"/>
      <c r="AH81" s="380"/>
      <c r="AI81" s="381"/>
      <c r="AJ81" s="4"/>
      <c r="AK81" s="36"/>
      <c r="AL81" s="36"/>
      <c r="AM81" s="36"/>
      <c r="AN81" s="307"/>
    </row>
    <row r="82">
      <c r="A82" s="371">
        <v>120.0</v>
      </c>
      <c r="B82" s="372">
        <v>0.5104166666666666</v>
      </c>
      <c r="C82" s="366">
        <v>46110.0</v>
      </c>
      <c r="D82" s="307"/>
      <c r="E82" s="389"/>
      <c r="F82" s="390"/>
      <c r="G82" s="392"/>
      <c r="H82" s="307"/>
      <c r="I82" s="389"/>
      <c r="J82" s="390"/>
      <c r="K82" s="392"/>
      <c r="L82" s="4"/>
      <c r="M82" s="389"/>
      <c r="N82" s="390"/>
      <c r="O82" s="392"/>
      <c r="P82" s="4"/>
      <c r="Q82" s="389"/>
      <c r="R82" s="390"/>
      <c r="S82" s="392"/>
      <c r="T82" s="4"/>
      <c r="U82" s="389"/>
      <c r="V82" s="390"/>
      <c r="W82" s="392"/>
      <c r="X82" s="4"/>
      <c r="Y82" s="348">
        <v>325.0</v>
      </c>
      <c r="Z82" s="349" t="s">
        <v>973</v>
      </c>
      <c r="AA82" s="350">
        <v>46181.0</v>
      </c>
      <c r="AB82" s="4"/>
      <c r="AC82" s="36"/>
      <c r="AD82" s="36"/>
      <c r="AE82" s="36"/>
      <c r="AF82" s="4"/>
      <c r="AG82" s="380"/>
      <c r="AH82" s="380"/>
      <c r="AI82" s="381"/>
      <c r="AJ82" s="4"/>
      <c r="AK82" s="36"/>
      <c r="AL82" s="36"/>
      <c r="AM82" s="363"/>
      <c r="AN82" s="307"/>
    </row>
    <row r="83">
      <c r="A83" s="371">
        <v>80.0</v>
      </c>
      <c r="B83" s="372">
        <v>0.5111111111111111</v>
      </c>
      <c r="C83" s="366">
        <v>46110.0</v>
      </c>
      <c r="D83" s="307"/>
      <c r="E83" s="389"/>
      <c r="F83" s="390"/>
      <c r="G83" s="392"/>
      <c r="H83" s="307"/>
      <c r="I83" s="389"/>
      <c r="J83" s="390"/>
      <c r="K83" s="392"/>
      <c r="L83" s="4"/>
      <c r="M83" s="389"/>
      <c r="N83" s="390"/>
      <c r="O83" s="392"/>
      <c r="P83" s="4"/>
      <c r="Q83" s="389"/>
      <c r="R83" s="390"/>
      <c r="S83" s="392"/>
      <c r="T83" s="4"/>
      <c r="U83" s="389"/>
      <c r="V83" s="390"/>
      <c r="W83" s="392"/>
      <c r="X83" s="4"/>
      <c r="Y83" s="348">
        <v>525.0</v>
      </c>
      <c r="Z83" s="349" t="s">
        <v>976</v>
      </c>
      <c r="AA83" s="350">
        <v>46181.0</v>
      </c>
      <c r="AB83" s="4"/>
      <c r="AC83" s="36"/>
      <c r="AD83" s="36"/>
      <c r="AE83" s="36"/>
      <c r="AF83" s="4"/>
      <c r="AG83" s="380"/>
      <c r="AH83" s="380"/>
      <c r="AI83" s="381"/>
      <c r="AJ83" s="4"/>
      <c r="AK83" s="36"/>
      <c r="AL83" s="36"/>
      <c r="AM83" s="363"/>
      <c r="AN83" s="307"/>
    </row>
    <row r="84">
      <c r="A84" s="371">
        <v>200.0</v>
      </c>
      <c r="B84" s="372">
        <v>0.5520833333333334</v>
      </c>
      <c r="C84" s="366">
        <v>46110.0</v>
      </c>
      <c r="D84" s="307"/>
      <c r="E84" s="389"/>
      <c r="F84" s="390"/>
      <c r="G84" s="392"/>
      <c r="H84" s="307"/>
      <c r="I84" s="389"/>
      <c r="J84" s="390"/>
      <c r="K84" s="392"/>
      <c r="L84" s="4"/>
      <c r="M84" s="389"/>
      <c r="N84" s="390"/>
      <c r="O84" s="392"/>
      <c r="P84" s="4"/>
      <c r="Q84" s="389"/>
      <c r="R84" s="390"/>
      <c r="S84" s="392"/>
      <c r="T84" s="4"/>
      <c r="U84" s="389"/>
      <c r="V84" s="390"/>
      <c r="W84" s="392"/>
      <c r="X84" s="4"/>
      <c r="Y84" s="348">
        <v>250.0</v>
      </c>
      <c r="Z84" s="349" t="s">
        <v>979</v>
      </c>
      <c r="AA84" s="350">
        <v>46183.0</v>
      </c>
      <c r="AB84" s="4"/>
      <c r="AC84" s="36"/>
      <c r="AD84" s="36"/>
      <c r="AE84" s="36"/>
      <c r="AF84" s="4"/>
      <c r="AG84" s="380"/>
      <c r="AH84" s="380"/>
      <c r="AI84" s="381"/>
      <c r="AJ84" s="4"/>
      <c r="AK84" s="36"/>
      <c r="AL84" s="36"/>
      <c r="AM84" s="36"/>
      <c r="AN84" s="307"/>
    </row>
    <row r="85">
      <c r="A85" s="371">
        <v>250.0</v>
      </c>
      <c r="B85" s="372">
        <v>0.5791666666666667</v>
      </c>
      <c r="C85" s="366">
        <v>46110.0</v>
      </c>
      <c r="D85" s="307"/>
      <c r="E85" s="389"/>
      <c r="F85" s="390"/>
      <c r="G85" s="392"/>
      <c r="H85" s="307"/>
      <c r="I85" s="389"/>
      <c r="J85" s="390"/>
      <c r="K85" s="392"/>
      <c r="L85" s="4"/>
      <c r="M85" s="389"/>
      <c r="N85" s="390"/>
      <c r="O85" s="392"/>
      <c r="P85" s="4"/>
      <c r="Q85" s="389"/>
      <c r="R85" s="390"/>
      <c r="S85" s="392"/>
      <c r="T85" s="4"/>
      <c r="U85" s="389"/>
      <c r="V85" s="390"/>
      <c r="W85" s="392"/>
      <c r="X85" s="4"/>
      <c r="Y85" s="348">
        <v>250.0</v>
      </c>
      <c r="Z85" s="349" t="s">
        <v>982</v>
      </c>
      <c r="AA85" s="350">
        <v>46183.0</v>
      </c>
      <c r="AB85" s="4"/>
      <c r="AC85" s="36"/>
      <c r="AD85" s="36"/>
      <c r="AE85" s="36"/>
      <c r="AF85" s="4"/>
      <c r="AG85" s="380"/>
      <c r="AH85" s="380"/>
      <c r="AI85" s="381"/>
      <c r="AJ85" s="4"/>
      <c r="AK85" s="36"/>
      <c r="AL85" s="36"/>
      <c r="AM85" s="363"/>
      <c r="AN85" s="307"/>
    </row>
    <row r="86">
      <c r="A86" s="371">
        <v>70.0</v>
      </c>
      <c r="B86" s="372">
        <v>0.5798611111111112</v>
      </c>
      <c r="C86" s="366">
        <v>46110.0</v>
      </c>
      <c r="D86" s="307"/>
      <c r="E86" s="389"/>
      <c r="F86" s="390"/>
      <c r="G86" s="392"/>
      <c r="H86" s="307"/>
      <c r="I86" s="389"/>
      <c r="J86" s="390"/>
      <c r="K86" s="392"/>
      <c r="L86" s="4"/>
      <c r="M86" s="389"/>
      <c r="N86" s="390"/>
      <c r="O86" s="392"/>
      <c r="P86" s="4"/>
      <c r="Q86" s="389"/>
      <c r="R86" s="390"/>
      <c r="S86" s="392"/>
      <c r="T86" s="4"/>
      <c r="U86" s="389"/>
      <c r="V86" s="390"/>
      <c r="W86" s="392"/>
      <c r="X86" s="4"/>
      <c r="Y86" s="348">
        <v>275.0</v>
      </c>
      <c r="Z86" s="349" t="s">
        <v>983</v>
      </c>
      <c r="AA86" s="350">
        <v>46183.0</v>
      </c>
      <c r="AB86" s="4"/>
      <c r="AC86" s="36"/>
      <c r="AD86" s="36"/>
      <c r="AE86" s="36"/>
      <c r="AF86" s="4"/>
      <c r="AG86" s="380"/>
      <c r="AH86" s="380"/>
      <c r="AI86" s="381"/>
      <c r="AJ86" s="4"/>
      <c r="AK86" s="36"/>
      <c r="AL86" s="36"/>
      <c r="AM86" s="363"/>
      <c r="AN86" s="307"/>
    </row>
    <row r="87">
      <c r="A87" s="371">
        <v>40.0</v>
      </c>
      <c r="B87" s="372">
        <v>0.5805555555555556</v>
      </c>
      <c r="C87" s="366">
        <v>46110.0</v>
      </c>
      <c r="D87" s="307"/>
      <c r="E87" s="389"/>
      <c r="F87" s="390"/>
      <c r="G87" s="392"/>
      <c r="H87" s="307"/>
      <c r="I87" s="389"/>
      <c r="J87" s="390"/>
      <c r="K87" s="392"/>
      <c r="L87" s="4"/>
      <c r="M87" s="389"/>
      <c r="N87" s="390"/>
      <c r="O87" s="392"/>
      <c r="P87" s="4"/>
      <c r="Q87" s="389"/>
      <c r="R87" s="390"/>
      <c r="S87" s="392"/>
      <c r="T87" s="4"/>
      <c r="U87" s="389"/>
      <c r="V87" s="390"/>
      <c r="W87" s="392"/>
      <c r="X87" s="4"/>
      <c r="Y87" s="348">
        <v>325.0</v>
      </c>
      <c r="Z87" s="349" t="s">
        <v>986</v>
      </c>
      <c r="AA87" s="350">
        <v>46183.0</v>
      </c>
      <c r="AB87" s="4"/>
      <c r="AC87" s="36"/>
      <c r="AD87" s="36"/>
      <c r="AE87" s="36"/>
      <c r="AF87" s="4"/>
      <c r="AG87" s="380"/>
      <c r="AH87" s="380"/>
      <c r="AI87" s="381"/>
      <c r="AJ87" s="4"/>
      <c r="AK87" s="36"/>
      <c r="AL87" s="36"/>
      <c r="AM87" s="36"/>
      <c r="AN87" s="307"/>
    </row>
    <row r="88">
      <c r="A88" s="371">
        <v>200.0</v>
      </c>
      <c r="B88" s="372">
        <v>0.58125</v>
      </c>
      <c r="C88" s="366">
        <v>46110.0</v>
      </c>
      <c r="D88" s="307"/>
      <c r="E88" s="389"/>
      <c r="F88" s="390"/>
      <c r="G88" s="392"/>
      <c r="H88" s="307"/>
      <c r="I88" s="389"/>
      <c r="J88" s="390"/>
      <c r="K88" s="392"/>
      <c r="L88" s="4"/>
      <c r="M88" s="389"/>
      <c r="N88" s="390"/>
      <c r="O88" s="392"/>
      <c r="P88" s="4"/>
      <c r="Q88" s="389"/>
      <c r="R88" s="390"/>
      <c r="S88" s="392"/>
      <c r="T88" s="4"/>
      <c r="U88" s="389"/>
      <c r="V88" s="390"/>
      <c r="W88" s="392"/>
      <c r="X88" s="4"/>
      <c r="Y88" s="348">
        <v>650.0</v>
      </c>
      <c r="Z88" s="349" t="s">
        <v>989</v>
      </c>
      <c r="AA88" s="350">
        <v>46183.0</v>
      </c>
      <c r="AB88" s="4"/>
      <c r="AC88" s="36"/>
      <c r="AD88" s="36"/>
      <c r="AE88" s="36"/>
      <c r="AF88" s="4"/>
      <c r="AG88" s="380"/>
      <c r="AH88" s="380"/>
      <c r="AI88" s="381"/>
      <c r="AJ88" s="4"/>
      <c r="AK88" s="36"/>
      <c r="AL88" s="36"/>
      <c r="AM88" s="363"/>
      <c r="AN88" s="307"/>
    </row>
    <row r="89">
      <c r="A89" s="371">
        <v>160.0</v>
      </c>
      <c r="B89" s="372">
        <v>0.5819444444444445</v>
      </c>
      <c r="C89" s="366">
        <v>46110.0</v>
      </c>
      <c r="D89" s="307"/>
      <c r="E89" s="389"/>
      <c r="F89" s="390"/>
      <c r="G89" s="392"/>
      <c r="H89" s="307"/>
      <c r="I89" s="389"/>
      <c r="J89" s="390"/>
      <c r="K89" s="392"/>
      <c r="L89" s="4"/>
      <c r="M89" s="389"/>
      <c r="N89" s="390"/>
      <c r="O89" s="392"/>
      <c r="P89" s="4"/>
      <c r="Q89" s="389"/>
      <c r="R89" s="390"/>
      <c r="S89" s="392"/>
      <c r="T89" s="4"/>
      <c r="U89" s="389"/>
      <c r="V89" s="390"/>
      <c r="W89" s="392"/>
      <c r="X89" s="4"/>
      <c r="Y89" s="348">
        <v>475.0</v>
      </c>
      <c r="Z89" s="349" t="s">
        <v>991</v>
      </c>
      <c r="AA89" s="350">
        <v>46184.0</v>
      </c>
      <c r="AB89" s="4"/>
      <c r="AC89" s="36"/>
      <c r="AD89" s="36"/>
      <c r="AE89" s="36"/>
      <c r="AF89" s="4"/>
      <c r="AG89" s="380"/>
      <c r="AH89" s="380"/>
      <c r="AI89" s="381"/>
      <c r="AJ89" s="4"/>
      <c r="AK89" s="36"/>
      <c r="AL89" s="36"/>
      <c r="AM89" s="363"/>
      <c r="AN89" s="307"/>
    </row>
    <row r="90">
      <c r="A90" s="371">
        <v>200.0</v>
      </c>
      <c r="B90" s="372">
        <v>0.5826388888888889</v>
      </c>
      <c r="C90" s="366">
        <v>46110.0</v>
      </c>
      <c r="D90" s="307"/>
      <c r="E90" s="389"/>
      <c r="F90" s="390"/>
      <c r="G90" s="392"/>
      <c r="H90" s="307"/>
      <c r="I90" s="389"/>
      <c r="J90" s="390"/>
      <c r="K90" s="392"/>
      <c r="L90" s="4"/>
      <c r="M90" s="389"/>
      <c r="N90" s="390"/>
      <c r="O90" s="392"/>
      <c r="P90" s="4"/>
      <c r="Q90" s="389"/>
      <c r="R90" s="390"/>
      <c r="S90" s="392"/>
      <c r="T90" s="4"/>
      <c r="U90" s="389"/>
      <c r="V90" s="390"/>
      <c r="W90" s="392"/>
      <c r="X90" s="4"/>
      <c r="Y90" s="348">
        <v>500.0</v>
      </c>
      <c r="Z90" s="349" t="s">
        <v>995</v>
      </c>
      <c r="AA90" s="350">
        <v>46184.0</v>
      </c>
      <c r="AC90" s="36"/>
      <c r="AD90" s="36"/>
      <c r="AE90" s="36"/>
      <c r="AF90" s="4"/>
      <c r="AG90" s="380"/>
      <c r="AH90" s="380"/>
      <c r="AI90" s="381"/>
      <c r="AJ90" s="4"/>
      <c r="AK90" s="36"/>
      <c r="AL90" s="36"/>
      <c r="AM90" s="36"/>
      <c r="AN90" s="307"/>
    </row>
    <row r="91">
      <c r="A91" s="371">
        <v>400.0</v>
      </c>
      <c r="B91" s="372">
        <v>0.5833333333333334</v>
      </c>
      <c r="C91" s="366">
        <v>46110.0</v>
      </c>
      <c r="D91" s="307"/>
      <c r="E91" s="389"/>
      <c r="F91" s="390"/>
      <c r="G91" s="392"/>
      <c r="H91" s="307"/>
      <c r="I91" s="389"/>
      <c r="J91" s="390"/>
      <c r="K91" s="392"/>
      <c r="L91" s="4"/>
      <c r="M91" s="389"/>
      <c r="N91" s="390"/>
      <c r="O91" s="392"/>
      <c r="P91" s="4"/>
      <c r="Q91" s="389"/>
      <c r="R91" s="390"/>
      <c r="S91" s="392"/>
      <c r="T91" s="4"/>
      <c r="U91" s="389"/>
      <c r="V91" s="390"/>
      <c r="W91" s="392"/>
      <c r="X91" s="4"/>
      <c r="Y91" s="348">
        <v>650.0</v>
      </c>
      <c r="Z91" s="349" t="s">
        <v>996</v>
      </c>
      <c r="AA91" s="350">
        <v>46184.0</v>
      </c>
      <c r="AB91" s="4"/>
      <c r="AC91" s="36"/>
      <c r="AD91" s="36"/>
      <c r="AE91" s="36"/>
      <c r="AF91" s="4"/>
      <c r="AG91" s="380"/>
      <c r="AH91" s="380"/>
      <c r="AI91" s="381"/>
      <c r="AJ91" s="4"/>
      <c r="AK91" s="36"/>
      <c r="AL91" s="36"/>
      <c r="AM91" s="363"/>
      <c r="AN91" s="307"/>
    </row>
    <row r="92">
      <c r="A92" s="371">
        <v>200.0</v>
      </c>
      <c r="B92" s="372">
        <v>0.5833333333333334</v>
      </c>
      <c r="C92" s="366">
        <v>46110.0</v>
      </c>
      <c r="D92" s="307"/>
      <c r="E92" s="389"/>
      <c r="F92" s="390"/>
      <c r="G92" s="392"/>
      <c r="H92" s="307"/>
      <c r="I92" s="389"/>
      <c r="J92" s="390"/>
      <c r="K92" s="392"/>
      <c r="L92" s="4"/>
      <c r="M92" s="389"/>
      <c r="N92" s="390"/>
      <c r="O92" s="392"/>
      <c r="P92" s="4"/>
      <c r="Q92" s="389"/>
      <c r="R92" s="390"/>
      <c r="S92" s="392"/>
      <c r="T92" s="4"/>
      <c r="U92" s="389"/>
      <c r="V92" s="390"/>
      <c r="W92" s="392"/>
      <c r="X92" s="4"/>
      <c r="Y92" s="348">
        <v>650.0</v>
      </c>
      <c r="Z92" s="349" t="s">
        <v>998</v>
      </c>
      <c r="AA92" s="350">
        <v>46184.0</v>
      </c>
      <c r="AC92" s="36"/>
      <c r="AD92" s="36"/>
      <c r="AE92" s="36"/>
      <c r="AF92" s="4"/>
      <c r="AG92" s="380"/>
      <c r="AH92" s="380"/>
      <c r="AI92" s="381"/>
      <c r="AJ92" s="4"/>
      <c r="AK92" s="36"/>
      <c r="AL92" s="36"/>
      <c r="AM92" s="363"/>
      <c r="AN92" s="307"/>
    </row>
    <row r="93">
      <c r="A93" s="371">
        <v>240.0</v>
      </c>
      <c r="B93" s="372">
        <v>0.73125</v>
      </c>
      <c r="C93" s="366">
        <v>46110.0</v>
      </c>
      <c r="D93" s="307"/>
      <c r="E93" s="389"/>
      <c r="F93" s="390"/>
      <c r="G93" s="392"/>
      <c r="H93" s="307"/>
      <c r="I93" s="389"/>
      <c r="J93" s="390"/>
      <c r="K93" s="392"/>
      <c r="L93" s="4"/>
      <c r="M93" s="389"/>
      <c r="N93" s="390"/>
      <c r="O93" s="392"/>
      <c r="P93" s="4"/>
      <c r="Q93" s="389"/>
      <c r="R93" s="390"/>
      <c r="S93" s="392"/>
      <c r="T93" s="4"/>
      <c r="U93" s="389"/>
      <c r="V93" s="390"/>
      <c r="W93" s="392"/>
      <c r="X93" s="4"/>
      <c r="Y93" s="348">
        <v>275.0</v>
      </c>
      <c r="Z93" s="349" t="s">
        <v>1000</v>
      </c>
      <c r="AA93" s="350">
        <v>46184.0</v>
      </c>
      <c r="AB93" s="4"/>
      <c r="AC93" s="36"/>
      <c r="AD93" s="36"/>
      <c r="AE93" s="36"/>
      <c r="AF93" s="4"/>
      <c r="AG93" s="380"/>
      <c r="AH93" s="380"/>
      <c r="AI93" s="381"/>
      <c r="AJ93" s="4"/>
      <c r="AK93" s="36"/>
      <c r="AL93" s="36"/>
      <c r="AM93" s="36"/>
      <c r="AN93" s="307"/>
    </row>
    <row r="94">
      <c r="A94" s="371">
        <v>140.0</v>
      </c>
      <c r="B94" s="372">
        <v>0.7145833333333333</v>
      </c>
      <c r="C94" s="366">
        <v>46112.0</v>
      </c>
      <c r="D94" s="307"/>
      <c r="E94" s="389"/>
      <c r="F94" s="390"/>
      <c r="G94" s="392"/>
      <c r="H94" s="307"/>
      <c r="I94" s="389"/>
      <c r="J94" s="390"/>
      <c r="K94" s="392"/>
      <c r="L94" s="4"/>
      <c r="M94" s="389"/>
      <c r="N94" s="390"/>
      <c r="O94" s="392"/>
      <c r="P94" s="4"/>
      <c r="Q94" s="389"/>
      <c r="R94" s="390"/>
      <c r="S94" s="392"/>
      <c r="T94" s="4"/>
      <c r="U94" s="389"/>
      <c r="V94" s="390"/>
      <c r="W94" s="392"/>
      <c r="X94" s="4"/>
      <c r="Y94" s="348">
        <v>275.0</v>
      </c>
      <c r="Z94" s="349" t="s">
        <v>1001</v>
      </c>
      <c r="AA94" s="350">
        <v>46184.0</v>
      </c>
      <c r="AB94" s="4"/>
      <c r="AC94" s="36"/>
      <c r="AD94" s="36"/>
      <c r="AE94" s="36"/>
      <c r="AF94" s="4"/>
      <c r="AG94" s="380"/>
      <c r="AH94" s="380"/>
      <c r="AI94" s="381"/>
      <c r="AJ94" s="4"/>
      <c r="AK94" s="36"/>
      <c r="AL94" s="36"/>
      <c r="AM94" s="363"/>
      <c r="AN94" s="307"/>
    </row>
    <row r="95">
      <c r="A95" s="371">
        <v>160.0</v>
      </c>
      <c r="B95" s="372">
        <v>0.7263888888888889</v>
      </c>
      <c r="C95" s="366">
        <v>46112.0</v>
      </c>
      <c r="D95" s="307"/>
      <c r="E95" s="389"/>
      <c r="F95" s="390"/>
      <c r="G95" s="392"/>
      <c r="H95" s="307"/>
      <c r="I95" s="389"/>
      <c r="J95" s="390"/>
      <c r="K95" s="392"/>
      <c r="L95" s="4"/>
      <c r="M95" s="389"/>
      <c r="N95" s="390"/>
      <c r="O95" s="392"/>
      <c r="P95" s="4"/>
      <c r="Q95" s="389"/>
      <c r="R95" s="390"/>
      <c r="S95" s="392"/>
      <c r="T95" s="4"/>
      <c r="U95" s="389"/>
      <c r="V95" s="390"/>
      <c r="W95" s="392"/>
      <c r="X95" s="4"/>
      <c r="Y95" s="348">
        <v>300.0</v>
      </c>
      <c r="Z95" s="349" t="s">
        <v>1003</v>
      </c>
      <c r="AA95" s="350">
        <v>46184.0</v>
      </c>
      <c r="AB95" s="4"/>
      <c r="AC95" s="36"/>
      <c r="AD95" s="36"/>
      <c r="AE95" s="36"/>
      <c r="AF95" s="4"/>
      <c r="AG95" s="380"/>
      <c r="AH95" s="380"/>
      <c r="AI95" s="381"/>
      <c r="AJ95" s="4"/>
      <c r="AK95" s="36"/>
      <c r="AL95" s="36"/>
      <c r="AM95" s="363"/>
      <c r="AN95" s="307"/>
    </row>
    <row r="96">
      <c r="A96" s="371">
        <v>160.0</v>
      </c>
      <c r="B96" s="372">
        <v>0.7305555555555555</v>
      </c>
      <c r="C96" s="366">
        <v>46112.0</v>
      </c>
      <c r="D96" s="307"/>
      <c r="E96" s="389"/>
      <c r="F96" s="390"/>
      <c r="G96" s="392"/>
      <c r="H96" s="307"/>
      <c r="I96" s="389"/>
      <c r="J96" s="390"/>
      <c r="K96" s="392"/>
      <c r="L96" s="4"/>
      <c r="M96" s="389"/>
      <c r="N96" s="390"/>
      <c r="O96" s="392"/>
      <c r="P96" s="4"/>
      <c r="Q96" s="389"/>
      <c r="R96" s="390"/>
      <c r="S96" s="392"/>
      <c r="T96" s="4"/>
      <c r="U96" s="389"/>
      <c r="V96" s="390"/>
      <c r="W96" s="392"/>
      <c r="X96" s="4"/>
      <c r="Y96" s="348">
        <v>50.0</v>
      </c>
      <c r="Z96" s="349" t="s">
        <v>114</v>
      </c>
      <c r="AA96" s="350">
        <v>46188.0</v>
      </c>
      <c r="AB96" s="4"/>
      <c r="AC96" s="36"/>
      <c r="AD96" s="36"/>
      <c r="AE96" s="36"/>
      <c r="AF96" s="4"/>
      <c r="AG96" s="380"/>
      <c r="AH96" s="380"/>
      <c r="AI96" s="381"/>
      <c r="AJ96" s="4"/>
      <c r="AK96" s="36"/>
      <c r="AL96" s="36"/>
      <c r="AM96" s="36"/>
      <c r="AN96" s="307"/>
    </row>
    <row r="97">
      <c r="A97" s="371">
        <v>160.0</v>
      </c>
      <c r="B97" s="372">
        <v>0.7340277777777777</v>
      </c>
      <c r="C97" s="366">
        <v>46112.0</v>
      </c>
      <c r="D97" s="307"/>
      <c r="E97" s="389"/>
      <c r="F97" s="390"/>
      <c r="G97" s="392"/>
      <c r="H97" s="307"/>
      <c r="I97" s="389"/>
      <c r="J97" s="390"/>
      <c r="K97" s="392"/>
      <c r="L97" s="4"/>
      <c r="M97" s="389"/>
      <c r="N97" s="390"/>
      <c r="O97" s="392"/>
      <c r="P97" s="4"/>
      <c r="Q97" s="389"/>
      <c r="R97" s="390"/>
      <c r="S97" s="392"/>
      <c r="T97" s="4"/>
      <c r="U97" s="389"/>
      <c r="V97" s="390"/>
      <c r="W97" s="392"/>
      <c r="X97" s="4"/>
      <c r="Y97" s="348">
        <v>4000.0</v>
      </c>
      <c r="Z97" s="349" t="s">
        <v>1005</v>
      </c>
      <c r="AA97" s="350">
        <v>46188.0</v>
      </c>
      <c r="AB97" s="4"/>
      <c r="AC97" s="36"/>
      <c r="AD97" s="36"/>
      <c r="AE97" s="36"/>
      <c r="AF97" s="4"/>
      <c r="AG97" s="380"/>
      <c r="AH97" s="380"/>
      <c r="AI97" s="381"/>
      <c r="AJ97" s="4"/>
      <c r="AK97" s="36"/>
      <c r="AL97" s="36"/>
      <c r="AM97" s="363"/>
      <c r="AN97" s="307"/>
    </row>
    <row r="98">
      <c r="A98" s="371">
        <v>350.0</v>
      </c>
      <c r="B98" s="372">
        <v>0.7479166666666667</v>
      </c>
      <c r="C98" s="366">
        <v>46112.0</v>
      </c>
      <c r="D98" s="307"/>
      <c r="E98" s="389"/>
      <c r="F98" s="390"/>
      <c r="G98" s="392"/>
      <c r="H98" s="307"/>
      <c r="I98" s="389"/>
      <c r="J98" s="390"/>
      <c r="K98" s="392"/>
      <c r="L98" s="4"/>
      <c r="M98" s="389"/>
      <c r="N98" s="390"/>
      <c r="O98" s="392"/>
      <c r="P98" s="4"/>
      <c r="Q98" s="389"/>
      <c r="R98" s="390"/>
      <c r="S98" s="392"/>
      <c r="T98" s="4"/>
      <c r="U98" s="389"/>
      <c r="V98" s="390"/>
      <c r="W98" s="392"/>
      <c r="X98" s="4"/>
      <c r="Y98" s="348">
        <v>6500.0</v>
      </c>
      <c r="Z98" s="349" t="s">
        <v>1008</v>
      </c>
      <c r="AA98" s="350">
        <v>46188.0</v>
      </c>
      <c r="AB98" s="4"/>
      <c r="AC98" s="36"/>
      <c r="AD98" s="36"/>
      <c r="AE98" s="36"/>
      <c r="AF98" s="4"/>
      <c r="AG98" s="380"/>
      <c r="AH98" s="380"/>
      <c r="AI98" s="381"/>
      <c r="AJ98" s="4"/>
      <c r="AK98" s="36"/>
      <c r="AL98" s="36"/>
      <c r="AM98" s="363"/>
      <c r="AN98" s="307"/>
    </row>
    <row r="99">
      <c r="A99" s="371">
        <v>500.0</v>
      </c>
      <c r="B99" s="372">
        <v>0.7527777777777778</v>
      </c>
      <c r="C99" s="366">
        <v>46112.0</v>
      </c>
      <c r="D99" s="307"/>
      <c r="E99" s="389"/>
      <c r="F99" s="390"/>
      <c r="G99" s="392"/>
      <c r="H99" s="307"/>
      <c r="I99" s="389"/>
      <c r="J99" s="390"/>
      <c r="K99" s="392"/>
      <c r="L99" s="4"/>
      <c r="M99" s="389"/>
      <c r="N99" s="390"/>
      <c r="O99" s="392"/>
      <c r="P99" s="4"/>
      <c r="Q99" s="389"/>
      <c r="R99" s="390"/>
      <c r="S99" s="392"/>
      <c r="T99" s="4"/>
      <c r="U99" s="389"/>
      <c r="V99" s="390"/>
      <c r="W99" s="392"/>
      <c r="X99" s="4"/>
      <c r="Y99" s="348">
        <v>1250.0</v>
      </c>
      <c r="Z99" s="349" t="s">
        <v>1011</v>
      </c>
      <c r="AA99" s="350">
        <v>46189.0</v>
      </c>
      <c r="AB99" s="4"/>
      <c r="AC99" s="36"/>
      <c r="AD99" s="36"/>
      <c r="AE99" s="36"/>
      <c r="AF99" s="4"/>
      <c r="AG99" s="380"/>
      <c r="AH99" s="380"/>
      <c r="AI99" s="381"/>
      <c r="AJ99" s="4"/>
      <c r="AK99" s="36"/>
      <c r="AL99" s="36"/>
      <c r="AM99" s="36"/>
      <c r="AN99" s="307"/>
    </row>
    <row r="100">
      <c r="A100" s="371">
        <v>320.0</v>
      </c>
      <c r="B100" s="372">
        <v>0.7569444444444444</v>
      </c>
      <c r="C100" s="366">
        <v>46112.0</v>
      </c>
      <c r="D100" s="307"/>
      <c r="E100" s="389"/>
      <c r="F100" s="390"/>
      <c r="G100" s="392"/>
      <c r="H100" s="307"/>
      <c r="I100" s="389"/>
      <c r="J100" s="390"/>
      <c r="K100" s="392"/>
      <c r="L100" s="4"/>
      <c r="M100" s="389"/>
      <c r="N100" s="390"/>
      <c r="O100" s="392"/>
      <c r="P100" s="4"/>
      <c r="Q100" s="389"/>
      <c r="R100" s="390"/>
      <c r="S100" s="392"/>
      <c r="T100" s="4"/>
      <c r="U100" s="389"/>
      <c r="V100" s="390"/>
      <c r="W100" s="392"/>
      <c r="X100" s="4"/>
      <c r="Y100" s="348">
        <v>1625.0</v>
      </c>
      <c r="Z100" s="349" t="s">
        <v>1012</v>
      </c>
      <c r="AA100" s="350">
        <v>46189.0</v>
      </c>
      <c r="AC100" s="36"/>
      <c r="AD100" s="36"/>
      <c r="AE100" s="36"/>
      <c r="AF100" s="4"/>
      <c r="AG100" s="380"/>
      <c r="AH100" s="380"/>
      <c r="AI100" s="381"/>
      <c r="AJ100" s="4"/>
      <c r="AK100" s="36"/>
      <c r="AL100" s="36"/>
      <c r="AM100" s="363"/>
      <c r="AN100" s="307"/>
    </row>
    <row r="101">
      <c r="A101" s="371">
        <v>360.0</v>
      </c>
      <c r="B101" s="372">
        <v>0.7611111111111111</v>
      </c>
      <c r="C101" s="366">
        <v>46112.0</v>
      </c>
      <c r="D101" s="307"/>
      <c r="E101" s="389"/>
      <c r="F101" s="390"/>
      <c r="G101" s="392"/>
      <c r="H101" s="307"/>
      <c r="I101" s="389"/>
      <c r="J101" s="390"/>
      <c r="K101" s="392"/>
      <c r="L101" s="4"/>
      <c r="M101" s="389"/>
      <c r="N101" s="390"/>
      <c r="O101" s="392"/>
      <c r="P101" s="4"/>
      <c r="Q101" s="389"/>
      <c r="R101" s="390"/>
      <c r="S101" s="392"/>
      <c r="T101" s="4"/>
      <c r="U101" s="389"/>
      <c r="V101" s="390"/>
      <c r="W101" s="392"/>
      <c r="X101" s="4"/>
      <c r="Y101" s="348">
        <v>1625.0</v>
      </c>
      <c r="Z101" s="349" t="s">
        <v>1015</v>
      </c>
      <c r="AA101" s="350">
        <v>46189.0</v>
      </c>
      <c r="AC101" s="36"/>
      <c r="AD101" s="36"/>
      <c r="AE101" s="36"/>
      <c r="AF101" s="4"/>
      <c r="AG101" s="380"/>
      <c r="AH101" s="380"/>
      <c r="AI101" s="381"/>
      <c r="AJ101" s="4"/>
      <c r="AK101" s="36"/>
      <c r="AL101" s="36"/>
      <c r="AM101" s="363"/>
      <c r="AN101" s="307"/>
    </row>
    <row r="102">
      <c r="A102" s="371">
        <v>300.0</v>
      </c>
      <c r="B102" s="372">
        <v>0.775</v>
      </c>
      <c r="C102" s="366">
        <v>46112.0</v>
      </c>
      <c r="D102" s="307"/>
      <c r="E102" s="389"/>
      <c r="F102" s="390"/>
      <c r="G102" s="392"/>
      <c r="H102" s="307"/>
      <c r="I102" s="389"/>
      <c r="J102" s="390"/>
      <c r="K102" s="392"/>
      <c r="L102" s="4"/>
      <c r="M102" s="389"/>
      <c r="N102" s="390"/>
      <c r="O102" s="392"/>
      <c r="P102" s="4"/>
      <c r="Q102" s="389"/>
      <c r="R102" s="390"/>
      <c r="S102" s="392"/>
      <c r="T102" s="4"/>
      <c r="U102" s="389"/>
      <c r="V102" s="390"/>
      <c r="W102" s="392"/>
      <c r="X102" s="4"/>
      <c r="Y102" s="348">
        <v>1325.0</v>
      </c>
      <c r="Z102" s="349" t="s">
        <v>1017</v>
      </c>
      <c r="AA102" s="350">
        <v>46189.0</v>
      </c>
      <c r="AB102" s="4"/>
      <c r="AC102" s="36"/>
      <c r="AD102" s="36"/>
      <c r="AE102" s="36"/>
      <c r="AF102" s="4"/>
      <c r="AG102" s="380"/>
      <c r="AH102" s="380"/>
      <c r="AI102" s="381"/>
      <c r="AJ102" s="4"/>
      <c r="AK102" s="36"/>
      <c r="AL102" s="36"/>
      <c r="AM102" s="36"/>
      <c r="AN102" s="307"/>
    </row>
    <row r="103">
      <c r="A103" s="371">
        <v>300.0</v>
      </c>
      <c r="B103" s="372">
        <v>0.5645833333333333</v>
      </c>
      <c r="C103" s="366">
        <v>46113.0</v>
      </c>
      <c r="D103" s="307"/>
      <c r="E103" s="389"/>
      <c r="F103" s="390"/>
      <c r="G103" s="392"/>
      <c r="H103" s="307"/>
      <c r="I103" s="389"/>
      <c r="J103" s="390"/>
      <c r="K103" s="392"/>
      <c r="L103" s="4"/>
      <c r="M103" s="389"/>
      <c r="N103" s="390"/>
      <c r="O103" s="392"/>
      <c r="P103" s="4"/>
      <c r="Q103" s="389"/>
      <c r="R103" s="390"/>
      <c r="S103" s="392"/>
      <c r="T103" s="4"/>
      <c r="U103" s="389"/>
      <c r="V103" s="390"/>
      <c r="W103" s="392"/>
      <c r="X103" s="4"/>
      <c r="Y103" s="348">
        <v>1175.0</v>
      </c>
      <c r="Z103" s="349" t="s">
        <v>1019</v>
      </c>
      <c r="AA103" s="350">
        <v>46189.0</v>
      </c>
      <c r="AB103" s="4"/>
      <c r="AC103" s="36"/>
      <c r="AD103" s="36"/>
      <c r="AE103" s="36"/>
      <c r="AF103" s="4"/>
      <c r="AG103" s="380"/>
      <c r="AH103" s="380"/>
      <c r="AI103" s="381"/>
      <c r="AJ103" s="4"/>
      <c r="AK103" s="36"/>
      <c r="AL103" s="36"/>
      <c r="AM103" s="363"/>
      <c r="AN103" s="307"/>
    </row>
    <row r="104">
      <c r="A104" s="371">
        <v>215.0</v>
      </c>
      <c r="B104" s="372">
        <v>0.5673611111111111</v>
      </c>
      <c r="C104" s="366">
        <v>46113.0</v>
      </c>
      <c r="D104" s="307"/>
      <c r="E104" s="389"/>
      <c r="F104" s="390"/>
      <c r="G104" s="392"/>
      <c r="H104" s="307"/>
      <c r="I104" s="389"/>
      <c r="J104" s="390"/>
      <c r="K104" s="392"/>
      <c r="L104" s="4"/>
      <c r="M104" s="389"/>
      <c r="N104" s="390"/>
      <c r="O104" s="392"/>
      <c r="P104" s="4"/>
      <c r="Q104" s="389"/>
      <c r="R104" s="390"/>
      <c r="S104" s="392"/>
      <c r="T104" s="4"/>
      <c r="U104" s="389"/>
      <c r="V104" s="390"/>
      <c r="W104" s="392"/>
      <c r="X104" s="4"/>
      <c r="Y104" s="348">
        <v>550.0</v>
      </c>
      <c r="Z104" s="349" t="s">
        <v>1022</v>
      </c>
      <c r="AA104" s="350">
        <v>46189.0</v>
      </c>
      <c r="AB104" s="4"/>
      <c r="AC104" s="36"/>
      <c r="AD104" s="36"/>
      <c r="AE104" s="36"/>
      <c r="AF104" s="4"/>
      <c r="AG104" s="380"/>
      <c r="AH104" s="380"/>
      <c r="AI104" s="381"/>
      <c r="AJ104" s="4"/>
      <c r="AK104" s="36"/>
      <c r="AL104" s="36"/>
      <c r="AM104" s="363"/>
      <c r="AN104" s="307"/>
    </row>
    <row r="105">
      <c r="A105" s="371">
        <v>320.0</v>
      </c>
      <c r="B105" s="372">
        <v>0.5680555555555555</v>
      </c>
      <c r="C105" s="366">
        <v>46113.0</v>
      </c>
      <c r="D105" s="307"/>
      <c r="E105" s="389"/>
      <c r="F105" s="390"/>
      <c r="G105" s="392"/>
      <c r="H105" s="307"/>
      <c r="I105" s="389"/>
      <c r="J105" s="390"/>
      <c r="K105" s="392"/>
      <c r="L105" s="4"/>
      <c r="M105" s="389"/>
      <c r="N105" s="390"/>
      <c r="O105" s="392"/>
      <c r="P105" s="4"/>
      <c r="Q105" s="389"/>
      <c r="R105" s="390"/>
      <c r="S105" s="392"/>
      <c r="T105" s="4"/>
      <c r="U105" s="389"/>
      <c r="V105" s="390"/>
      <c r="W105" s="392"/>
      <c r="X105" s="4"/>
      <c r="Y105" s="348">
        <v>750.0</v>
      </c>
      <c r="Z105" s="349" t="s">
        <v>1024</v>
      </c>
      <c r="AA105" s="350">
        <v>46189.0</v>
      </c>
      <c r="AB105" s="4"/>
      <c r="AC105" s="36"/>
      <c r="AD105" s="36"/>
      <c r="AE105" s="36"/>
      <c r="AF105" s="4"/>
      <c r="AG105" s="380"/>
      <c r="AH105" s="380"/>
      <c r="AI105" s="381"/>
      <c r="AJ105" s="4"/>
      <c r="AK105" s="36"/>
      <c r="AL105" s="36"/>
      <c r="AM105" s="36"/>
      <c r="AN105" s="307"/>
    </row>
    <row r="106">
      <c r="A106" s="371">
        <v>240.0</v>
      </c>
      <c r="B106" s="372">
        <v>0.5694444444444444</v>
      </c>
      <c r="C106" s="366">
        <v>46113.0</v>
      </c>
      <c r="D106" s="307"/>
      <c r="E106" s="389"/>
      <c r="F106" s="390"/>
      <c r="G106" s="392"/>
      <c r="H106" s="307"/>
      <c r="I106" s="389"/>
      <c r="J106" s="390"/>
      <c r="K106" s="392"/>
      <c r="L106" s="4"/>
      <c r="M106" s="389"/>
      <c r="N106" s="390"/>
      <c r="O106" s="392"/>
      <c r="P106" s="4"/>
      <c r="Q106" s="389"/>
      <c r="R106" s="390"/>
      <c r="S106" s="392"/>
      <c r="T106" s="4"/>
      <c r="U106" s="389"/>
      <c r="V106" s="390"/>
      <c r="W106" s="392"/>
      <c r="X106" s="4"/>
      <c r="Y106" s="348">
        <v>250.0</v>
      </c>
      <c r="Z106" s="349" t="s">
        <v>1025</v>
      </c>
      <c r="AA106" s="350">
        <v>46189.0</v>
      </c>
      <c r="AB106" s="4"/>
      <c r="AC106" s="36"/>
      <c r="AD106" s="36"/>
      <c r="AE106" s="36"/>
      <c r="AF106" s="4"/>
      <c r="AG106" s="380"/>
      <c r="AH106" s="380"/>
      <c r="AI106" s="381"/>
      <c r="AJ106" s="4"/>
      <c r="AK106" s="36"/>
      <c r="AL106" s="36"/>
      <c r="AM106" s="363"/>
      <c r="AN106" s="307"/>
    </row>
    <row r="107">
      <c r="A107" s="371">
        <v>400.0</v>
      </c>
      <c r="B107" s="372">
        <v>0.6597222222222222</v>
      </c>
      <c r="C107" s="366">
        <v>46113.0</v>
      </c>
      <c r="D107" s="307"/>
      <c r="E107" s="389"/>
      <c r="F107" s="390"/>
      <c r="G107" s="392"/>
      <c r="H107" s="307"/>
      <c r="I107" s="389"/>
      <c r="J107" s="390"/>
      <c r="K107" s="392"/>
      <c r="L107" s="4"/>
      <c r="M107" s="389"/>
      <c r="N107" s="390"/>
      <c r="O107" s="392"/>
      <c r="P107" s="4"/>
      <c r="Q107" s="389"/>
      <c r="R107" s="390"/>
      <c r="S107" s="392"/>
      <c r="T107" s="4"/>
      <c r="U107" s="389"/>
      <c r="V107" s="390"/>
      <c r="W107" s="392"/>
      <c r="X107" s="4"/>
      <c r="Y107" s="348">
        <v>550.0</v>
      </c>
      <c r="Z107" s="349" t="s">
        <v>1028</v>
      </c>
      <c r="AA107" s="350">
        <v>46189.0</v>
      </c>
      <c r="AB107" s="4"/>
      <c r="AC107" s="36"/>
      <c r="AD107" s="36"/>
      <c r="AE107" s="36"/>
      <c r="AF107" s="4"/>
      <c r="AG107" s="380"/>
      <c r="AH107" s="380"/>
      <c r="AI107" s="381"/>
      <c r="AJ107" s="4"/>
      <c r="AK107" s="36"/>
      <c r="AL107" s="36"/>
      <c r="AM107" s="363"/>
      <c r="AN107" s="307"/>
    </row>
    <row r="108">
      <c r="A108" s="371">
        <v>80.0</v>
      </c>
      <c r="B108" s="372">
        <v>0.7319444444444444</v>
      </c>
      <c r="C108" s="366">
        <v>46113.0</v>
      </c>
      <c r="D108" s="307"/>
      <c r="E108" s="389"/>
      <c r="F108" s="390"/>
      <c r="G108" s="392"/>
      <c r="H108" s="307"/>
      <c r="I108" s="389"/>
      <c r="J108" s="390"/>
      <c r="K108" s="392"/>
      <c r="L108" s="4"/>
      <c r="M108" s="389"/>
      <c r="N108" s="390"/>
      <c r="O108" s="392"/>
      <c r="P108" s="4"/>
      <c r="Q108" s="389"/>
      <c r="R108" s="390"/>
      <c r="S108" s="392"/>
      <c r="T108" s="4"/>
      <c r="U108" s="389"/>
      <c r="V108" s="390"/>
      <c r="W108" s="392"/>
      <c r="X108" s="4"/>
      <c r="Y108" s="348">
        <v>2625.0</v>
      </c>
      <c r="Z108" s="349" t="s">
        <v>1030</v>
      </c>
      <c r="AA108" s="350">
        <v>46190.0</v>
      </c>
      <c r="AB108" s="4"/>
      <c r="AC108" s="36"/>
      <c r="AD108" s="36"/>
      <c r="AE108" s="36"/>
      <c r="AF108" s="4"/>
      <c r="AG108" s="380"/>
      <c r="AH108" s="380"/>
      <c r="AI108" s="381"/>
      <c r="AJ108" s="4"/>
      <c r="AK108" s="36"/>
      <c r="AL108" s="36"/>
      <c r="AM108" s="36"/>
      <c r="AN108" s="307"/>
    </row>
    <row r="109">
      <c r="A109" s="371">
        <v>240.0</v>
      </c>
      <c r="B109" s="372">
        <v>0.9604166666666667</v>
      </c>
      <c r="C109" s="366">
        <v>46113.0</v>
      </c>
      <c r="D109" s="307"/>
      <c r="E109" s="389"/>
      <c r="F109" s="390"/>
      <c r="G109" s="392"/>
      <c r="H109" s="307"/>
      <c r="I109" s="389"/>
      <c r="J109" s="390"/>
      <c r="K109" s="392"/>
      <c r="L109" s="4"/>
      <c r="M109" s="389"/>
      <c r="N109" s="390"/>
      <c r="O109" s="392"/>
      <c r="P109" s="4"/>
      <c r="Q109" s="389"/>
      <c r="R109" s="390"/>
      <c r="S109" s="392"/>
      <c r="T109" s="4"/>
      <c r="U109" s="389"/>
      <c r="V109" s="390"/>
      <c r="W109" s="392"/>
      <c r="X109" s="4"/>
      <c r="Y109" s="348">
        <v>1200.0</v>
      </c>
      <c r="Z109" s="349" t="s">
        <v>1031</v>
      </c>
      <c r="AA109" s="350">
        <v>46191.0</v>
      </c>
      <c r="AB109" s="4"/>
      <c r="AC109" s="36"/>
      <c r="AD109" s="36"/>
      <c r="AE109" s="36"/>
      <c r="AF109" s="4"/>
      <c r="AG109" s="380"/>
      <c r="AH109" s="380"/>
      <c r="AI109" s="381"/>
      <c r="AJ109" s="4"/>
      <c r="AK109" s="36"/>
      <c r="AL109" s="36"/>
      <c r="AM109" s="363"/>
      <c r="AN109" s="307"/>
    </row>
    <row r="110">
      <c r="A110" s="371">
        <v>400.0</v>
      </c>
      <c r="B110" s="372">
        <v>0.9625</v>
      </c>
      <c r="C110" s="366">
        <v>46113.0</v>
      </c>
      <c r="D110" s="307"/>
      <c r="E110" s="389"/>
      <c r="F110" s="390"/>
      <c r="G110" s="392"/>
      <c r="H110" s="307"/>
      <c r="I110" s="389"/>
      <c r="J110" s="390"/>
      <c r="K110" s="392"/>
      <c r="L110" s="4"/>
      <c r="M110" s="389"/>
      <c r="N110" s="390"/>
      <c r="O110" s="392"/>
      <c r="P110" s="4"/>
      <c r="Q110" s="389"/>
      <c r="R110" s="390"/>
      <c r="S110" s="392"/>
      <c r="T110" s="4"/>
      <c r="U110" s="389"/>
      <c r="V110" s="390"/>
      <c r="W110" s="392"/>
      <c r="X110" s="4"/>
      <c r="Y110" s="348">
        <v>275.0</v>
      </c>
      <c r="Z110" s="349" t="s">
        <v>1034</v>
      </c>
      <c r="AA110" s="350">
        <v>46191.0</v>
      </c>
      <c r="AB110" s="4"/>
      <c r="AC110" s="36"/>
      <c r="AD110" s="36"/>
      <c r="AE110" s="36"/>
      <c r="AF110" s="4"/>
      <c r="AG110" s="380"/>
      <c r="AH110" s="380"/>
      <c r="AI110" s="381"/>
      <c r="AJ110" s="4"/>
      <c r="AK110" s="36"/>
      <c r="AL110" s="36"/>
      <c r="AM110" s="363"/>
      <c r="AN110" s="307"/>
    </row>
    <row r="111">
      <c r="A111" s="371">
        <v>975.0</v>
      </c>
      <c r="B111" s="372">
        <v>0.9680555555555556</v>
      </c>
      <c r="C111" s="366">
        <v>46113.0</v>
      </c>
      <c r="D111" s="307"/>
      <c r="E111" s="389"/>
      <c r="F111" s="390"/>
      <c r="G111" s="392"/>
      <c r="H111" s="307"/>
      <c r="I111" s="389"/>
      <c r="J111" s="390"/>
      <c r="K111" s="392"/>
      <c r="L111" s="4"/>
      <c r="M111" s="389"/>
      <c r="N111" s="390"/>
      <c r="O111" s="392"/>
      <c r="P111" s="4"/>
      <c r="Q111" s="389"/>
      <c r="R111" s="390"/>
      <c r="S111" s="392"/>
      <c r="T111" s="4"/>
      <c r="U111" s="389"/>
      <c r="V111" s="390"/>
      <c r="W111" s="392"/>
      <c r="X111" s="4"/>
      <c r="Y111" s="348">
        <v>2800.0</v>
      </c>
      <c r="Z111" s="349" t="s">
        <v>1037</v>
      </c>
      <c r="AA111" s="350">
        <v>46194.0</v>
      </c>
      <c r="AB111" s="4"/>
      <c r="AC111" s="36"/>
      <c r="AD111" s="36"/>
      <c r="AE111" s="36"/>
      <c r="AF111" s="4"/>
      <c r="AG111" s="380"/>
      <c r="AH111" s="380"/>
      <c r="AI111" s="381"/>
      <c r="AJ111" s="4"/>
      <c r="AK111" s="36"/>
      <c r="AL111" s="36"/>
      <c r="AM111" s="36"/>
      <c r="AN111" s="307"/>
    </row>
    <row r="112">
      <c r="A112" s="371">
        <v>120.0</v>
      </c>
      <c r="B112" s="372">
        <v>0.9694444444444444</v>
      </c>
      <c r="C112" s="366">
        <v>46113.0</v>
      </c>
      <c r="D112" s="307"/>
      <c r="E112" s="389"/>
      <c r="F112" s="390"/>
      <c r="G112" s="392"/>
      <c r="H112" s="307"/>
      <c r="I112" s="389"/>
      <c r="J112" s="390"/>
      <c r="K112" s="392"/>
      <c r="L112" s="4"/>
      <c r="M112" s="389"/>
      <c r="N112" s="390"/>
      <c r="O112" s="392"/>
      <c r="P112" s="4"/>
      <c r="Q112" s="389"/>
      <c r="R112" s="390"/>
      <c r="S112" s="392"/>
      <c r="T112" s="4"/>
      <c r="U112" s="389"/>
      <c r="V112" s="390"/>
      <c r="W112" s="392"/>
      <c r="X112" s="4"/>
      <c r="Y112" s="348">
        <v>5000.0</v>
      </c>
      <c r="Z112" s="367" t="s">
        <v>63</v>
      </c>
      <c r="AA112" s="350">
        <v>46201.0</v>
      </c>
      <c r="AB112" s="4"/>
      <c r="AC112" s="36"/>
      <c r="AD112" s="36"/>
      <c r="AE112" s="36"/>
      <c r="AF112" s="4"/>
      <c r="AG112" s="380"/>
      <c r="AH112" s="380"/>
      <c r="AI112" s="381"/>
      <c r="AJ112" s="4"/>
      <c r="AK112" s="36"/>
      <c r="AL112" s="36"/>
      <c r="AM112" s="363"/>
      <c r="AN112" s="307"/>
    </row>
    <row r="113">
      <c r="A113" s="371">
        <v>160.0</v>
      </c>
      <c r="B113" s="372">
        <v>0.9763888888888889</v>
      </c>
      <c r="C113" s="366">
        <v>46113.0</v>
      </c>
      <c r="D113" s="307"/>
      <c r="E113" s="389"/>
      <c r="F113" s="390"/>
      <c r="G113" s="392"/>
      <c r="H113" s="307"/>
      <c r="I113" s="389"/>
      <c r="J113" s="390"/>
      <c r="K113" s="392"/>
      <c r="L113" s="4"/>
      <c r="M113" s="389"/>
      <c r="N113" s="390"/>
      <c r="O113" s="392"/>
      <c r="P113" s="4"/>
      <c r="Q113" s="389"/>
      <c r="R113" s="390"/>
      <c r="S113" s="392"/>
      <c r="T113" s="4"/>
      <c r="U113" s="389"/>
      <c r="V113" s="390"/>
      <c r="W113" s="392"/>
      <c r="X113" s="4"/>
      <c r="Y113" s="348">
        <v>329.0</v>
      </c>
      <c r="Z113" s="368" t="s">
        <v>122</v>
      </c>
      <c r="AA113" s="350">
        <v>46201.0</v>
      </c>
      <c r="AB113" s="4"/>
      <c r="AC113" s="36"/>
      <c r="AD113" s="36"/>
      <c r="AE113" s="36"/>
      <c r="AF113" s="4"/>
      <c r="AG113" s="380"/>
      <c r="AH113" s="380"/>
      <c r="AI113" s="381"/>
      <c r="AJ113" s="4"/>
      <c r="AK113" s="36"/>
      <c r="AL113" s="36"/>
      <c r="AM113" s="363"/>
      <c r="AN113" s="307"/>
    </row>
    <row r="114">
      <c r="A114" s="371">
        <v>80.0</v>
      </c>
      <c r="B114" s="372">
        <v>1.0138888888888888</v>
      </c>
      <c r="C114" s="366">
        <v>46114.0</v>
      </c>
      <c r="D114" s="307"/>
      <c r="E114" s="389"/>
      <c r="F114" s="390"/>
      <c r="G114" s="392"/>
      <c r="H114" s="307"/>
      <c r="I114" s="389"/>
      <c r="J114" s="390"/>
      <c r="K114" s="392"/>
      <c r="L114" s="4"/>
      <c r="M114" s="389"/>
      <c r="N114" s="390"/>
      <c r="O114" s="392"/>
      <c r="P114" s="4"/>
      <c r="Q114" s="389"/>
      <c r="R114" s="390"/>
      <c r="S114" s="392"/>
      <c r="T114" s="4"/>
      <c r="U114" s="389"/>
      <c r="V114" s="390"/>
      <c r="W114" s="392"/>
      <c r="X114" s="4"/>
      <c r="Y114" s="348">
        <v>105.0</v>
      </c>
      <c r="Z114" s="349" t="s">
        <v>122</v>
      </c>
      <c r="AA114" s="350">
        <v>46201.0</v>
      </c>
      <c r="AB114" s="4"/>
      <c r="AC114" s="36"/>
      <c r="AD114" s="36"/>
      <c r="AE114" s="36"/>
      <c r="AF114" s="4"/>
      <c r="AG114" s="380"/>
      <c r="AH114" s="380"/>
      <c r="AI114" s="381"/>
      <c r="AJ114" s="4"/>
      <c r="AK114" s="36"/>
      <c r="AL114" s="36"/>
      <c r="AM114" s="36"/>
      <c r="AN114" s="307"/>
    </row>
    <row r="115">
      <c r="A115" s="371">
        <v>120.0</v>
      </c>
      <c r="B115" s="372">
        <v>1.0270833333333333</v>
      </c>
      <c r="C115" s="366">
        <v>46114.0</v>
      </c>
      <c r="D115" s="307"/>
      <c r="E115" s="389"/>
      <c r="F115" s="390"/>
      <c r="G115" s="392"/>
      <c r="H115" s="307"/>
      <c r="I115" s="389"/>
      <c r="J115" s="390"/>
      <c r="K115" s="392"/>
      <c r="L115" s="4"/>
      <c r="M115" s="389"/>
      <c r="N115" s="390"/>
      <c r="O115" s="392"/>
      <c r="P115" s="4"/>
      <c r="Q115" s="389"/>
      <c r="R115" s="390"/>
      <c r="S115" s="392"/>
      <c r="T115" s="4"/>
      <c r="U115" s="389"/>
      <c r="V115" s="390"/>
      <c r="W115" s="392"/>
      <c r="X115" s="4"/>
      <c r="Y115" s="348">
        <v>960.0</v>
      </c>
      <c r="Z115" s="349" t="s">
        <v>187</v>
      </c>
      <c r="AA115" s="350">
        <v>46201.0</v>
      </c>
      <c r="AB115" s="4"/>
      <c r="AC115" s="36"/>
      <c r="AD115" s="36"/>
      <c r="AE115" s="36"/>
      <c r="AF115" s="4"/>
      <c r="AG115" s="380"/>
      <c r="AH115" s="380"/>
      <c r="AI115" s="381"/>
      <c r="AJ115" s="4"/>
      <c r="AK115" s="36"/>
      <c r="AL115" s="36"/>
      <c r="AM115" s="363"/>
      <c r="AN115" s="307"/>
    </row>
    <row r="116">
      <c r="A116" s="371">
        <v>240.0</v>
      </c>
      <c r="B116" s="372">
        <v>1.0284722222222222</v>
      </c>
      <c r="C116" s="366">
        <v>46114.0</v>
      </c>
      <c r="D116" s="307"/>
      <c r="E116" s="389"/>
      <c r="F116" s="390"/>
      <c r="G116" s="392"/>
      <c r="H116" s="307"/>
      <c r="I116" s="389"/>
      <c r="J116" s="390"/>
      <c r="K116" s="392"/>
      <c r="L116" s="4"/>
      <c r="M116" s="389"/>
      <c r="N116" s="390"/>
      <c r="O116" s="392"/>
      <c r="P116" s="4"/>
      <c r="Q116" s="389"/>
      <c r="R116" s="390"/>
      <c r="S116" s="392"/>
      <c r="T116" s="4"/>
      <c r="U116" s="389"/>
      <c r="V116" s="390"/>
      <c r="W116" s="392"/>
      <c r="X116" s="4"/>
      <c r="Y116" s="348">
        <v>155.0</v>
      </c>
      <c r="Z116" s="349" t="s">
        <v>104</v>
      </c>
      <c r="AA116" s="350">
        <v>46201.0</v>
      </c>
      <c r="AB116" s="4"/>
      <c r="AC116" s="36"/>
      <c r="AD116" s="36"/>
      <c r="AE116" s="36"/>
      <c r="AF116" s="4"/>
      <c r="AG116" s="380"/>
      <c r="AH116" s="380"/>
      <c r="AI116" s="381"/>
      <c r="AJ116" s="4"/>
      <c r="AK116" s="36"/>
      <c r="AL116" s="36"/>
      <c r="AM116" s="363"/>
      <c r="AN116" s="307"/>
    </row>
    <row r="117">
      <c r="A117" s="371">
        <v>240.0</v>
      </c>
      <c r="B117" s="372">
        <v>0.7395833333333334</v>
      </c>
      <c r="C117" s="366">
        <v>46114.0</v>
      </c>
      <c r="D117" s="307"/>
      <c r="E117" s="389"/>
      <c r="F117" s="390"/>
      <c r="G117" s="392"/>
      <c r="H117" s="307"/>
      <c r="I117" s="389"/>
      <c r="J117" s="390"/>
      <c r="K117" s="392"/>
      <c r="L117" s="4"/>
      <c r="M117" s="389"/>
      <c r="N117" s="390"/>
      <c r="O117" s="392"/>
      <c r="P117" s="4"/>
      <c r="Q117" s="389"/>
      <c r="R117" s="390"/>
      <c r="S117" s="392"/>
      <c r="T117" s="4"/>
      <c r="U117" s="389"/>
      <c r="V117" s="390"/>
      <c r="W117" s="392"/>
      <c r="X117" s="4"/>
      <c r="Y117" s="348">
        <v>40.0</v>
      </c>
      <c r="Z117" s="349" t="s">
        <v>1044</v>
      </c>
      <c r="AA117" s="350">
        <v>46201.0</v>
      </c>
      <c r="AB117" s="4"/>
      <c r="AC117" s="36"/>
      <c r="AD117" s="36"/>
      <c r="AE117" s="36"/>
      <c r="AF117" s="4"/>
      <c r="AG117" s="380"/>
      <c r="AH117" s="380"/>
      <c r="AI117" s="381"/>
      <c r="AJ117" s="4"/>
      <c r="AK117" s="36"/>
      <c r="AL117" s="36"/>
      <c r="AM117" s="36"/>
      <c r="AN117" s="307"/>
    </row>
    <row r="118">
      <c r="A118" s="371">
        <v>160.0</v>
      </c>
      <c r="B118" s="372">
        <v>0.7430555555555556</v>
      </c>
      <c r="C118" s="366">
        <v>46114.0</v>
      </c>
      <c r="D118" s="307"/>
      <c r="E118" s="389"/>
      <c r="F118" s="390"/>
      <c r="G118" s="392"/>
      <c r="H118" s="307"/>
      <c r="I118" s="389"/>
      <c r="J118" s="390"/>
      <c r="K118" s="392"/>
      <c r="L118" s="4"/>
      <c r="M118" s="389"/>
      <c r="N118" s="390"/>
      <c r="O118" s="392"/>
      <c r="P118" s="4"/>
      <c r="Q118" s="389"/>
      <c r="R118" s="390"/>
      <c r="S118" s="392"/>
      <c r="T118" s="4"/>
      <c r="U118" s="389"/>
      <c r="V118" s="390"/>
      <c r="W118" s="392"/>
      <c r="X118" s="4"/>
      <c r="Y118" s="348" t="s">
        <v>1046</v>
      </c>
      <c r="Z118" s="349" t="s">
        <v>1047</v>
      </c>
      <c r="AA118" s="350">
        <v>46201.0</v>
      </c>
      <c r="AB118" s="4"/>
      <c r="AC118" s="36"/>
      <c r="AD118" s="36"/>
      <c r="AE118" s="36"/>
      <c r="AF118" s="4"/>
      <c r="AG118" s="380"/>
      <c r="AH118" s="380"/>
      <c r="AI118" s="381"/>
      <c r="AJ118" s="4"/>
      <c r="AK118" s="36"/>
      <c r="AL118" s="36"/>
      <c r="AM118" s="363"/>
      <c r="AN118" s="307"/>
    </row>
    <row r="119">
      <c r="A119" s="371">
        <v>350.0</v>
      </c>
      <c r="B119" s="372">
        <v>0.7465277777777778</v>
      </c>
      <c r="C119" s="366">
        <v>46114.0</v>
      </c>
      <c r="D119" s="307"/>
      <c r="E119" s="389"/>
      <c r="F119" s="390"/>
      <c r="G119" s="392"/>
      <c r="H119" s="307"/>
      <c r="I119" s="389"/>
      <c r="J119" s="390"/>
      <c r="K119" s="392"/>
      <c r="L119" s="4"/>
      <c r="M119" s="389"/>
      <c r="N119" s="390"/>
      <c r="O119" s="392"/>
      <c r="P119" s="4"/>
      <c r="Q119" s="389"/>
      <c r="R119" s="390"/>
      <c r="S119" s="392"/>
      <c r="T119" s="4"/>
      <c r="U119" s="389"/>
      <c r="V119" s="390"/>
      <c r="W119" s="392"/>
      <c r="X119" s="4"/>
      <c r="Y119" s="348">
        <v>1080.0</v>
      </c>
      <c r="Z119" s="349" t="s">
        <v>190</v>
      </c>
      <c r="AA119" s="350">
        <v>46202.0</v>
      </c>
      <c r="AB119" s="4"/>
      <c r="AC119" s="36"/>
      <c r="AD119" s="36"/>
      <c r="AE119" s="36"/>
      <c r="AF119" s="4"/>
      <c r="AG119" s="380"/>
      <c r="AH119" s="380"/>
      <c r="AI119" s="381"/>
      <c r="AJ119" s="4"/>
      <c r="AK119" s="36"/>
      <c r="AL119" s="36"/>
      <c r="AM119" s="363"/>
      <c r="AN119" s="307"/>
    </row>
    <row r="120">
      <c r="A120" s="371">
        <v>240.0</v>
      </c>
      <c r="B120" s="372">
        <v>0.9090277777777778</v>
      </c>
      <c r="C120" s="366">
        <v>46114.0</v>
      </c>
      <c r="D120" s="307"/>
      <c r="E120" s="389"/>
      <c r="F120" s="390"/>
      <c r="G120" s="392"/>
      <c r="H120" s="307"/>
      <c r="I120" s="389"/>
      <c r="J120" s="390"/>
      <c r="K120" s="392"/>
      <c r="L120" s="4"/>
      <c r="M120" s="389"/>
      <c r="N120" s="390"/>
      <c r="O120" s="392"/>
      <c r="P120" s="4"/>
      <c r="Q120" s="389"/>
      <c r="R120" s="390"/>
      <c r="S120" s="392"/>
      <c r="T120" s="4"/>
      <c r="U120" s="389"/>
      <c r="V120" s="390"/>
      <c r="W120" s="392"/>
      <c r="X120" s="4"/>
      <c r="Y120" s="348">
        <v>2400.0</v>
      </c>
      <c r="Z120" s="349" t="s">
        <v>187</v>
      </c>
      <c r="AA120" s="350">
        <v>46208.0</v>
      </c>
      <c r="AB120" s="4"/>
      <c r="AC120" s="36"/>
      <c r="AD120" s="36"/>
      <c r="AE120" s="36"/>
      <c r="AF120" s="4"/>
      <c r="AG120" s="380"/>
      <c r="AH120" s="380"/>
      <c r="AI120" s="381"/>
      <c r="AJ120" s="4"/>
      <c r="AK120" s="36"/>
      <c r="AL120" s="36"/>
      <c r="AM120" s="36"/>
      <c r="AN120" s="307"/>
    </row>
    <row r="121">
      <c r="A121" s="371">
        <v>120.0</v>
      </c>
      <c r="B121" s="372">
        <v>0.9597222222222223</v>
      </c>
      <c r="C121" s="366">
        <v>46114.0</v>
      </c>
      <c r="D121" s="307"/>
      <c r="E121" s="389"/>
      <c r="F121" s="390"/>
      <c r="G121" s="392"/>
      <c r="H121" s="307"/>
      <c r="I121" s="389"/>
      <c r="J121" s="390"/>
      <c r="K121" s="392"/>
      <c r="L121" s="4"/>
      <c r="M121" s="389"/>
      <c r="N121" s="390"/>
      <c r="O121" s="392"/>
      <c r="P121" s="4"/>
      <c r="Q121" s="389"/>
      <c r="R121" s="390"/>
      <c r="S121" s="392"/>
      <c r="T121" s="4"/>
      <c r="U121" s="389"/>
      <c r="V121" s="390"/>
      <c r="W121" s="392"/>
      <c r="X121" s="4"/>
      <c r="Y121" s="348">
        <v>385.0</v>
      </c>
      <c r="Z121" s="349" t="s">
        <v>1052</v>
      </c>
      <c r="AA121" s="350">
        <v>46208.0</v>
      </c>
      <c r="AB121" s="4"/>
      <c r="AC121" s="36"/>
      <c r="AD121" s="36"/>
      <c r="AE121" s="36"/>
      <c r="AF121" s="4"/>
      <c r="AG121" s="380"/>
      <c r="AH121" s="380"/>
      <c r="AI121" s="381"/>
      <c r="AJ121" s="4"/>
      <c r="AK121" s="36"/>
      <c r="AL121" s="36"/>
      <c r="AM121" s="363"/>
      <c r="AN121" s="307"/>
    </row>
    <row r="122">
      <c r="A122" s="371">
        <v>175.0</v>
      </c>
      <c r="B122" s="372">
        <v>0.5805555555555556</v>
      </c>
      <c r="C122" s="366">
        <v>46115.0</v>
      </c>
      <c r="D122" s="307"/>
      <c r="E122" s="389"/>
      <c r="F122" s="390"/>
      <c r="G122" s="392"/>
      <c r="H122" s="307"/>
      <c r="I122" s="389"/>
      <c r="J122" s="390"/>
      <c r="K122" s="392"/>
      <c r="L122" s="4"/>
      <c r="M122" s="389"/>
      <c r="N122" s="390"/>
      <c r="O122" s="392"/>
      <c r="P122" s="4"/>
      <c r="Q122" s="389"/>
      <c r="R122" s="390"/>
      <c r="S122" s="392"/>
      <c r="T122" s="4"/>
      <c r="U122" s="389"/>
      <c r="V122" s="390"/>
      <c r="W122" s="392"/>
      <c r="X122" s="4"/>
      <c r="Y122" s="348">
        <v>450.0</v>
      </c>
      <c r="Z122" s="349" t="s">
        <v>1054</v>
      </c>
      <c r="AA122" s="350">
        <v>46209.0</v>
      </c>
      <c r="AB122" s="4"/>
      <c r="AC122" s="36"/>
      <c r="AD122" s="36"/>
      <c r="AE122" s="36"/>
      <c r="AF122" s="4"/>
      <c r="AG122" s="380"/>
      <c r="AH122" s="380"/>
      <c r="AI122" s="381"/>
      <c r="AJ122" s="4"/>
      <c r="AK122" s="36"/>
      <c r="AL122" s="36"/>
      <c r="AM122" s="363"/>
      <c r="AN122" s="307"/>
    </row>
    <row r="123">
      <c r="A123" s="371">
        <v>320.0</v>
      </c>
      <c r="B123" s="372">
        <v>0.7805555555555556</v>
      </c>
      <c r="C123" s="366">
        <v>46115.0</v>
      </c>
      <c r="D123" s="307"/>
      <c r="E123" s="389"/>
      <c r="F123" s="390"/>
      <c r="G123" s="392"/>
      <c r="H123" s="307"/>
      <c r="I123" s="389"/>
      <c r="J123" s="390"/>
      <c r="K123" s="392"/>
      <c r="L123" s="4"/>
      <c r="M123" s="389"/>
      <c r="N123" s="390"/>
      <c r="O123" s="392"/>
      <c r="P123" s="4"/>
      <c r="Q123" s="389"/>
      <c r="R123" s="390"/>
      <c r="S123" s="392"/>
      <c r="T123" s="4"/>
      <c r="U123" s="389"/>
      <c r="V123" s="390"/>
      <c r="W123" s="392"/>
      <c r="X123" s="4"/>
      <c r="Y123" s="348">
        <v>275.0</v>
      </c>
      <c r="Z123" s="349" t="s">
        <v>217</v>
      </c>
      <c r="AA123" s="350">
        <v>46209.0</v>
      </c>
      <c r="AB123" s="4"/>
      <c r="AC123" s="36"/>
      <c r="AD123" s="36"/>
      <c r="AE123" s="36"/>
      <c r="AF123" s="4"/>
      <c r="AG123" s="380"/>
      <c r="AH123" s="380"/>
      <c r="AI123" s="381"/>
      <c r="AJ123" s="4"/>
      <c r="AK123" s="36"/>
      <c r="AL123" s="36"/>
      <c r="AM123" s="36"/>
      <c r="AN123" s="307"/>
    </row>
    <row r="124">
      <c r="A124" s="371">
        <v>360.0</v>
      </c>
      <c r="B124" s="372">
        <v>0.7451388888888889</v>
      </c>
      <c r="C124" s="366">
        <v>46116.0</v>
      </c>
      <c r="D124" s="307"/>
      <c r="E124" s="389"/>
      <c r="F124" s="390"/>
      <c r="G124" s="392"/>
      <c r="H124" s="307"/>
      <c r="I124" s="389"/>
      <c r="J124" s="390"/>
      <c r="K124" s="392"/>
      <c r="L124" s="4"/>
      <c r="M124" s="389"/>
      <c r="N124" s="390"/>
      <c r="O124" s="392"/>
      <c r="P124" s="4"/>
      <c r="Q124" s="389"/>
      <c r="R124" s="390"/>
      <c r="S124" s="392"/>
      <c r="T124" s="4"/>
      <c r="U124" s="389"/>
      <c r="V124" s="390"/>
      <c r="W124" s="392"/>
      <c r="X124" s="4"/>
      <c r="Y124" s="348">
        <v>1980.0</v>
      </c>
      <c r="Z124" s="349" t="s">
        <v>190</v>
      </c>
      <c r="AA124" s="350">
        <v>46209.0</v>
      </c>
      <c r="AB124" s="4"/>
      <c r="AC124" s="36"/>
      <c r="AD124" s="36"/>
      <c r="AE124" s="36"/>
      <c r="AF124" s="4"/>
      <c r="AG124" s="380"/>
      <c r="AH124" s="380"/>
      <c r="AI124" s="381"/>
      <c r="AJ124" s="4"/>
      <c r="AK124" s="36"/>
      <c r="AL124" s="36"/>
      <c r="AM124" s="363"/>
      <c r="AN124" s="307"/>
    </row>
    <row r="125">
      <c r="A125" s="371">
        <v>240.0</v>
      </c>
      <c r="B125" s="372">
        <v>0.7472222222222222</v>
      </c>
      <c r="C125" s="366">
        <v>46116.0</v>
      </c>
      <c r="D125" s="307"/>
      <c r="E125" s="389"/>
      <c r="F125" s="390"/>
      <c r="G125" s="392"/>
      <c r="H125" s="307"/>
      <c r="I125" s="389"/>
      <c r="J125" s="390"/>
      <c r="K125" s="392"/>
      <c r="L125" s="4"/>
      <c r="M125" s="389"/>
      <c r="N125" s="390"/>
      <c r="O125" s="392"/>
      <c r="P125" s="4"/>
      <c r="Q125" s="389"/>
      <c r="R125" s="390"/>
      <c r="S125" s="392"/>
      <c r="T125" s="4"/>
      <c r="U125" s="389"/>
      <c r="V125" s="390"/>
      <c r="W125" s="392"/>
      <c r="X125" s="4"/>
      <c r="Y125" s="348">
        <v>250.0</v>
      </c>
      <c r="Z125" s="349" t="s">
        <v>212</v>
      </c>
      <c r="AA125" s="350">
        <v>46209.0</v>
      </c>
      <c r="AB125" s="4"/>
      <c r="AC125" s="36"/>
      <c r="AD125" s="36"/>
      <c r="AE125" s="36"/>
      <c r="AF125" s="4"/>
      <c r="AG125" s="380"/>
      <c r="AH125" s="380"/>
      <c r="AI125" s="381"/>
      <c r="AJ125" s="4"/>
      <c r="AK125" s="36"/>
      <c r="AL125" s="36"/>
      <c r="AM125" s="363"/>
      <c r="AN125" s="307"/>
    </row>
    <row r="126">
      <c r="A126" s="371">
        <v>330.0</v>
      </c>
      <c r="B126" s="372">
        <v>0.7659722222222223</v>
      </c>
      <c r="C126" s="366">
        <v>46116.0</v>
      </c>
      <c r="D126" s="307"/>
      <c r="E126" s="389"/>
      <c r="F126" s="390"/>
      <c r="G126" s="392"/>
      <c r="H126" s="307"/>
      <c r="I126" s="389"/>
      <c r="J126" s="390"/>
      <c r="K126" s="392"/>
      <c r="L126" s="4"/>
      <c r="M126" s="389"/>
      <c r="N126" s="390"/>
      <c r="O126" s="392"/>
      <c r="P126" s="4"/>
      <c r="Q126" s="389"/>
      <c r="R126" s="390"/>
      <c r="S126" s="392"/>
      <c r="T126" s="4"/>
      <c r="U126" s="389"/>
      <c r="V126" s="390"/>
      <c r="W126" s="392"/>
      <c r="X126" s="4"/>
      <c r="Y126" s="348">
        <v>405.0</v>
      </c>
      <c r="Z126" s="349" t="s">
        <v>564</v>
      </c>
      <c r="AA126" s="350">
        <v>46209.0</v>
      </c>
      <c r="AC126" s="36"/>
      <c r="AD126" s="36"/>
      <c r="AE126" s="36"/>
      <c r="AF126" s="4"/>
      <c r="AG126" s="380"/>
      <c r="AH126" s="380"/>
      <c r="AI126" s="381"/>
      <c r="AJ126" s="4"/>
      <c r="AK126" s="36"/>
      <c r="AL126" s="36"/>
      <c r="AM126" s="36"/>
      <c r="AN126" s="307"/>
    </row>
    <row r="127">
      <c r="A127" s="371">
        <v>700.0</v>
      </c>
      <c r="B127" s="372">
        <v>0.7673611111111112</v>
      </c>
      <c r="C127" s="366">
        <v>46116.0</v>
      </c>
      <c r="D127" s="307"/>
      <c r="E127" s="389"/>
      <c r="F127" s="390"/>
      <c r="G127" s="392"/>
      <c r="H127" s="307"/>
      <c r="I127" s="389"/>
      <c r="J127" s="390"/>
      <c r="K127" s="392"/>
      <c r="L127" s="4"/>
      <c r="M127" s="389"/>
      <c r="N127" s="390"/>
      <c r="O127" s="392"/>
      <c r="P127" s="4"/>
      <c r="Q127" s="389"/>
      <c r="R127" s="390"/>
      <c r="S127" s="392"/>
      <c r="T127" s="4"/>
      <c r="U127" s="389"/>
      <c r="V127" s="390"/>
      <c r="W127" s="392"/>
      <c r="X127" s="4"/>
      <c r="Y127" s="401">
        <v>99.60000000000001</v>
      </c>
      <c r="Z127" s="349" t="s">
        <v>798</v>
      </c>
      <c r="AA127" s="350">
        <v>46210.0</v>
      </c>
      <c r="AC127" s="36"/>
      <c r="AD127" s="36"/>
      <c r="AE127" s="36"/>
      <c r="AF127" s="4"/>
      <c r="AG127" s="380"/>
      <c r="AH127" s="380"/>
      <c r="AI127" s="381"/>
      <c r="AJ127" s="4"/>
      <c r="AK127" s="36"/>
      <c r="AL127" s="36"/>
      <c r="AM127" s="363"/>
      <c r="AN127" s="307"/>
    </row>
    <row r="128">
      <c r="A128" s="371">
        <v>288.0</v>
      </c>
      <c r="B128" s="372">
        <v>0.7722222222222223</v>
      </c>
      <c r="C128" s="366">
        <v>46116.0</v>
      </c>
      <c r="D128" s="307"/>
      <c r="E128" s="389"/>
      <c r="F128" s="390"/>
      <c r="G128" s="392"/>
      <c r="H128" s="307"/>
      <c r="I128" s="389"/>
      <c r="J128" s="390"/>
      <c r="K128" s="392"/>
      <c r="L128" s="4"/>
      <c r="M128" s="389"/>
      <c r="N128" s="390"/>
      <c r="O128" s="392"/>
      <c r="P128" s="4"/>
      <c r="Q128" s="389"/>
      <c r="R128" s="390"/>
      <c r="S128" s="392"/>
      <c r="T128" s="4"/>
      <c r="U128" s="389"/>
      <c r="V128" s="390"/>
      <c r="W128" s="392"/>
      <c r="X128" s="4"/>
      <c r="Y128" s="348">
        <v>210.0</v>
      </c>
      <c r="Z128" s="349" t="s">
        <v>1064</v>
      </c>
      <c r="AA128" s="350">
        <v>46211.0</v>
      </c>
      <c r="AB128" s="4"/>
      <c r="AC128" s="36"/>
      <c r="AD128" s="36"/>
      <c r="AE128" s="36"/>
      <c r="AF128" s="4"/>
      <c r="AG128" s="380"/>
      <c r="AH128" s="380"/>
      <c r="AI128" s="381"/>
      <c r="AJ128" s="4"/>
      <c r="AK128" s="36"/>
      <c r="AL128" s="36"/>
      <c r="AM128" s="363"/>
      <c r="AN128" s="307"/>
    </row>
    <row r="129">
      <c r="A129" s="371">
        <v>400.0</v>
      </c>
      <c r="B129" s="372">
        <v>0.7743055555555556</v>
      </c>
      <c r="C129" s="366">
        <v>46116.0</v>
      </c>
      <c r="D129" s="307"/>
      <c r="E129" s="389"/>
      <c r="F129" s="390"/>
      <c r="G129" s="392"/>
      <c r="H129" s="307"/>
      <c r="I129" s="389"/>
      <c r="J129" s="390"/>
      <c r="K129" s="392"/>
      <c r="L129" s="4"/>
      <c r="M129" s="389"/>
      <c r="N129" s="390"/>
      <c r="O129" s="392"/>
      <c r="P129" s="4"/>
      <c r="Q129" s="389"/>
      <c r="R129" s="390"/>
      <c r="S129" s="392"/>
      <c r="T129" s="4"/>
      <c r="U129" s="389"/>
      <c r="V129" s="390"/>
      <c r="W129" s="392"/>
      <c r="X129" s="4"/>
      <c r="Y129" s="348">
        <v>75.0</v>
      </c>
      <c r="Z129" s="349" t="s">
        <v>1066</v>
      </c>
      <c r="AA129" s="350">
        <v>46212.0</v>
      </c>
      <c r="AB129" s="4"/>
      <c r="AC129" s="36"/>
      <c r="AD129" s="36"/>
      <c r="AE129" s="36"/>
      <c r="AF129" s="4"/>
      <c r="AG129" s="380"/>
      <c r="AH129" s="380"/>
      <c r="AI129" s="381"/>
      <c r="AJ129" s="4"/>
      <c r="AK129" s="36"/>
      <c r="AL129" s="36"/>
      <c r="AM129" s="36"/>
      <c r="AN129" s="307"/>
    </row>
    <row r="130">
      <c r="A130" s="371">
        <v>455.0</v>
      </c>
      <c r="B130" s="372">
        <v>0.7756944444444445</v>
      </c>
      <c r="C130" s="366">
        <v>46116.0</v>
      </c>
      <c r="D130" s="307"/>
      <c r="E130" s="389"/>
      <c r="F130" s="390"/>
      <c r="G130" s="392"/>
      <c r="H130" s="307"/>
      <c r="I130" s="389"/>
      <c r="J130" s="390"/>
      <c r="K130" s="392"/>
      <c r="L130" s="4"/>
      <c r="M130" s="389"/>
      <c r="N130" s="390"/>
      <c r="O130" s="392"/>
      <c r="P130" s="4"/>
      <c r="Q130" s="389"/>
      <c r="R130" s="390"/>
      <c r="S130" s="392"/>
      <c r="T130" s="4"/>
      <c r="U130" s="389"/>
      <c r="V130" s="390"/>
      <c r="W130" s="392"/>
      <c r="X130" s="4"/>
      <c r="Y130" s="348">
        <v>225.0</v>
      </c>
      <c r="Z130" s="349" t="s">
        <v>1068</v>
      </c>
      <c r="AA130" s="350">
        <v>46212.0</v>
      </c>
      <c r="AB130" s="4"/>
      <c r="AC130" s="36"/>
      <c r="AD130" s="36"/>
      <c r="AE130" s="36"/>
      <c r="AF130" s="4"/>
      <c r="AG130" s="380"/>
      <c r="AH130" s="380"/>
      <c r="AI130" s="381"/>
      <c r="AJ130" s="4"/>
      <c r="AK130" s="36"/>
      <c r="AL130" s="36"/>
      <c r="AM130" s="363"/>
      <c r="AN130" s="307"/>
    </row>
    <row r="131">
      <c r="A131" s="371">
        <v>400.0</v>
      </c>
      <c r="B131" s="372">
        <v>0.7784722222222222</v>
      </c>
      <c r="C131" s="366">
        <v>46116.0</v>
      </c>
      <c r="D131" s="307"/>
      <c r="E131" s="389"/>
      <c r="F131" s="390"/>
      <c r="G131" s="392"/>
      <c r="H131" s="307"/>
      <c r="I131" s="389"/>
      <c r="J131" s="390"/>
      <c r="K131" s="392"/>
      <c r="L131" s="4"/>
      <c r="M131" s="389"/>
      <c r="N131" s="390"/>
      <c r="O131" s="392"/>
      <c r="P131" s="4"/>
      <c r="Q131" s="389"/>
      <c r="R131" s="390"/>
      <c r="S131" s="392"/>
      <c r="T131" s="4"/>
      <c r="U131" s="389"/>
      <c r="V131" s="390"/>
      <c r="W131" s="392"/>
      <c r="X131" s="4"/>
      <c r="Y131" s="348">
        <v>40.0</v>
      </c>
      <c r="Z131" s="349" t="s">
        <v>1070</v>
      </c>
      <c r="AA131" s="350">
        <v>46214.0</v>
      </c>
      <c r="AB131" s="4"/>
      <c r="AC131" s="36"/>
      <c r="AD131" s="36"/>
      <c r="AE131" s="36"/>
      <c r="AF131" s="4"/>
      <c r="AG131" s="380"/>
      <c r="AH131" s="380"/>
      <c r="AI131" s="381"/>
      <c r="AJ131" s="4"/>
      <c r="AK131" s="36"/>
      <c r="AL131" s="36"/>
      <c r="AM131" s="363"/>
      <c r="AN131" s="307"/>
    </row>
    <row r="132">
      <c r="A132" s="371">
        <v>40.0</v>
      </c>
      <c r="B132" s="372">
        <v>0.7861111111111111</v>
      </c>
      <c r="C132" s="366">
        <v>46116.0</v>
      </c>
      <c r="D132" s="307"/>
      <c r="E132" s="389"/>
      <c r="F132" s="390"/>
      <c r="G132" s="392"/>
      <c r="H132" s="307"/>
      <c r="I132" s="389"/>
      <c r="J132" s="390"/>
      <c r="K132" s="392"/>
      <c r="L132" s="4"/>
      <c r="M132" s="389"/>
      <c r="N132" s="390"/>
      <c r="O132" s="392"/>
      <c r="P132" s="4"/>
      <c r="Q132" s="389"/>
      <c r="R132" s="390"/>
      <c r="S132" s="392"/>
      <c r="T132" s="4"/>
      <c r="U132" s="389"/>
      <c r="V132" s="390"/>
      <c r="W132" s="392"/>
      <c r="X132" s="4"/>
      <c r="Y132" s="348">
        <v>90.0</v>
      </c>
      <c r="Z132" s="349" t="s">
        <v>1072</v>
      </c>
      <c r="AA132" s="350">
        <v>46214.0</v>
      </c>
      <c r="AB132" s="4"/>
      <c r="AC132" s="36"/>
      <c r="AD132" s="36"/>
      <c r="AE132" s="36"/>
      <c r="AF132" s="4"/>
      <c r="AG132" s="380"/>
      <c r="AH132" s="380"/>
      <c r="AI132" s="381"/>
      <c r="AJ132" s="4"/>
      <c r="AK132" s="36"/>
      <c r="AL132" s="36"/>
      <c r="AM132" s="36"/>
      <c r="AN132" s="307"/>
    </row>
    <row r="133">
      <c r="A133" s="371">
        <v>600.0</v>
      </c>
      <c r="B133" s="372">
        <v>0.79375</v>
      </c>
      <c r="C133" s="366">
        <v>46116.0</v>
      </c>
      <c r="D133" s="307"/>
      <c r="E133" s="389"/>
      <c r="F133" s="390"/>
      <c r="G133" s="392"/>
      <c r="H133" s="307"/>
      <c r="I133" s="389"/>
      <c r="J133" s="390"/>
      <c r="K133" s="392"/>
      <c r="L133" s="4"/>
      <c r="M133" s="389"/>
      <c r="N133" s="390"/>
      <c r="O133" s="392"/>
      <c r="P133" s="4"/>
      <c r="Q133" s="389"/>
      <c r="R133" s="390"/>
      <c r="S133" s="392"/>
      <c r="T133" s="4"/>
      <c r="U133" s="389"/>
      <c r="V133" s="390"/>
      <c r="W133" s="392"/>
      <c r="X133" s="4"/>
      <c r="Y133" s="348">
        <v>30.0</v>
      </c>
      <c r="Z133" s="349" t="s">
        <v>1075</v>
      </c>
      <c r="AA133" s="350">
        <v>46216.0</v>
      </c>
      <c r="AB133" s="4"/>
      <c r="AC133" s="36"/>
      <c r="AD133" s="36"/>
      <c r="AE133" s="36"/>
      <c r="AF133" s="4"/>
      <c r="AG133" s="380"/>
      <c r="AH133" s="380"/>
      <c r="AI133" s="381"/>
      <c r="AJ133" s="4"/>
      <c r="AK133" s="36"/>
      <c r="AL133" s="36"/>
      <c r="AM133" s="363"/>
      <c r="AN133" s="307"/>
    </row>
    <row r="134">
      <c r="A134" s="371">
        <v>80.0</v>
      </c>
      <c r="B134" s="372">
        <v>0.8</v>
      </c>
      <c r="C134" s="366">
        <v>46116.0</v>
      </c>
      <c r="D134" s="307"/>
      <c r="E134" s="389"/>
      <c r="F134" s="390"/>
      <c r="G134" s="392"/>
      <c r="H134" s="307"/>
      <c r="I134" s="389"/>
      <c r="J134" s="390"/>
      <c r="K134" s="392"/>
      <c r="L134" s="4"/>
      <c r="M134" s="389"/>
      <c r="N134" s="390"/>
      <c r="O134" s="392"/>
      <c r="P134" s="4"/>
      <c r="Q134" s="389"/>
      <c r="R134" s="390"/>
      <c r="S134" s="392"/>
      <c r="T134" s="4"/>
      <c r="U134" s="389"/>
      <c r="V134" s="390"/>
      <c r="W134" s="392"/>
      <c r="X134" s="4"/>
      <c r="Y134" s="348">
        <v>100.0</v>
      </c>
      <c r="Z134" s="349" t="s">
        <v>1077</v>
      </c>
      <c r="AA134" s="350">
        <v>46217.0</v>
      </c>
      <c r="AB134" s="4"/>
      <c r="AC134" s="36"/>
      <c r="AD134" s="36"/>
      <c r="AE134" s="36"/>
      <c r="AF134" s="4"/>
      <c r="AG134" s="380"/>
      <c r="AH134" s="380"/>
      <c r="AI134" s="381"/>
      <c r="AJ134" s="4"/>
      <c r="AK134" s="36"/>
      <c r="AL134" s="36"/>
      <c r="AM134" s="363"/>
      <c r="AN134" s="307"/>
    </row>
    <row r="135">
      <c r="A135" s="371">
        <v>940.0</v>
      </c>
      <c r="B135" s="372">
        <v>0.8006944444444445</v>
      </c>
      <c r="C135" s="366">
        <v>46116.0</v>
      </c>
      <c r="D135" s="307"/>
      <c r="E135" s="389"/>
      <c r="F135" s="390"/>
      <c r="G135" s="392"/>
      <c r="H135" s="307"/>
      <c r="I135" s="389"/>
      <c r="J135" s="390"/>
      <c r="K135" s="392"/>
      <c r="L135" s="4"/>
      <c r="M135" s="389"/>
      <c r="N135" s="390"/>
      <c r="O135" s="392"/>
      <c r="P135" s="4"/>
      <c r="Q135" s="389"/>
      <c r="R135" s="390"/>
      <c r="S135" s="392"/>
      <c r="T135" s="4"/>
      <c r="U135" s="389"/>
      <c r="V135" s="390"/>
      <c r="W135" s="392"/>
      <c r="X135" s="4"/>
      <c r="Y135" s="348">
        <v>50.0</v>
      </c>
      <c r="Z135" s="349" t="s">
        <v>1078</v>
      </c>
      <c r="AA135" s="350">
        <v>46217.0</v>
      </c>
      <c r="AB135" s="4"/>
      <c r="AC135" s="36"/>
      <c r="AD135" s="36"/>
      <c r="AE135" s="36"/>
      <c r="AF135" s="4"/>
      <c r="AG135" s="380"/>
      <c r="AH135" s="380"/>
      <c r="AI135" s="381"/>
      <c r="AJ135" s="4"/>
      <c r="AK135" s="36"/>
      <c r="AL135" s="36"/>
      <c r="AM135" s="36"/>
      <c r="AN135" s="307"/>
    </row>
    <row r="136">
      <c r="A136" s="371">
        <v>40.0</v>
      </c>
      <c r="B136" s="372">
        <v>0.8020833333333334</v>
      </c>
      <c r="C136" s="366">
        <v>46116.0</v>
      </c>
      <c r="D136" s="307"/>
      <c r="E136" s="389"/>
      <c r="F136" s="390"/>
      <c r="G136" s="392"/>
      <c r="H136" s="307"/>
      <c r="I136" s="389"/>
      <c r="J136" s="390"/>
      <c r="K136" s="392"/>
      <c r="L136" s="4"/>
      <c r="M136" s="389"/>
      <c r="N136" s="390"/>
      <c r="O136" s="392"/>
      <c r="P136" s="4"/>
      <c r="Q136" s="389"/>
      <c r="R136" s="390"/>
      <c r="S136" s="392"/>
      <c r="T136" s="4"/>
      <c r="U136" s="389"/>
      <c r="V136" s="390"/>
      <c r="W136" s="392"/>
      <c r="X136" s="4"/>
      <c r="Y136" s="348">
        <v>125.0</v>
      </c>
      <c r="Z136" s="349" t="s">
        <v>1081</v>
      </c>
      <c r="AA136" s="350">
        <v>46221.0</v>
      </c>
      <c r="AB136" s="4"/>
      <c r="AC136" s="36"/>
      <c r="AD136" s="36"/>
      <c r="AE136" s="36"/>
      <c r="AF136" s="4"/>
      <c r="AG136" s="380"/>
      <c r="AH136" s="380"/>
      <c r="AI136" s="381"/>
      <c r="AJ136" s="4"/>
      <c r="AK136" s="36"/>
      <c r="AL136" s="36"/>
      <c r="AM136" s="363"/>
      <c r="AN136" s="307"/>
    </row>
    <row r="137">
      <c r="A137" s="371">
        <v>400.0</v>
      </c>
      <c r="B137" s="372">
        <v>0.8034722222222223</v>
      </c>
      <c r="C137" s="366">
        <v>46116.0</v>
      </c>
      <c r="D137" s="307"/>
      <c r="E137" s="389"/>
      <c r="F137" s="390"/>
      <c r="G137" s="392"/>
      <c r="H137" s="307"/>
      <c r="I137" s="389"/>
      <c r="J137" s="390"/>
      <c r="K137" s="392"/>
      <c r="L137" s="4"/>
      <c r="M137" s="389"/>
      <c r="N137" s="390"/>
      <c r="O137" s="392"/>
      <c r="P137" s="4"/>
      <c r="Q137" s="389"/>
      <c r="R137" s="390"/>
      <c r="S137" s="392"/>
      <c r="T137" s="4"/>
      <c r="U137" s="389"/>
      <c r="V137" s="390"/>
      <c r="W137" s="392"/>
      <c r="X137" s="4"/>
      <c r="Y137" s="348">
        <v>500.0</v>
      </c>
      <c r="Z137" s="349" t="s">
        <v>122</v>
      </c>
      <c r="AA137" s="350">
        <v>46214.0</v>
      </c>
      <c r="AB137" s="4"/>
      <c r="AC137" s="36"/>
      <c r="AD137" s="36"/>
      <c r="AE137" s="36"/>
      <c r="AF137" s="4"/>
      <c r="AG137" s="380"/>
      <c r="AH137" s="380"/>
      <c r="AI137" s="381"/>
      <c r="AJ137" s="4"/>
      <c r="AK137" s="36"/>
      <c r="AL137" s="36"/>
      <c r="AM137" s="363"/>
      <c r="AN137" s="307"/>
    </row>
    <row r="138">
      <c r="A138" s="371">
        <v>80.0</v>
      </c>
      <c r="B138" s="372">
        <v>0.8090277777777778</v>
      </c>
      <c r="C138" s="366">
        <v>46116.0</v>
      </c>
      <c r="D138" s="307"/>
      <c r="E138" s="389"/>
      <c r="F138" s="390"/>
      <c r="G138" s="392"/>
      <c r="H138" s="307"/>
      <c r="I138" s="389"/>
      <c r="J138" s="390"/>
      <c r="K138" s="392"/>
      <c r="L138" s="4"/>
      <c r="M138" s="389"/>
      <c r="N138" s="390"/>
      <c r="O138" s="392"/>
      <c r="P138" s="4"/>
      <c r="Q138" s="389"/>
      <c r="R138" s="390"/>
      <c r="S138" s="392"/>
      <c r="T138" s="4"/>
      <c r="U138" s="389"/>
      <c r="V138" s="390"/>
      <c r="W138" s="392"/>
      <c r="X138" s="4"/>
      <c r="Y138" s="348">
        <v>75.0</v>
      </c>
      <c r="Z138" s="349" t="s">
        <v>1087</v>
      </c>
      <c r="AA138" s="350">
        <v>46214.0</v>
      </c>
      <c r="AB138" s="4"/>
      <c r="AC138" s="36"/>
      <c r="AD138" s="36"/>
      <c r="AE138" s="36"/>
      <c r="AF138" s="4"/>
      <c r="AG138" s="380"/>
      <c r="AH138" s="380"/>
      <c r="AI138" s="381"/>
      <c r="AJ138" s="4"/>
      <c r="AK138" s="36"/>
      <c r="AL138" s="36"/>
      <c r="AM138" s="36"/>
      <c r="AN138" s="307"/>
    </row>
    <row r="139">
      <c r="A139" s="371">
        <v>160.0</v>
      </c>
      <c r="B139" s="372">
        <v>0.8104166666666667</v>
      </c>
      <c r="C139" s="366">
        <v>46116.0</v>
      </c>
      <c r="D139" s="307"/>
      <c r="E139" s="389"/>
      <c r="F139" s="390"/>
      <c r="G139" s="392"/>
      <c r="H139" s="307"/>
      <c r="I139" s="389"/>
      <c r="J139" s="390"/>
      <c r="K139" s="392"/>
      <c r="L139" s="4"/>
      <c r="M139" s="389"/>
      <c r="N139" s="390"/>
      <c r="O139" s="392"/>
      <c r="P139" s="4"/>
      <c r="Q139" s="389"/>
      <c r="R139" s="390"/>
      <c r="S139" s="392"/>
      <c r="T139" s="4"/>
      <c r="U139" s="389"/>
      <c r="V139" s="390"/>
      <c r="W139" s="392"/>
      <c r="X139" s="4"/>
      <c r="Y139" s="348">
        <v>3840.0</v>
      </c>
      <c r="Z139" s="349" t="s">
        <v>187</v>
      </c>
      <c r="AA139" s="350">
        <v>46214.0</v>
      </c>
      <c r="AB139" s="4"/>
      <c r="AC139" s="36"/>
      <c r="AD139" s="36"/>
      <c r="AE139" s="36"/>
      <c r="AF139" s="4"/>
      <c r="AG139" s="380"/>
      <c r="AH139" s="380"/>
      <c r="AI139" s="381"/>
      <c r="AJ139" s="4"/>
      <c r="AK139" s="36"/>
      <c r="AL139" s="36"/>
      <c r="AM139" s="363"/>
      <c r="AN139" s="307"/>
    </row>
    <row r="140">
      <c r="A140" s="371">
        <v>300.0</v>
      </c>
      <c r="B140" s="372">
        <v>1.0395833333333333</v>
      </c>
      <c r="C140" s="366">
        <v>46117.0</v>
      </c>
      <c r="D140" s="307"/>
      <c r="E140" s="389"/>
      <c r="F140" s="390"/>
      <c r="G140" s="392"/>
      <c r="H140" s="307"/>
      <c r="I140" s="389"/>
      <c r="J140" s="390"/>
      <c r="K140" s="392"/>
      <c r="L140" s="4"/>
      <c r="M140" s="389"/>
      <c r="N140" s="390"/>
      <c r="O140" s="392"/>
      <c r="P140" s="4"/>
      <c r="Q140" s="389"/>
      <c r="R140" s="390"/>
      <c r="S140" s="392"/>
      <c r="T140" s="4"/>
      <c r="U140" s="389"/>
      <c r="V140" s="390"/>
      <c r="W140" s="392"/>
      <c r="X140" s="4"/>
      <c r="Y140" s="348">
        <v>200.0</v>
      </c>
      <c r="Z140" s="349" t="s">
        <v>153</v>
      </c>
      <c r="AA140" s="350">
        <v>46215.0</v>
      </c>
      <c r="AB140" s="4"/>
      <c r="AC140" s="36"/>
      <c r="AD140" s="36"/>
      <c r="AE140" s="36"/>
      <c r="AF140" s="4"/>
      <c r="AG140" s="380"/>
      <c r="AH140" s="380"/>
      <c r="AI140" s="381"/>
      <c r="AJ140" s="4"/>
      <c r="AK140" s="36"/>
      <c r="AL140" s="36"/>
      <c r="AM140" s="363"/>
      <c r="AN140" s="307"/>
    </row>
    <row r="141">
      <c r="A141" s="371">
        <v>120.0</v>
      </c>
      <c r="B141" s="372">
        <v>0.04861111111111111</v>
      </c>
      <c r="C141" s="366">
        <v>46117.0</v>
      </c>
      <c r="D141" s="307"/>
      <c r="E141" s="389"/>
      <c r="F141" s="390"/>
      <c r="G141" s="392"/>
      <c r="H141" s="307"/>
      <c r="I141" s="389"/>
      <c r="J141" s="390"/>
      <c r="K141" s="392"/>
      <c r="L141" s="4"/>
      <c r="M141" s="389"/>
      <c r="N141" s="390"/>
      <c r="O141" s="392"/>
      <c r="P141" s="4"/>
      <c r="Q141" s="389"/>
      <c r="R141" s="390"/>
      <c r="S141" s="392"/>
      <c r="T141" s="4"/>
      <c r="U141" s="389"/>
      <c r="V141" s="390"/>
      <c r="W141" s="392"/>
      <c r="X141" s="4"/>
      <c r="Y141" s="348">
        <v>276.0</v>
      </c>
      <c r="Z141" s="349" t="s">
        <v>1092</v>
      </c>
      <c r="AA141" s="350">
        <v>46216.0</v>
      </c>
      <c r="AB141" s="4"/>
      <c r="AC141" s="36"/>
      <c r="AD141" s="36"/>
      <c r="AE141" s="36"/>
      <c r="AF141" s="4"/>
      <c r="AG141" s="380"/>
      <c r="AH141" s="380"/>
      <c r="AI141" s="381"/>
      <c r="AJ141" s="4"/>
      <c r="AK141" s="36"/>
      <c r="AL141" s="36"/>
      <c r="AM141" s="36"/>
      <c r="AN141" s="307"/>
    </row>
    <row r="142">
      <c r="A142" s="371">
        <v>240.0</v>
      </c>
      <c r="B142" s="372">
        <v>0.7701388888888889</v>
      </c>
      <c r="C142" s="366">
        <v>46117.0</v>
      </c>
      <c r="D142" s="307"/>
      <c r="E142" s="389"/>
      <c r="F142" s="390"/>
      <c r="G142" s="392"/>
      <c r="H142" s="307"/>
      <c r="I142" s="389"/>
      <c r="J142" s="390"/>
      <c r="K142" s="392"/>
      <c r="L142" s="4"/>
      <c r="M142" s="389"/>
      <c r="N142" s="390"/>
      <c r="O142" s="392"/>
      <c r="P142" s="4"/>
      <c r="Q142" s="389"/>
      <c r="R142" s="390"/>
      <c r="S142" s="392"/>
      <c r="T142" s="4"/>
      <c r="U142" s="389"/>
      <c r="V142" s="390"/>
      <c r="W142" s="392"/>
      <c r="X142" s="4"/>
      <c r="Y142" s="348">
        <v>1980.0</v>
      </c>
      <c r="Z142" s="349" t="s">
        <v>190</v>
      </c>
      <c r="AA142" s="350">
        <v>46216.0</v>
      </c>
      <c r="AB142" s="4"/>
      <c r="AC142" s="36"/>
      <c r="AD142" s="36"/>
      <c r="AE142" s="36"/>
      <c r="AF142" s="4"/>
      <c r="AG142" s="380"/>
      <c r="AH142" s="380"/>
      <c r="AI142" s="381"/>
      <c r="AJ142" s="4"/>
      <c r="AK142" s="36"/>
      <c r="AL142" s="36"/>
      <c r="AM142" s="363"/>
      <c r="AN142" s="307"/>
    </row>
    <row r="143">
      <c r="A143" s="371">
        <v>160.0</v>
      </c>
      <c r="B143" s="372">
        <v>0.7708333333333334</v>
      </c>
      <c r="C143" s="366">
        <v>46117.0</v>
      </c>
      <c r="D143" s="307"/>
      <c r="E143" s="389"/>
      <c r="F143" s="390"/>
      <c r="G143" s="392"/>
      <c r="H143" s="307"/>
      <c r="I143" s="389"/>
      <c r="J143" s="390"/>
      <c r="K143" s="392"/>
      <c r="L143" s="4"/>
      <c r="M143" s="389"/>
      <c r="N143" s="390"/>
      <c r="O143" s="392"/>
      <c r="P143" s="4"/>
      <c r="Q143" s="389"/>
      <c r="R143" s="390"/>
      <c r="S143" s="392"/>
      <c r="T143" s="4"/>
      <c r="U143" s="389"/>
      <c r="V143" s="390"/>
      <c r="W143" s="392"/>
      <c r="X143" s="4"/>
      <c r="Y143" s="348">
        <v>120.0</v>
      </c>
      <c r="Z143" s="349" t="s">
        <v>153</v>
      </c>
      <c r="AA143" s="350">
        <v>46216.0</v>
      </c>
      <c r="AB143" s="4"/>
      <c r="AC143" s="36"/>
      <c r="AD143" s="36"/>
      <c r="AE143" s="36"/>
      <c r="AF143" s="4"/>
      <c r="AG143" s="380"/>
      <c r="AH143" s="380"/>
      <c r="AI143" s="381"/>
      <c r="AJ143" s="4"/>
      <c r="AK143" s="36"/>
      <c r="AL143" s="36"/>
      <c r="AM143" s="363"/>
      <c r="AN143" s="307"/>
    </row>
    <row r="144">
      <c r="A144" s="371">
        <v>200.0</v>
      </c>
      <c r="B144" s="372">
        <v>0.7798611111111111</v>
      </c>
      <c r="C144" s="366">
        <v>46117.0</v>
      </c>
      <c r="D144" s="307"/>
      <c r="E144" s="389"/>
      <c r="F144" s="390"/>
      <c r="G144" s="392"/>
      <c r="H144" s="307"/>
      <c r="I144" s="389"/>
      <c r="J144" s="390"/>
      <c r="K144" s="392"/>
      <c r="L144" s="4"/>
      <c r="M144" s="389"/>
      <c r="N144" s="390"/>
      <c r="O144" s="392"/>
      <c r="P144" s="4"/>
      <c r="Q144" s="389"/>
      <c r="R144" s="390"/>
      <c r="S144" s="392"/>
      <c r="T144" s="4"/>
      <c r="U144" s="389"/>
      <c r="V144" s="390"/>
      <c r="W144" s="392"/>
      <c r="X144" s="4"/>
      <c r="Y144" s="348">
        <v>30.0</v>
      </c>
      <c r="Z144" s="349" t="s">
        <v>168</v>
      </c>
      <c r="AA144" s="350">
        <v>46216.0</v>
      </c>
      <c r="AB144" s="4"/>
      <c r="AC144" s="36"/>
      <c r="AD144" s="36"/>
      <c r="AE144" s="36"/>
      <c r="AF144" s="4"/>
      <c r="AG144" s="380"/>
      <c r="AH144" s="380"/>
      <c r="AI144" s="381"/>
      <c r="AJ144" s="4"/>
      <c r="AK144" s="36"/>
      <c r="AL144" s="36"/>
      <c r="AM144" s="36"/>
      <c r="AN144" s="307"/>
    </row>
    <row r="145">
      <c r="A145" s="371">
        <v>500.0</v>
      </c>
      <c r="B145" s="372">
        <v>0.7798611111111111</v>
      </c>
      <c r="C145" s="366">
        <v>46117.0</v>
      </c>
      <c r="D145" s="307"/>
      <c r="E145" s="389"/>
      <c r="F145" s="390"/>
      <c r="G145" s="392"/>
      <c r="H145" s="307"/>
      <c r="I145" s="389"/>
      <c r="J145" s="390"/>
      <c r="K145" s="392"/>
      <c r="L145" s="4"/>
      <c r="M145" s="389"/>
      <c r="N145" s="390"/>
      <c r="O145" s="392"/>
      <c r="P145" s="4"/>
      <c r="Q145" s="389"/>
      <c r="R145" s="390"/>
      <c r="S145" s="392"/>
      <c r="T145" s="4"/>
      <c r="U145" s="389"/>
      <c r="V145" s="390"/>
      <c r="W145" s="392"/>
      <c r="X145" s="4"/>
      <c r="Y145" s="348">
        <v>30.0</v>
      </c>
      <c r="Z145" s="349" t="s">
        <v>161</v>
      </c>
      <c r="AA145" s="350">
        <v>46216.0</v>
      </c>
      <c r="AB145" s="4"/>
      <c r="AC145" s="36"/>
      <c r="AD145" s="36"/>
      <c r="AE145" s="36"/>
      <c r="AF145" s="4"/>
      <c r="AG145" s="380"/>
      <c r="AH145" s="380"/>
      <c r="AI145" s="381"/>
      <c r="AJ145" s="4"/>
      <c r="AK145" s="36"/>
      <c r="AL145" s="36"/>
      <c r="AM145" s="363"/>
      <c r="AN145" s="307"/>
    </row>
    <row r="146">
      <c r="A146" s="371">
        <v>320.0</v>
      </c>
      <c r="B146" s="372">
        <v>0.7798611111111111</v>
      </c>
      <c r="C146" s="366">
        <v>46117.0</v>
      </c>
      <c r="D146" s="307"/>
      <c r="E146" s="389"/>
      <c r="F146" s="390"/>
      <c r="G146" s="392"/>
      <c r="H146" s="307"/>
      <c r="I146" s="389"/>
      <c r="J146" s="390"/>
      <c r="K146" s="392"/>
      <c r="L146" s="4"/>
      <c r="M146" s="389"/>
      <c r="N146" s="390"/>
      <c r="O146" s="392"/>
      <c r="P146" s="4"/>
      <c r="Q146" s="389"/>
      <c r="R146" s="390"/>
      <c r="S146" s="392"/>
      <c r="T146" s="4"/>
      <c r="U146" s="389"/>
      <c r="V146" s="390"/>
      <c r="W146" s="392"/>
      <c r="X146" s="4"/>
      <c r="Y146" s="348">
        <v>100.0</v>
      </c>
      <c r="Z146" s="349" t="s">
        <v>1052</v>
      </c>
      <c r="AA146" s="350">
        <v>46216.0</v>
      </c>
      <c r="AB146" s="4"/>
      <c r="AC146" s="36"/>
      <c r="AD146" s="36"/>
      <c r="AE146" s="36"/>
      <c r="AF146" s="4"/>
      <c r="AG146" s="380"/>
      <c r="AH146" s="380"/>
      <c r="AI146" s="381"/>
      <c r="AJ146" s="4"/>
      <c r="AK146" s="36"/>
      <c r="AL146" s="36"/>
      <c r="AM146" s="363"/>
      <c r="AN146" s="307"/>
    </row>
    <row r="147">
      <c r="A147" s="371">
        <v>400.0</v>
      </c>
      <c r="B147" s="372">
        <v>0.7805555555555556</v>
      </c>
      <c r="C147" s="366">
        <v>46117.0</v>
      </c>
      <c r="D147" s="307"/>
      <c r="E147" s="389"/>
      <c r="F147" s="390"/>
      <c r="G147" s="392"/>
      <c r="H147" s="307"/>
      <c r="I147" s="389"/>
      <c r="J147" s="390"/>
      <c r="K147" s="392"/>
      <c r="L147" s="4"/>
      <c r="M147" s="389"/>
      <c r="N147" s="390"/>
      <c r="O147" s="392"/>
      <c r="P147" s="4"/>
      <c r="Q147" s="389"/>
      <c r="R147" s="390"/>
      <c r="S147" s="392"/>
      <c r="T147" s="4"/>
      <c r="U147" s="389"/>
      <c r="V147" s="390"/>
      <c r="W147" s="392"/>
      <c r="X147" s="4"/>
      <c r="Y147" s="348">
        <v>50.0</v>
      </c>
      <c r="Z147" s="349" t="s">
        <v>122</v>
      </c>
      <c r="AA147" s="350">
        <v>46216.0</v>
      </c>
      <c r="AB147" s="4"/>
      <c r="AC147" s="36"/>
      <c r="AD147" s="36"/>
      <c r="AE147" s="36"/>
      <c r="AF147" s="4"/>
      <c r="AG147" s="380"/>
      <c r="AH147" s="380"/>
      <c r="AI147" s="381"/>
      <c r="AJ147" s="4"/>
      <c r="AK147" s="36"/>
      <c r="AL147" s="36"/>
      <c r="AM147" s="36"/>
      <c r="AN147" s="307"/>
    </row>
    <row r="148">
      <c r="A148" s="371">
        <v>200.0</v>
      </c>
      <c r="B148" s="372">
        <v>0.7805555555555556</v>
      </c>
      <c r="C148" s="366">
        <v>46117.0</v>
      </c>
      <c r="D148" s="307"/>
      <c r="E148" s="389"/>
      <c r="F148" s="390"/>
      <c r="G148" s="392"/>
      <c r="H148" s="307"/>
      <c r="I148" s="389"/>
      <c r="J148" s="390"/>
      <c r="K148" s="392"/>
      <c r="L148" s="4"/>
      <c r="M148" s="389"/>
      <c r="N148" s="390"/>
      <c r="O148" s="392"/>
      <c r="P148" s="4"/>
      <c r="Q148" s="389"/>
      <c r="R148" s="390"/>
      <c r="S148" s="392"/>
      <c r="T148" s="4"/>
      <c r="U148" s="389"/>
      <c r="V148" s="390"/>
      <c r="W148" s="392"/>
      <c r="X148" s="4"/>
      <c r="Y148" s="348">
        <v>68.0</v>
      </c>
      <c r="Z148" s="349" t="s">
        <v>173</v>
      </c>
      <c r="AA148" s="350">
        <v>46216.0</v>
      </c>
      <c r="AB148" s="4"/>
      <c r="AC148" s="36"/>
      <c r="AD148" s="36"/>
      <c r="AE148" s="36"/>
      <c r="AF148" s="4"/>
      <c r="AG148" s="380"/>
      <c r="AH148" s="380"/>
      <c r="AI148" s="381"/>
      <c r="AJ148" s="4"/>
      <c r="AK148" s="36"/>
      <c r="AL148" s="36"/>
      <c r="AM148" s="363"/>
      <c r="AN148" s="307"/>
    </row>
    <row r="149">
      <c r="A149" s="371">
        <v>400.0</v>
      </c>
      <c r="B149" s="372">
        <v>0.9055555555555556</v>
      </c>
      <c r="C149" s="366">
        <v>46117.0</v>
      </c>
      <c r="D149" s="307"/>
      <c r="E149" s="389"/>
      <c r="F149" s="390"/>
      <c r="G149" s="392"/>
      <c r="H149" s="307"/>
      <c r="I149" s="389"/>
      <c r="J149" s="390"/>
      <c r="K149" s="392"/>
      <c r="L149" s="4"/>
      <c r="M149" s="389"/>
      <c r="N149" s="390"/>
      <c r="O149" s="392"/>
      <c r="P149" s="4"/>
      <c r="Q149" s="389"/>
      <c r="R149" s="390"/>
      <c r="S149" s="392"/>
      <c r="T149" s="4"/>
      <c r="U149" s="389"/>
      <c r="V149" s="390"/>
      <c r="W149" s="392"/>
      <c r="X149" s="4"/>
      <c r="Y149" s="348">
        <v>250.0</v>
      </c>
      <c r="Z149" s="349" t="s">
        <v>122</v>
      </c>
      <c r="AA149" s="350">
        <v>46217.0</v>
      </c>
      <c r="AB149" s="4"/>
      <c r="AC149" s="36"/>
      <c r="AD149" s="36"/>
      <c r="AE149" s="36"/>
      <c r="AF149" s="4"/>
      <c r="AG149" s="380"/>
      <c r="AH149" s="380"/>
      <c r="AI149" s="381"/>
      <c r="AJ149" s="4"/>
      <c r="AK149" s="36"/>
      <c r="AL149" s="36"/>
      <c r="AM149" s="363"/>
      <c r="AN149" s="307"/>
    </row>
    <row r="150">
      <c r="A150" s="371">
        <v>340.0</v>
      </c>
      <c r="B150" s="372">
        <v>0.90625</v>
      </c>
      <c r="C150" s="366">
        <v>46117.0</v>
      </c>
      <c r="D150" s="307"/>
      <c r="E150" s="389"/>
      <c r="F150" s="390"/>
      <c r="G150" s="392"/>
      <c r="H150" s="307"/>
      <c r="I150" s="389"/>
      <c r="J150" s="390"/>
      <c r="K150" s="392"/>
      <c r="L150" s="4"/>
      <c r="M150" s="389"/>
      <c r="N150" s="390"/>
      <c r="O150" s="392"/>
      <c r="P150" s="4"/>
      <c r="Q150" s="389"/>
      <c r="R150" s="390"/>
      <c r="S150" s="392"/>
      <c r="T150" s="4"/>
      <c r="U150" s="389"/>
      <c r="V150" s="390"/>
      <c r="W150" s="392"/>
      <c r="X150" s="4"/>
      <c r="Y150" s="348">
        <v>300.0</v>
      </c>
      <c r="Z150" s="349" t="s">
        <v>168</v>
      </c>
      <c r="AA150" s="350">
        <v>46217.0</v>
      </c>
      <c r="AB150" s="4"/>
      <c r="AC150" s="36"/>
      <c r="AD150" s="36"/>
      <c r="AE150" s="36"/>
      <c r="AF150" s="4"/>
      <c r="AG150" s="380"/>
      <c r="AH150" s="380"/>
      <c r="AI150" s="381"/>
      <c r="AJ150" s="4"/>
      <c r="AK150" s="36"/>
      <c r="AL150" s="36"/>
      <c r="AM150" s="36"/>
      <c r="AN150" s="307"/>
    </row>
    <row r="151">
      <c r="A151" s="371">
        <v>80.0</v>
      </c>
      <c r="B151" s="372">
        <v>0.9076388888888889</v>
      </c>
      <c r="C151" s="366">
        <v>46117.0</v>
      </c>
      <c r="D151" s="307"/>
      <c r="E151" s="389"/>
      <c r="F151" s="390"/>
      <c r="G151" s="392"/>
      <c r="H151" s="307"/>
      <c r="I151" s="389"/>
      <c r="J151" s="390"/>
      <c r="K151" s="392"/>
      <c r="L151" s="4"/>
      <c r="M151" s="389"/>
      <c r="N151" s="390"/>
      <c r="O151" s="392"/>
      <c r="P151" s="4"/>
      <c r="Q151" s="389"/>
      <c r="R151" s="390"/>
      <c r="S151" s="392"/>
      <c r="T151" s="4"/>
      <c r="U151" s="389"/>
      <c r="V151" s="390"/>
      <c r="W151" s="392"/>
      <c r="X151" s="4"/>
      <c r="Y151" s="348">
        <v>300.0</v>
      </c>
      <c r="Z151" s="349" t="s">
        <v>161</v>
      </c>
      <c r="AA151" s="350">
        <v>46217.0</v>
      </c>
      <c r="AB151" s="4"/>
      <c r="AC151" s="36"/>
      <c r="AD151" s="36"/>
      <c r="AE151" s="36"/>
      <c r="AF151" s="4"/>
      <c r="AG151" s="380"/>
      <c r="AH151" s="380"/>
      <c r="AI151" s="381"/>
      <c r="AJ151" s="4"/>
      <c r="AK151" s="36"/>
      <c r="AL151" s="36"/>
      <c r="AM151" s="363"/>
      <c r="AN151" s="307"/>
    </row>
    <row r="152">
      <c r="A152" s="371">
        <v>864.0</v>
      </c>
      <c r="B152" s="372">
        <v>0.9083333333333333</v>
      </c>
      <c r="C152" s="366">
        <v>46117.0</v>
      </c>
      <c r="D152" s="307"/>
      <c r="E152" s="389"/>
      <c r="F152" s="390"/>
      <c r="G152" s="392"/>
      <c r="H152" s="307"/>
      <c r="I152" s="389"/>
      <c r="J152" s="390"/>
      <c r="K152" s="392"/>
      <c r="L152" s="4"/>
      <c r="M152" s="389"/>
      <c r="N152" s="390"/>
      <c r="O152" s="392"/>
      <c r="P152" s="4"/>
      <c r="Q152" s="389"/>
      <c r="R152" s="390"/>
      <c r="S152" s="392"/>
      <c r="T152" s="4"/>
      <c r="U152" s="389"/>
      <c r="V152" s="390"/>
      <c r="W152" s="392"/>
      <c r="X152" s="4"/>
      <c r="Y152" s="348">
        <v>1800.0</v>
      </c>
      <c r="Z152" s="349" t="s">
        <v>190</v>
      </c>
      <c r="AA152" s="350">
        <v>46217.0</v>
      </c>
      <c r="AB152" s="4"/>
      <c r="AC152" s="36"/>
      <c r="AD152" s="36"/>
      <c r="AE152" s="36"/>
      <c r="AF152" s="4"/>
      <c r="AG152" s="380"/>
      <c r="AH152" s="380"/>
      <c r="AI152" s="381"/>
      <c r="AJ152" s="4"/>
      <c r="AK152" s="36"/>
      <c r="AL152" s="36"/>
      <c r="AM152" s="363"/>
      <c r="AN152" s="307"/>
    </row>
    <row r="153">
      <c r="A153" s="371">
        <v>280.0</v>
      </c>
      <c r="B153" s="372">
        <v>0.53125</v>
      </c>
      <c r="C153" s="366">
        <v>46119.0</v>
      </c>
      <c r="D153" s="307"/>
      <c r="E153" s="389"/>
      <c r="F153" s="390"/>
      <c r="G153" s="392"/>
      <c r="H153" s="307"/>
      <c r="I153" s="389"/>
      <c r="J153" s="390"/>
      <c r="K153" s="392"/>
      <c r="L153" s="4"/>
      <c r="M153" s="389"/>
      <c r="N153" s="390"/>
      <c r="O153" s="392"/>
      <c r="P153" s="4"/>
      <c r="Q153" s="389"/>
      <c r="R153" s="390"/>
      <c r="S153" s="392"/>
      <c r="T153" s="4"/>
      <c r="U153" s="389"/>
      <c r="V153" s="390"/>
      <c r="W153" s="392"/>
      <c r="X153" s="4"/>
      <c r="Y153" s="351">
        <v>1400.0</v>
      </c>
      <c r="Z153" s="349" t="s">
        <v>1109</v>
      </c>
      <c r="AA153" s="370">
        <v>46222.0</v>
      </c>
      <c r="AB153" s="4"/>
      <c r="AC153" s="36"/>
      <c r="AD153" s="36"/>
      <c r="AE153" s="36"/>
      <c r="AF153" s="4"/>
      <c r="AG153" s="380"/>
      <c r="AH153" s="380"/>
      <c r="AI153" s="381"/>
      <c r="AJ153" s="4"/>
      <c r="AK153" s="36"/>
      <c r="AL153" s="36"/>
      <c r="AM153" s="36"/>
      <c r="AN153" s="307"/>
    </row>
    <row r="154">
      <c r="A154" s="371">
        <v>200.0</v>
      </c>
      <c r="B154" s="372">
        <v>0.5652777777777778</v>
      </c>
      <c r="C154" s="366">
        <v>46119.0</v>
      </c>
      <c r="D154" s="307"/>
      <c r="E154" s="389"/>
      <c r="F154" s="390"/>
      <c r="G154" s="392"/>
      <c r="H154" s="307"/>
      <c r="I154" s="389"/>
      <c r="J154" s="390"/>
      <c r="K154" s="392"/>
      <c r="L154" s="4"/>
      <c r="M154" s="389"/>
      <c r="N154" s="390"/>
      <c r="O154" s="392"/>
      <c r="P154" s="4"/>
      <c r="Q154" s="389"/>
      <c r="R154" s="390"/>
      <c r="S154" s="392"/>
      <c r="T154" s="4"/>
      <c r="U154" s="389"/>
      <c r="V154" s="390"/>
      <c r="W154" s="392"/>
      <c r="X154" s="4"/>
      <c r="Y154" s="351">
        <v>250.0</v>
      </c>
      <c r="Z154" s="349" t="s">
        <v>1112</v>
      </c>
      <c r="AA154" s="370">
        <v>46222.0</v>
      </c>
      <c r="AB154" s="4"/>
      <c r="AC154" s="36"/>
      <c r="AD154" s="36"/>
      <c r="AE154" s="36"/>
      <c r="AF154" s="4"/>
      <c r="AG154" s="380"/>
      <c r="AH154" s="380"/>
      <c r="AI154" s="381"/>
      <c r="AJ154" s="4"/>
      <c r="AK154" s="36"/>
      <c r="AL154" s="36"/>
      <c r="AM154" s="363"/>
      <c r="AN154" s="307"/>
    </row>
    <row r="155">
      <c r="A155" s="371">
        <v>260.0</v>
      </c>
      <c r="B155" s="372">
        <v>0.5673611111111111</v>
      </c>
      <c r="C155" s="366">
        <v>46119.0</v>
      </c>
      <c r="D155" s="307"/>
      <c r="E155" s="389"/>
      <c r="F155" s="390"/>
      <c r="G155" s="392"/>
      <c r="H155" s="307"/>
      <c r="I155" s="389"/>
      <c r="J155" s="390"/>
      <c r="K155" s="392"/>
      <c r="L155" s="4"/>
      <c r="M155" s="389"/>
      <c r="N155" s="390"/>
      <c r="O155" s="392"/>
      <c r="P155" s="4"/>
      <c r="Q155" s="389"/>
      <c r="R155" s="390"/>
      <c r="S155" s="392"/>
      <c r="T155" s="4"/>
      <c r="U155" s="389"/>
      <c r="V155" s="390"/>
      <c r="W155" s="392"/>
      <c r="X155" s="4"/>
      <c r="Y155" s="351">
        <v>60.0</v>
      </c>
      <c r="Z155" s="349" t="s">
        <v>1114</v>
      </c>
      <c r="AA155" s="370">
        <v>46223.0</v>
      </c>
      <c r="AB155" s="4"/>
      <c r="AC155" s="36"/>
      <c r="AD155" s="36"/>
      <c r="AE155" s="36"/>
      <c r="AF155" s="4"/>
      <c r="AG155" s="380"/>
      <c r="AH155" s="380"/>
      <c r="AI155" s="381"/>
      <c r="AJ155" s="4"/>
      <c r="AK155" s="36"/>
      <c r="AL155" s="36"/>
      <c r="AM155" s="363"/>
      <c r="AN155" s="307"/>
    </row>
    <row r="156">
      <c r="A156" s="371">
        <v>500.0</v>
      </c>
      <c r="B156" s="372">
        <v>0.56875</v>
      </c>
      <c r="C156" s="366">
        <v>46119.0</v>
      </c>
      <c r="D156" s="307"/>
      <c r="E156" s="389"/>
      <c r="F156" s="390"/>
      <c r="G156" s="392"/>
      <c r="H156" s="307"/>
      <c r="I156" s="389"/>
      <c r="J156" s="390"/>
      <c r="K156" s="392"/>
      <c r="L156" s="4"/>
      <c r="M156" s="389"/>
      <c r="N156" s="390"/>
      <c r="O156" s="392"/>
      <c r="P156" s="4"/>
      <c r="Q156" s="389"/>
      <c r="R156" s="390"/>
      <c r="S156" s="392"/>
      <c r="T156" s="4"/>
      <c r="U156" s="389"/>
      <c r="V156" s="390"/>
      <c r="W156" s="392"/>
      <c r="X156" s="4"/>
      <c r="Y156" s="351">
        <v>840.0</v>
      </c>
      <c r="Z156" s="349" t="s">
        <v>1116</v>
      </c>
      <c r="AA156" s="370">
        <v>46223.0</v>
      </c>
      <c r="AB156" s="4"/>
      <c r="AC156" s="36"/>
      <c r="AD156" s="36"/>
      <c r="AE156" s="36"/>
      <c r="AF156" s="4"/>
      <c r="AG156" s="380"/>
      <c r="AH156" s="380"/>
      <c r="AI156" s="381"/>
      <c r="AJ156" s="4"/>
      <c r="AK156" s="36"/>
      <c r="AL156" s="36"/>
      <c r="AM156" s="36"/>
      <c r="AN156" s="307"/>
    </row>
    <row r="157">
      <c r="A157" s="371">
        <v>120.0</v>
      </c>
      <c r="B157" s="372">
        <v>0.5694444444444444</v>
      </c>
      <c r="C157" s="366">
        <v>46119.0</v>
      </c>
      <c r="D157" s="307"/>
      <c r="E157" s="389"/>
      <c r="F157" s="390"/>
      <c r="G157" s="392"/>
      <c r="H157" s="307"/>
      <c r="I157" s="389"/>
      <c r="J157" s="390"/>
      <c r="K157" s="392"/>
      <c r="L157" s="4"/>
      <c r="M157" s="389"/>
      <c r="N157" s="390"/>
      <c r="O157" s="392"/>
      <c r="P157" s="4"/>
      <c r="Q157" s="389"/>
      <c r="R157" s="390"/>
      <c r="S157" s="392"/>
      <c r="T157" s="4"/>
      <c r="U157" s="389"/>
      <c r="V157" s="390"/>
      <c r="W157" s="392"/>
      <c r="X157" s="4"/>
      <c r="Y157" s="351">
        <v>150.0</v>
      </c>
      <c r="Z157" s="349" t="s">
        <v>1112</v>
      </c>
      <c r="AA157" s="370">
        <v>46223.0</v>
      </c>
      <c r="AB157" s="4"/>
      <c r="AC157" s="36"/>
      <c r="AD157" s="36"/>
      <c r="AE157" s="36"/>
      <c r="AF157" s="4"/>
      <c r="AG157" s="380"/>
      <c r="AH157" s="380"/>
      <c r="AI157" s="381"/>
      <c r="AJ157" s="4"/>
      <c r="AK157" s="36"/>
      <c r="AL157" s="36"/>
      <c r="AM157" s="363"/>
      <c r="AN157" s="307"/>
    </row>
    <row r="158">
      <c r="A158" s="371">
        <v>160.0</v>
      </c>
      <c r="B158" s="372">
        <v>0.58125</v>
      </c>
      <c r="C158" s="366">
        <v>46119.0</v>
      </c>
      <c r="D158" s="307"/>
      <c r="E158" s="389"/>
      <c r="F158" s="390"/>
      <c r="G158" s="392"/>
      <c r="H158" s="307"/>
      <c r="I158" s="389"/>
      <c r="J158" s="390"/>
      <c r="K158" s="392"/>
      <c r="L158" s="4"/>
      <c r="M158" s="389"/>
      <c r="N158" s="390"/>
      <c r="O158" s="392"/>
      <c r="P158" s="4"/>
      <c r="Q158" s="389"/>
      <c r="R158" s="390"/>
      <c r="S158" s="392"/>
      <c r="T158" s="4"/>
      <c r="U158" s="389"/>
      <c r="V158" s="390"/>
      <c r="W158" s="392"/>
      <c r="X158" s="4"/>
      <c r="Y158" s="351">
        <v>120.0</v>
      </c>
      <c r="Z158" s="349" t="s">
        <v>1121</v>
      </c>
      <c r="AA158" s="370">
        <v>46223.0</v>
      </c>
      <c r="AB158" s="4"/>
      <c r="AC158" s="36"/>
      <c r="AD158" s="36"/>
      <c r="AE158" s="36"/>
      <c r="AF158" s="4"/>
      <c r="AG158" s="380"/>
      <c r="AH158" s="380"/>
      <c r="AI158" s="381"/>
      <c r="AJ158" s="4"/>
      <c r="AK158" s="36"/>
      <c r="AL158" s="36"/>
      <c r="AM158" s="363"/>
      <c r="AN158" s="307"/>
    </row>
    <row r="159">
      <c r="A159" s="371">
        <v>240.0</v>
      </c>
      <c r="B159" s="372">
        <v>0.6604166666666667</v>
      </c>
      <c r="C159" s="366">
        <v>46119.0</v>
      </c>
      <c r="D159" s="307"/>
      <c r="E159" s="389"/>
      <c r="F159" s="390"/>
      <c r="G159" s="392"/>
      <c r="H159" s="307"/>
      <c r="I159" s="389"/>
      <c r="J159" s="390"/>
      <c r="K159" s="392"/>
      <c r="L159" s="4"/>
      <c r="M159" s="389"/>
      <c r="N159" s="390"/>
      <c r="O159" s="392"/>
      <c r="P159" s="4"/>
      <c r="Q159" s="389"/>
      <c r="R159" s="390"/>
      <c r="S159" s="392"/>
      <c r="T159" s="4"/>
      <c r="U159" s="389"/>
      <c r="V159" s="390"/>
      <c r="W159" s="392"/>
      <c r="X159" s="4"/>
      <c r="Y159" s="348">
        <v>300.0</v>
      </c>
      <c r="Z159" s="349" t="s">
        <v>1123</v>
      </c>
      <c r="AA159" s="350">
        <v>46224.0</v>
      </c>
      <c r="AB159" s="4"/>
      <c r="AC159" s="36"/>
      <c r="AD159" s="36"/>
      <c r="AE159" s="36"/>
      <c r="AF159" s="4"/>
      <c r="AG159" s="380"/>
      <c r="AH159" s="380"/>
      <c r="AI159" s="381"/>
      <c r="AJ159" s="4"/>
      <c r="AK159" s="36"/>
      <c r="AL159" s="36"/>
      <c r="AM159" s="36"/>
      <c r="AN159" s="307"/>
    </row>
    <row r="160">
      <c r="A160" s="371">
        <v>400.0</v>
      </c>
      <c r="B160" s="372">
        <v>0.8069444444444445</v>
      </c>
      <c r="C160" s="366">
        <v>46119.0</v>
      </c>
      <c r="D160" s="307"/>
      <c r="E160" s="389"/>
      <c r="F160" s="390"/>
      <c r="G160" s="392"/>
      <c r="H160" s="307"/>
      <c r="I160" s="389"/>
      <c r="J160" s="390"/>
      <c r="K160" s="392"/>
      <c r="L160" s="4"/>
      <c r="M160" s="389"/>
      <c r="N160" s="390"/>
      <c r="O160" s="392"/>
      <c r="P160" s="4"/>
      <c r="Q160" s="389"/>
      <c r="R160" s="390"/>
      <c r="S160" s="392"/>
      <c r="T160" s="4"/>
      <c r="U160" s="389"/>
      <c r="V160" s="390"/>
      <c r="W160" s="392"/>
      <c r="X160" s="4"/>
      <c r="Y160" s="351">
        <v>700.0</v>
      </c>
      <c r="Z160" s="349" t="s">
        <v>1124</v>
      </c>
      <c r="AA160" s="370">
        <v>46225.0</v>
      </c>
      <c r="AB160" s="4"/>
      <c r="AC160" s="36"/>
      <c r="AD160" s="36"/>
      <c r="AE160" s="36"/>
      <c r="AF160" s="4"/>
      <c r="AG160" s="380"/>
      <c r="AH160" s="380"/>
      <c r="AI160" s="381"/>
      <c r="AJ160" s="4"/>
      <c r="AK160" s="36"/>
      <c r="AL160" s="36"/>
      <c r="AM160" s="363"/>
      <c r="AN160" s="307"/>
    </row>
    <row r="161">
      <c r="A161" s="371">
        <v>160.0</v>
      </c>
      <c r="B161" s="372">
        <v>0.8083333333333333</v>
      </c>
      <c r="C161" s="366">
        <v>46119.0</v>
      </c>
      <c r="D161" s="307"/>
      <c r="E161" s="389"/>
      <c r="F161" s="390"/>
      <c r="G161" s="392"/>
      <c r="H161" s="307"/>
      <c r="I161" s="389"/>
      <c r="J161" s="390"/>
      <c r="K161" s="392"/>
      <c r="L161" s="4"/>
      <c r="M161" s="389"/>
      <c r="N161" s="390"/>
      <c r="O161" s="392"/>
      <c r="P161" s="4"/>
      <c r="Q161" s="389"/>
      <c r="R161" s="390"/>
      <c r="S161" s="392"/>
      <c r="T161" s="4"/>
      <c r="U161" s="389"/>
      <c r="V161" s="390"/>
      <c r="W161" s="392"/>
      <c r="X161" s="4"/>
      <c r="Y161" s="351">
        <v>260.0</v>
      </c>
      <c r="Z161" s="349" t="s">
        <v>1128</v>
      </c>
      <c r="AA161" s="370">
        <v>46225.0</v>
      </c>
      <c r="AB161" s="4"/>
      <c r="AC161" s="36"/>
      <c r="AD161" s="36"/>
      <c r="AE161" s="36"/>
      <c r="AF161" s="4"/>
      <c r="AG161" s="380"/>
      <c r="AH161" s="380"/>
      <c r="AI161" s="381"/>
      <c r="AJ161" s="4"/>
      <c r="AK161" s="36"/>
      <c r="AL161" s="36"/>
      <c r="AM161" s="363"/>
      <c r="AN161" s="307"/>
    </row>
    <row r="162">
      <c r="A162" s="371">
        <v>160.0</v>
      </c>
      <c r="B162" s="372">
        <v>0.8138888888888889</v>
      </c>
      <c r="C162" s="366">
        <v>46119.0</v>
      </c>
      <c r="D162" s="307"/>
      <c r="E162" s="389"/>
      <c r="F162" s="390"/>
      <c r="G162" s="392"/>
      <c r="H162" s="307"/>
      <c r="I162" s="389"/>
      <c r="J162" s="390"/>
      <c r="K162" s="392"/>
      <c r="L162" s="4"/>
      <c r="M162" s="389"/>
      <c r="N162" s="390"/>
      <c r="O162" s="392"/>
      <c r="P162" s="4"/>
      <c r="Q162" s="389"/>
      <c r="R162" s="390"/>
      <c r="S162" s="392"/>
      <c r="T162" s="4"/>
      <c r="U162" s="389"/>
      <c r="V162" s="390"/>
      <c r="W162" s="392"/>
      <c r="X162" s="4"/>
      <c r="Y162" s="351">
        <v>260.0</v>
      </c>
      <c r="Z162" s="349" t="s">
        <v>1130</v>
      </c>
      <c r="AA162" s="370">
        <v>46225.0</v>
      </c>
      <c r="AB162" s="4"/>
      <c r="AC162" s="36"/>
      <c r="AD162" s="36"/>
      <c r="AE162" s="36"/>
      <c r="AF162" s="4"/>
      <c r="AG162" s="380"/>
      <c r="AH162" s="380"/>
      <c r="AI162" s="381"/>
      <c r="AJ162" s="4"/>
      <c r="AK162" s="36"/>
      <c r="AL162" s="36"/>
      <c r="AM162" s="36"/>
      <c r="AN162" s="307"/>
    </row>
    <row r="163">
      <c r="A163" s="371">
        <v>240.0</v>
      </c>
      <c r="B163" s="372">
        <v>0.8229166666666666</v>
      </c>
      <c r="C163" s="366">
        <v>46119.0</v>
      </c>
      <c r="D163" s="307"/>
      <c r="E163" s="389"/>
      <c r="F163" s="390"/>
      <c r="G163" s="392"/>
      <c r="H163" s="307"/>
      <c r="I163" s="389"/>
      <c r="J163" s="390"/>
      <c r="K163" s="392"/>
      <c r="L163" s="4"/>
      <c r="M163" s="389"/>
      <c r="N163" s="390"/>
      <c r="O163" s="392"/>
      <c r="P163" s="4"/>
      <c r="Q163" s="389"/>
      <c r="R163" s="390"/>
      <c r="S163" s="392"/>
      <c r="T163" s="4"/>
      <c r="U163" s="389"/>
      <c r="V163" s="390"/>
      <c r="W163" s="392"/>
      <c r="X163" s="4"/>
      <c r="Y163" s="351">
        <v>150.0</v>
      </c>
      <c r="Z163" s="349" t="s">
        <v>1131</v>
      </c>
      <c r="AA163" s="370">
        <v>46225.0</v>
      </c>
      <c r="AB163" s="4"/>
      <c r="AC163" s="36"/>
      <c r="AD163" s="36"/>
      <c r="AE163" s="36"/>
      <c r="AF163" s="4"/>
      <c r="AG163" s="380"/>
      <c r="AH163" s="380"/>
      <c r="AI163" s="381"/>
      <c r="AJ163" s="4"/>
      <c r="AK163" s="36"/>
      <c r="AL163" s="36"/>
      <c r="AM163" s="363"/>
      <c r="AN163" s="307"/>
    </row>
    <row r="164">
      <c r="A164" s="371">
        <v>360.0</v>
      </c>
      <c r="B164" s="372">
        <v>0.8583333333333333</v>
      </c>
      <c r="C164" s="366">
        <v>46124.0</v>
      </c>
      <c r="D164" s="307"/>
      <c r="E164" s="389"/>
      <c r="F164" s="390"/>
      <c r="G164" s="392"/>
      <c r="H164" s="307"/>
      <c r="I164" s="389"/>
      <c r="J164" s="390"/>
      <c r="K164" s="392"/>
      <c r="L164" s="4"/>
      <c r="M164" s="389"/>
      <c r="N164" s="390"/>
      <c r="O164" s="392"/>
      <c r="P164" s="4"/>
      <c r="Q164" s="389"/>
      <c r="R164" s="390"/>
      <c r="S164" s="392"/>
      <c r="T164" s="4"/>
      <c r="U164" s="389"/>
      <c r="V164" s="390"/>
      <c r="W164" s="392"/>
      <c r="X164" s="4"/>
      <c r="Y164" s="351">
        <v>290.0</v>
      </c>
      <c r="Z164" s="349" t="s">
        <v>1133</v>
      </c>
      <c r="AA164" s="370">
        <v>46226.0</v>
      </c>
      <c r="AB164" s="4"/>
      <c r="AC164" s="36"/>
      <c r="AD164" s="36"/>
      <c r="AE164" s="36"/>
      <c r="AF164" s="4"/>
      <c r="AG164" s="380"/>
      <c r="AH164" s="380"/>
      <c r="AI164" s="381"/>
      <c r="AJ164" s="4"/>
      <c r="AK164" s="36"/>
      <c r="AL164" s="36"/>
      <c r="AM164" s="363"/>
      <c r="AN164" s="307"/>
    </row>
    <row r="165">
      <c r="A165" s="371">
        <v>400.0</v>
      </c>
      <c r="B165" s="372">
        <v>0.9569444444444445</v>
      </c>
      <c r="C165" s="366">
        <v>46124.0</v>
      </c>
      <c r="D165" s="307"/>
      <c r="E165" s="389"/>
      <c r="F165" s="390"/>
      <c r="G165" s="392"/>
      <c r="H165" s="307"/>
      <c r="I165" s="389"/>
      <c r="J165" s="390"/>
      <c r="K165" s="392"/>
      <c r="L165" s="4"/>
      <c r="M165" s="389"/>
      <c r="N165" s="390"/>
      <c r="O165" s="392"/>
      <c r="P165" s="4"/>
      <c r="Q165" s="389"/>
      <c r="R165" s="390"/>
      <c r="S165" s="392"/>
      <c r="T165" s="4"/>
      <c r="U165" s="389"/>
      <c r="V165" s="390"/>
      <c r="W165" s="392"/>
      <c r="X165" s="4"/>
      <c r="Y165" s="351">
        <v>290.0</v>
      </c>
      <c r="Z165" s="349" t="s">
        <v>1135</v>
      </c>
      <c r="AA165" s="370">
        <v>46226.0</v>
      </c>
      <c r="AB165" s="4"/>
      <c r="AC165" s="36"/>
      <c r="AD165" s="36"/>
      <c r="AE165" s="36"/>
      <c r="AF165" s="4"/>
      <c r="AG165" s="380"/>
      <c r="AH165" s="380"/>
      <c r="AI165" s="381"/>
      <c r="AJ165" s="4"/>
      <c r="AK165" s="36"/>
      <c r="AL165" s="36"/>
      <c r="AM165" s="36"/>
      <c r="AN165" s="307"/>
    </row>
    <row r="166">
      <c r="A166" s="371">
        <v>340.0</v>
      </c>
      <c r="B166" s="372">
        <v>0.9722222222222222</v>
      </c>
      <c r="C166" s="366">
        <v>46124.0</v>
      </c>
      <c r="D166" s="307"/>
      <c r="E166" s="389"/>
      <c r="F166" s="390"/>
      <c r="G166" s="392"/>
      <c r="H166" s="307"/>
      <c r="I166" s="389"/>
      <c r="J166" s="390"/>
      <c r="K166" s="392"/>
      <c r="L166" s="4"/>
      <c r="M166" s="389"/>
      <c r="N166" s="390"/>
      <c r="O166" s="392"/>
      <c r="P166" s="4"/>
      <c r="Q166" s="389"/>
      <c r="R166" s="390"/>
      <c r="S166" s="392"/>
      <c r="T166" s="4"/>
      <c r="U166" s="389"/>
      <c r="V166" s="390"/>
      <c r="W166" s="392"/>
      <c r="X166" s="4"/>
      <c r="Y166" s="351">
        <v>290.0</v>
      </c>
      <c r="Z166" s="349" t="s">
        <v>1136</v>
      </c>
      <c r="AA166" s="370">
        <v>46226.0</v>
      </c>
      <c r="AB166" s="4"/>
      <c r="AC166" s="36"/>
      <c r="AD166" s="36"/>
      <c r="AE166" s="36"/>
      <c r="AF166" s="4"/>
      <c r="AG166" s="380"/>
      <c r="AH166" s="380"/>
      <c r="AI166" s="381"/>
      <c r="AJ166" s="4"/>
      <c r="AK166" s="36"/>
      <c r="AL166" s="36"/>
      <c r="AM166" s="363"/>
      <c r="AN166" s="307"/>
    </row>
    <row r="167">
      <c r="A167" s="371">
        <v>120.0</v>
      </c>
      <c r="B167" s="372">
        <v>0.9736111111111111</v>
      </c>
      <c r="C167" s="366">
        <v>46124.0</v>
      </c>
      <c r="D167" s="307"/>
      <c r="E167" s="389"/>
      <c r="F167" s="390"/>
      <c r="G167" s="392"/>
      <c r="H167" s="307"/>
      <c r="I167" s="389"/>
      <c r="J167" s="390"/>
      <c r="K167" s="392"/>
      <c r="L167" s="4"/>
      <c r="M167" s="389"/>
      <c r="N167" s="390"/>
      <c r="O167" s="392"/>
      <c r="P167" s="4"/>
      <c r="Q167" s="389"/>
      <c r="R167" s="390"/>
      <c r="S167" s="392"/>
      <c r="T167" s="4"/>
      <c r="U167" s="389"/>
      <c r="V167" s="390"/>
      <c r="W167" s="392"/>
      <c r="X167" s="4"/>
      <c r="Y167" s="351">
        <v>260.0</v>
      </c>
      <c r="Z167" s="349" t="s">
        <v>251</v>
      </c>
      <c r="AA167" s="370">
        <v>46226.0</v>
      </c>
      <c r="AB167" s="4"/>
      <c r="AC167" s="36"/>
      <c r="AD167" s="36"/>
      <c r="AE167" s="36"/>
      <c r="AF167" s="4"/>
      <c r="AG167" s="380"/>
      <c r="AH167" s="380"/>
      <c r="AI167" s="381"/>
      <c r="AJ167" s="4"/>
      <c r="AK167" s="36"/>
      <c r="AL167" s="36"/>
      <c r="AM167" s="363"/>
      <c r="AN167" s="307"/>
    </row>
    <row r="168">
      <c r="A168" s="371">
        <v>220.0</v>
      </c>
      <c r="B168" s="372">
        <v>0.975</v>
      </c>
      <c r="C168" s="366">
        <v>46124.0</v>
      </c>
      <c r="D168" s="307"/>
      <c r="E168" s="389"/>
      <c r="F168" s="390"/>
      <c r="G168" s="392"/>
      <c r="H168" s="307"/>
      <c r="I168" s="389"/>
      <c r="J168" s="390"/>
      <c r="K168" s="392"/>
      <c r="L168" s="4"/>
      <c r="M168" s="389"/>
      <c r="N168" s="390"/>
      <c r="O168" s="392"/>
      <c r="P168" s="4"/>
      <c r="Q168" s="389"/>
      <c r="R168" s="390"/>
      <c r="S168" s="392"/>
      <c r="T168" s="4"/>
      <c r="U168" s="389"/>
      <c r="V168" s="390"/>
      <c r="W168" s="392"/>
      <c r="X168" s="4"/>
      <c r="Y168" s="351">
        <v>30.0</v>
      </c>
      <c r="Z168" s="349" t="s">
        <v>1139</v>
      </c>
      <c r="AA168" s="370">
        <v>46226.0</v>
      </c>
      <c r="AB168" s="4"/>
      <c r="AC168" s="36"/>
      <c r="AD168" s="36"/>
      <c r="AE168" s="36"/>
      <c r="AF168" s="4"/>
      <c r="AG168" s="380"/>
      <c r="AH168" s="380"/>
      <c r="AI168" s="381"/>
      <c r="AJ168" s="4"/>
      <c r="AK168" s="36"/>
      <c r="AL168" s="36"/>
      <c r="AM168" s="36"/>
      <c r="AN168" s="307"/>
    </row>
    <row r="169">
      <c r="A169" s="371">
        <v>360.0</v>
      </c>
      <c r="B169" s="372">
        <v>0.9763888888888889</v>
      </c>
      <c r="C169" s="366">
        <v>46124.0</v>
      </c>
      <c r="D169" s="307"/>
      <c r="E169" s="389"/>
      <c r="F169" s="390"/>
      <c r="G169" s="392"/>
      <c r="H169" s="307"/>
      <c r="I169" s="389"/>
      <c r="J169" s="390"/>
      <c r="K169" s="392"/>
      <c r="L169" s="4"/>
      <c r="M169" s="389"/>
      <c r="N169" s="390"/>
      <c r="O169" s="392"/>
      <c r="P169" s="4"/>
      <c r="Q169" s="389"/>
      <c r="R169" s="390"/>
      <c r="S169" s="392"/>
      <c r="T169" s="4"/>
      <c r="U169" s="389"/>
      <c r="V169" s="390"/>
      <c r="W169" s="392"/>
      <c r="X169" s="4"/>
      <c r="Y169" s="351">
        <v>600.0</v>
      </c>
      <c r="Z169" s="349" t="s">
        <v>1141</v>
      </c>
      <c r="AA169" s="370">
        <v>46226.0</v>
      </c>
      <c r="AB169" s="4"/>
      <c r="AC169" s="36"/>
      <c r="AD169" s="36"/>
      <c r="AE169" s="36"/>
      <c r="AF169" s="4"/>
      <c r="AG169" s="380"/>
      <c r="AH169" s="380"/>
      <c r="AI169" s="381"/>
      <c r="AJ169" s="4"/>
      <c r="AK169" s="36"/>
      <c r="AL169" s="36"/>
      <c r="AM169" s="363"/>
      <c r="AN169" s="307"/>
    </row>
    <row r="170">
      <c r="A170" s="371">
        <v>640.0</v>
      </c>
      <c r="B170" s="372">
        <v>0.9777777777777777</v>
      </c>
      <c r="C170" s="366">
        <v>46124.0</v>
      </c>
      <c r="D170" s="307"/>
      <c r="E170" s="389"/>
      <c r="F170" s="390"/>
      <c r="G170" s="392"/>
      <c r="H170" s="307"/>
      <c r="I170" s="389"/>
      <c r="J170" s="390"/>
      <c r="K170" s="392"/>
      <c r="L170" s="4"/>
      <c r="M170" s="389"/>
      <c r="N170" s="390"/>
      <c r="O170" s="392"/>
      <c r="P170" s="4"/>
      <c r="Q170" s="389"/>
      <c r="R170" s="390"/>
      <c r="S170" s="392"/>
      <c r="T170" s="4"/>
      <c r="U170" s="389"/>
      <c r="V170" s="390"/>
      <c r="W170" s="392"/>
      <c r="X170" s="4"/>
      <c r="Y170" s="351">
        <v>800.0</v>
      </c>
      <c r="Z170" s="349" t="s">
        <v>1142</v>
      </c>
      <c r="AA170" s="370">
        <v>46226.0</v>
      </c>
      <c r="AB170" s="4"/>
      <c r="AC170" s="36"/>
      <c r="AD170" s="36"/>
      <c r="AE170" s="36"/>
      <c r="AF170" s="4"/>
      <c r="AG170" s="380"/>
      <c r="AH170" s="380"/>
      <c r="AI170" s="381"/>
      <c r="AJ170" s="4"/>
      <c r="AK170" s="36"/>
      <c r="AL170" s="36"/>
      <c r="AM170" s="363"/>
      <c r="AN170" s="307"/>
    </row>
    <row r="171">
      <c r="A171" s="371">
        <v>260.0</v>
      </c>
      <c r="B171" s="372">
        <v>0.4666666666666667</v>
      </c>
      <c r="C171" s="366">
        <v>46125.0</v>
      </c>
      <c r="D171" s="307"/>
      <c r="E171" s="389"/>
      <c r="F171" s="390"/>
      <c r="G171" s="392"/>
      <c r="H171" s="307"/>
      <c r="I171" s="389"/>
      <c r="J171" s="390"/>
      <c r="K171" s="392"/>
      <c r="L171" s="4"/>
      <c r="M171" s="389"/>
      <c r="N171" s="390"/>
      <c r="O171" s="392"/>
      <c r="P171" s="4"/>
      <c r="Q171" s="389"/>
      <c r="R171" s="390"/>
      <c r="S171" s="392"/>
      <c r="T171" s="4"/>
      <c r="U171" s="389"/>
      <c r="V171" s="390"/>
      <c r="W171" s="392"/>
      <c r="X171" s="4"/>
      <c r="Y171" s="351">
        <v>350.0</v>
      </c>
      <c r="Z171" s="349" t="s">
        <v>1112</v>
      </c>
      <c r="AA171" s="370">
        <v>46226.0</v>
      </c>
      <c r="AB171" s="4"/>
      <c r="AC171" s="36"/>
      <c r="AD171" s="36"/>
      <c r="AE171" s="36"/>
      <c r="AF171" s="4"/>
      <c r="AG171" s="380"/>
      <c r="AH171" s="380"/>
      <c r="AI171" s="381"/>
      <c r="AJ171" s="4"/>
      <c r="AK171" s="36"/>
      <c r="AL171" s="36"/>
      <c r="AM171" s="36"/>
      <c r="AN171" s="307"/>
    </row>
    <row r="172">
      <c r="A172" s="371">
        <v>240.0</v>
      </c>
      <c r="B172" s="372">
        <v>0.5263888888888889</v>
      </c>
      <c r="C172" s="366">
        <v>46126.0</v>
      </c>
      <c r="D172" s="307"/>
      <c r="E172" s="389"/>
      <c r="F172" s="390"/>
      <c r="G172" s="392"/>
      <c r="H172" s="307"/>
      <c r="I172" s="389"/>
      <c r="J172" s="390"/>
      <c r="K172" s="392"/>
      <c r="L172" s="4"/>
      <c r="M172" s="389"/>
      <c r="N172" s="390"/>
      <c r="O172" s="392"/>
      <c r="P172" s="4"/>
      <c r="Q172" s="389"/>
      <c r="R172" s="390"/>
      <c r="S172" s="392"/>
      <c r="T172" s="4"/>
      <c r="U172" s="389"/>
      <c r="V172" s="390"/>
      <c r="W172" s="392"/>
      <c r="X172" s="4"/>
      <c r="Y172" s="351">
        <v>820.0</v>
      </c>
      <c r="Z172" s="349" t="s">
        <v>1147</v>
      </c>
      <c r="AA172" s="370">
        <v>46226.0</v>
      </c>
      <c r="AB172" s="4"/>
      <c r="AC172" s="36"/>
      <c r="AD172" s="36"/>
      <c r="AE172" s="36"/>
      <c r="AF172" s="4"/>
      <c r="AG172" s="380"/>
      <c r="AH172" s="380"/>
      <c r="AI172" s="381"/>
      <c r="AJ172" s="4"/>
      <c r="AK172" s="36"/>
      <c r="AL172" s="36"/>
      <c r="AM172" s="363"/>
      <c r="AN172" s="307"/>
    </row>
    <row r="173">
      <c r="A173" s="371">
        <v>480.0</v>
      </c>
      <c r="B173" s="372">
        <v>0.5270833333333333</v>
      </c>
      <c r="C173" s="366">
        <v>46126.0</v>
      </c>
      <c r="D173" s="307"/>
      <c r="E173" s="389"/>
      <c r="F173" s="390"/>
      <c r="G173" s="392"/>
      <c r="H173" s="307"/>
      <c r="I173" s="389"/>
      <c r="J173" s="390"/>
      <c r="K173" s="392"/>
      <c r="L173" s="4"/>
      <c r="M173" s="389"/>
      <c r="N173" s="390"/>
      <c r="O173" s="392"/>
      <c r="P173" s="4"/>
      <c r="Q173" s="389"/>
      <c r="R173" s="390"/>
      <c r="S173" s="392"/>
      <c r="T173" s="4"/>
      <c r="U173" s="389"/>
      <c r="V173" s="390"/>
      <c r="W173" s="392"/>
      <c r="X173" s="4"/>
      <c r="Y173" s="351">
        <v>3750.0</v>
      </c>
      <c r="Z173" s="349" t="s">
        <v>1148</v>
      </c>
      <c r="AA173" s="370">
        <v>46226.0</v>
      </c>
      <c r="AB173" s="4"/>
      <c r="AC173" s="36"/>
      <c r="AD173" s="36"/>
      <c r="AE173" s="36"/>
      <c r="AF173" s="4"/>
      <c r="AG173" s="380"/>
      <c r="AH173" s="380"/>
      <c r="AI173" s="381"/>
      <c r="AJ173" s="4"/>
      <c r="AK173" s="36"/>
      <c r="AL173" s="36"/>
      <c r="AM173" s="363"/>
      <c r="AN173" s="307"/>
    </row>
    <row r="174">
      <c r="A174" s="371">
        <v>80.0</v>
      </c>
      <c r="B174" s="372">
        <v>0.7638888888888888</v>
      </c>
      <c r="C174" s="366">
        <v>46126.0</v>
      </c>
      <c r="D174" s="307"/>
      <c r="E174" s="389"/>
      <c r="F174" s="390"/>
      <c r="G174" s="392"/>
      <c r="H174" s="307"/>
      <c r="I174" s="389"/>
      <c r="J174" s="390"/>
      <c r="K174" s="392"/>
      <c r="L174" s="4"/>
      <c r="M174" s="389"/>
      <c r="N174" s="390"/>
      <c r="O174" s="392"/>
      <c r="P174" s="4"/>
      <c r="Q174" s="389"/>
      <c r="R174" s="390"/>
      <c r="S174" s="392"/>
      <c r="T174" s="4"/>
      <c r="U174" s="389"/>
      <c r="V174" s="390"/>
      <c r="W174" s="392"/>
      <c r="X174" s="4"/>
      <c r="Y174" s="351">
        <v>210.0</v>
      </c>
      <c r="Z174" s="349" t="s">
        <v>1064</v>
      </c>
      <c r="AA174" s="370">
        <v>46211.0</v>
      </c>
      <c r="AB174" s="4"/>
      <c r="AC174" s="36"/>
      <c r="AD174" s="36"/>
      <c r="AE174" s="36"/>
      <c r="AF174" s="4"/>
      <c r="AG174" s="380"/>
      <c r="AH174" s="380"/>
      <c r="AI174" s="381"/>
      <c r="AJ174" s="4"/>
      <c r="AK174" s="36"/>
      <c r="AL174" s="36"/>
      <c r="AM174" s="36"/>
      <c r="AN174" s="307"/>
    </row>
    <row r="175">
      <c r="A175" s="371">
        <v>320.0</v>
      </c>
      <c r="B175" s="372">
        <v>0.9194444444444444</v>
      </c>
      <c r="C175" s="366">
        <v>46129.0</v>
      </c>
      <c r="D175" s="307"/>
      <c r="E175" s="389"/>
      <c r="F175" s="390"/>
      <c r="G175" s="392"/>
      <c r="H175" s="307"/>
      <c r="I175" s="389"/>
      <c r="J175" s="390"/>
      <c r="K175" s="392"/>
      <c r="L175" s="4"/>
      <c r="M175" s="389"/>
      <c r="N175" s="390"/>
      <c r="O175" s="392"/>
      <c r="P175" s="4"/>
      <c r="Q175" s="389"/>
      <c r="R175" s="390"/>
      <c r="S175" s="392"/>
      <c r="T175" s="4"/>
      <c r="U175" s="389"/>
      <c r="V175" s="390"/>
      <c r="W175" s="392"/>
      <c r="X175" s="4"/>
      <c r="Y175" s="348">
        <v>50.0</v>
      </c>
      <c r="Z175" s="349" t="s">
        <v>1112</v>
      </c>
      <c r="AA175" s="350">
        <v>46230.0</v>
      </c>
      <c r="AB175" s="4"/>
      <c r="AC175" s="36"/>
      <c r="AD175" s="36"/>
      <c r="AE175" s="36"/>
      <c r="AF175" s="4"/>
      <c r="AG175" s="380"/>
      <c r="AH175" s="380"/>
      <c r="AI175" s="381"/>
      <c r="AJ175" s="4"/>
      <c r="AK175" s="36"/>
      <c r="AL175" s="36"/>
      <c r="AM175" s="363"/>
      <c r="AN175" s="307"/>
    </row>
    <row r="176">
      <c r="A176" s="371">
        <v>160.0</v>
      </c>
      <c r="B176" s="372">
        <v>0.4618055555555556</v>
      </c>
      <c r="C176" s="366">
        <v>46130.0</v>
      </c>
      <c r="D176" s="307"/>
      <c r="E176" s="389"/>
      <c r="F176" s="390"/>
      <c r="G176" s="392"/>
      <c r="H176" s="307"/>
      <c r="I176" s="389"/>
      <c r="J176" s="390"/>
      <c r="K176" s="392"/>
      <c r="L176" s="4"/>
      <c r="M176" s="389"/>
      <c r="N176" s="390"/>
      <c r="O176" s="392"/>
      <c r="P176" s="4"/>
      <c r="Q176" s="389"/>
      <c r="R176" s="390"/>
      <c r="S176" s="392"/>
      <c r="T176" s="4"/>
      <c r="U176" s="389"/>
      <c r="V176" s="390"/>
      <c r="W176" s="392"/>
      <c r="X176" s="4"/>
      <c r="Y176" s="348">
        <v>50.0</v>
      </c>
      <c r="Z176" s="349" t="s">
        <v>1112</v>
      </c>
      <c r="AA176" s="350">
        <v>46231.0</v>
      </c>
      <c r="AB176" s="4"/>
      <c r="AC176" s="36"/>
      <c r="AD176" s="36"/>
      <c r="AE176" s="36"/>
      <c r="AF176" s="4"/>
      <c r="AG176" s="380"/>
      <c r="AH176" s="380"/>
      <c r="AI176" s="381"/>
      <c r="AJ176" s="4"/>
      <c r="AK176" s="36"/>
      <c r="AL176" s="36"/>
      <c r="AM176" s="363"/>
      <c r="AN176" s="307"/>
    </row>
    <row r="177">
      <c r="A177" s="371">
        <v>800.0</v>
      </c>
      <c r="B177" s="372">
        <v>0.46319444444444446</v>
      </c>
      <c r="C177" s="366">
        <v>46130.0</v>
      </c>
      <c r="D177" s="307"/>
      <c r="E177" s="389"/>
      <c r="F177" s="390"/>
      <c r="G177" s="392"/>
      <c r="H177" s="307"/>
      <c r="I177" s="389"/>
      <c r="J177" s="390"/>
      <c r="K177" s="392"/>
      <c r="L177" s="4"/>
      <c r="M177" s="389"/>
      <c r="N177" s="390"/>
      <c r="O177" s="392"/>
      <c r="P177" s="4"/>
      <c r="Q177" s="389"/>
      <c r="R177" s="390"/>
      <c r="S177" s="392"/>
      <c r="T177" s="4"/>
      <c r="U177" s="389"/>
      <c r="V177" s="390"/>
      <c r="W177" s="392"/>
      <c r="X177" s="4"/>
      <c r="Y177" s="348">
        <v>420.0</v>
      </c>
      <c r="Z177" s="349" t="s">
        <v>1151</v>
      </c>
      <c r="AA177" s="350">
        <v>46231.0</v>
      </c>
      <c r="AB177" s="4"/>
      <c r="AC177" s="36"/>
      <c r="AD177" s="36"/>
      <c r="AE177" s="36"/>
      <c r="AF177" s="4"/>
      <c r="AG177" s="380"/>
      <c r="AH177" s="380"/>
      <c r="AI177" s="381"/>
      <c r="AJ177" s="4"/>
      <c r="AK177" s="36"/>
      <c r="AL177" s="36"/>
      <c r="AM177" s="36"/>
      <c r="AN177" s="307"/>
    </row>
    <row r="178">
      <c r="A178" s="371">
        <v>600.0</v>
      </c>
      <c r="B178" s="372">
        <v>0.46458333333333335</v>
      </c>
      <c r="C178" s="366">
        <v>46130.0</v>
      </c>
      <c r="D178" s="307"/>
      <c r="E178" s="389"/>
      <c r="F178" s="390"/>
      <c r="G178" s="392"/>
      <c r="H178" s="307"/>
      <c r="I178" s="389"/>
      <c r="J178" s="390"/>
      <c r="K178" s="392"/>
      <c r="L178" s="4"/>
      <c r="M178" s="389"/>
      <c r="N178" s="390"/>
      <c r="O178" s="392"/>
      <c r="P178" s="4"/>
      <c r="Q178" s="389"/>
      <c r="R178" s="390"/>
      <c r="S178" s="392"/>
      <c r="T178" s="4"/>
      <c r="U178" s="389"/>
      <c r="V178" s="390"/>
      <c r="W178" s="392"/>
      <c r="X178" s="4"/>
      <c r="Y178" s="348">
        <v>120.0</v>
      </c>
      <c r="Z178" s="349" t="s">
        <v>1153</v>
      </c>
      <c r="AA178" s="350">
        <v>46231.0</v>
      </c>
      <c r="AB178" s="4"/>
      <c r="AC178" s="36"/>
      <c r="AD178" s="36"/>
      <c r="AE178" s="36"/>
      <c r="AF178" s="4"/>
      <c r="AG178" s="380"/>
      <c r="AH178" s="380"/>
      <c r="AI178" s="381"/>
      <c r="AJ178" s="4"/>
      <c r="AK178" s="36"/>
      <c r="AL178" s="36"/>
      <c r="AM178" s="363"/>
      <c r="AN178" s="307"/>
    </row>
    <row r="179">
      <c r="A179" s="371">
        <v>235.0</v>
      </c>
      <c r="B179" s="372">
        <v>0.46597222222222223</v>
      </c>
      <c r="C179" s="366">
        <v>46130.0</v>
      </c>
      <c r="D179" s="307"/>
      <c r="E179" s="389"/>
      <c r="F179" s="390"/>
      <c r="G179" s="392"/>
      <c r="H179" s="307"/>
      <c r="I179" s="389"/>
      <c r="J179" s="390"/>
      <c r="K179" s="392"/>
      <c r="L179" s="4"/>
      <c r="M179" s="389"/>
      <c r="N179" s="390"/>
      <c r="O179" s="392"/>
      <c r="P179" s="4"/>
      <c r="Q179" s="389"/>
      <c r="R179" s="390"/>
      <c r="S179" s="392"/>
      <c r="T179" s="4"/>
      <c r="U179" s="389"/>
      <c r="V179" s="390"/>
      <c r="W179" s="392"/>
      <c r="X179" s="4"/>
      <c r="Y179" s="348">
        <v>875.0</v>
      </c>
      <c r="Z179" s="349" t="s">
        <v>1154</v>
      </c>
      <c r="AA179" s="350">
        <v>46231.0</v>
      </c>
      <c r="AB179" s="4"/>
      <c r="AC179" s="36"/>
      <c r="AD179" s="36"/>
      <c r="AE179" s="36"/>
      <c r="AF179" s="4"/>
      <c r="AG179" s="380"/>
      <c r="AH179" s="380"/>
      <c r="AI179" s="381"/>
      <c r="AJ179" s="4"/>
      <c r="AK179" s="36"/>
      <c r="AL179" s="36"/>
      <c r="AM179" s="363"/>
      <c r="AN179" s="307"/>
    </row>
    <row r="180">
      <c r="A180" s="371">
        <v>160.0</v>
      </c>
      <c r="B180" s="372">
        <v>0.7597222222222222</v>
      </c>
      <c r="C180" s="366">
        <v>46130.0</v>
      </c>
      <c r="D180" s="307"/>
      <c r="E180" s="389"/>
      <c r="F180" s="390"/>
      <c r="G180" s="392"/>
      <c r="H180" s="307"/>
      <c r="I180" s="389"/>
      <c r="J180" s="390"/>
      <c r="K180" s="392"/>
      <c r="L180" s="4"/>
      <c r="M180" s="389"/>
      <c r="N180" s="390"/>
      <c r="O180" s="392"/>
      <c r="P180" s="4"/>
      <c r="Q180" s="389"/>
      <c r="R180" s="390"/>
      <c r="S180" s="392"/>
      <c r="T180" s="4"/>
      <c r="U180" s="389"/>
      <c r="V180" s="390"/>
      <c r="W180" s="392"/>
      <c r="X180" s="4"/>
      <c r="Y180" s="348">
        <v>350.0</v>
      </c>
      <c r="Z180" s="349" t="s">
        <v>1112</v>
      </c>
      <c r="AA180" s="350">
        <v>46232.0</v>
      </c>
      <c r="AB180" s="4"/>
      <c r="AC180" s="36"/>
      <c r="AD180" s="36"/>
      <c r="AE180" s="36"/>
      <c r="AF180" s="4"/>
      <c r="AG180" s="380"/>
      <c r="AH180" s="380"/>
      <c r="AI180" s="381"/>
      <c r="AJ180" s="4"/>
      <c r="AK180" s="36"/>
      <c r="AL180" s="36"/>
      <c r="AM180" s="36"/>
      <c r="AN180" s="307"/>
    </row>
    <row r="181">
      <c r="A181" s="371">
        <v>200.0</v>
      </c>
      <c r="B181" s="372">
        <v>0.7611111111111111</v>
      </c>
      <c r="C181" s="366">
        <v>46130.0</v>
      </c>
      <c r="D181" s="307"/>
      <c r="E181" s="389"/>
      <c r="F181" s="390"/>
      <c r="G181" s="392"/>
      <c r="H181" s="307"/>
      <c r="I181" s="389"/>
      <c r="J181" s="390"/>
      <c r="K181" s="392"/>
      <c r="L181" s="4"/>
      <c r="M181" s="389"/>
      <c r="N181" s="390"/>
      <c r="O181" s="392"/>
      <c r="P181" s="4"/>
      <c r="Q181" s="389"/>
      <c r="R181" s="390"/>
      <c r="S181" s="392"/>
      <c r="T181" s="4"/>
      <c r="U181" s="389"/>
      <c r="V181" s="390"/>
      <c r="W181" s="392"/>
      <c r="X181" s="4"/>
      <c r="Y181" s="348">
        <v>875.0</v>
      </c>
      <c r="Z181" s="349" t="s">
        <v>1154</v>
      </c>
      <c r="AA181" s="350">
        <v>46232.0</v>
      </c>
      <c r="AB181" s="4"/>
      <c r="AC181" s="36"/>
      <c r="AD181" s="36"/>
      <c r="AE181" s="36"/>
      <c r="AF181" s="4"/>
      <c r="AG181" s="380"/>
      <c r="AH181" s="380"/>
      <c r="AI181" s="381"/>
      <c r="AJ181" s="4"/>
      <c r="AK181" s="36"/>
      <c r="AL181" s="36"/>
      <c r="AM181" s="363"/>
      <c r="AN181" s="307"/>
    </row>
    <row r="182">
      <c r="A182" s="371">
        <v>680.0</v>
      </c>
      <c r="B182" s="372">
        <v>0.7826388888888889</v>
      </c>
      <c r="C182" s="366">
        <v>46131.0</v>
      </c>
      <c r="D182" s="307"/>
      <c r="E182" s="389"/>
      <c r="F182" s="390"/>
      <c r="G182" s="392"/>
      <c r="H182" s="307"/>
      <c r="I182" s="389"/>
      <c r="J182" s="390"/>
      <c r="K182" s="392"/>
      <c r="L182" s="4"/>
      <c r="M182" s="389"/>
      <c r="N182" s="390"/>
      <c r="O182" s="392"/>
      <c r="P182" s="4"/>
      <c r="Q182" s="389"/>
      <c r="R182" s="390"/>
      <c r="S182" s="392"/>
      <c r="T182" s="4"/>
      <c r="U182" s="389"/>
      <c r="V182" s="390"/>
      <c r="W182" s="392"/>
      <c r="X182" s="4"/>
      <c r="Y182" s="348">
        <v>250.0</v>
      </c>
      <c r="Z182" s="349" t="s">
        <v>212</v>
      </c>
      <c r="AA182" s="350">
        <v>46230.0</v>
      </c>
      <c r="AB182" s="4"/>
      <c r="AC182" s="36"/>
      <c r="AD182" s="36"/>
      <c r="AE182" s="36"/>
      <c r="AF182" s="4"/>
      <c r="AG182" s="380"/>
      <c r="AH182" s="380"/>
      <c r="AI182" s="381"/>
      <c r="AJ182" s="4"/>
      <c r="AK182" s="36"/>
      <c r="AL182" s="36"/>
      <c r="AM182" s="363"/>
      <c r="AN182" s="307"/>
    </row>
    <row r="183">
      <c r="A183" s="371">
        <v>320.0</v>
      </c>
      <c r="B183" s="372">
        <v>0.8611111111111112</v>
      </c>
      <c r="C183" s="366">
        <v>46131.0</v>
      </c>
      <c r="D183" s="307"/>
      <c r="E183" s="389"/>
      <c r="F183" s="390"/>
      <c r="G183" s="392"/>
      <c r="H183" s="307"/>
      <c r="I183" s="389"/>
      <c r="J183" s="390"/>
      <c r="K183" s="392"/>
      <c r="L183" s="4"/>
      <c r="M183" s="389"/>
      <c r="N183" s="390"/>
      <c r="O183" s="392"/>
      <c r="P183" s="4"/>
      <c r="Q183" s="389"/>
      <c r="R183" s="390"/>
      <c r="S183" s="392"/>
      <c r="T183" s="4"/>
      <c r="U183" s="389"/>
      <c r="V183" s="390"/>
      <c r="W183" s="392"/>
      <c r="X183" s="4"/>
      <c r="Y183" s="348">
        <v>250.0</v>
      </c>
      <c r="Z183" s="349" t="s">
        <v>122</v>
      </c>
      <c r="AA183" s="350">
        <v>46230.0</v>
      </c>
      <c r="AB183" s="4"/>
      <c r="AC183" s="36"/>
      <c r="AD183" s="36"/>
      <c r="AE183" s="36"/>
      <c r="AF183" s="4"/>
      <c r="AG183" s="380"/>
      <c r="AH183" s="380"/>
      <c r="AI183" s="381"/>
      <c r="AJ183" s="4"/>
      <c r="AK183" s="36"/>
      <c r="AL183" s="36"/>
      <c r="AM183" s="36"/>
      <c r="AN183" s="307"/>
    </row>
    <row r="184">
      <c r="A184" s="371">
        <v>720.0</v>
      </c>
      <c r="B184" s="372">
        <v>0.6013888888888889</v>
      </c>
      <c r="C184" s="366">
        <v>46140.0</v>
      </c>
      <c r="D184" s="307"/>
      <c r="E184" s="389"/>
      <c r="F184" s="390"/>
      <c r="G184" s="392"/>
      <c r="H184" s="307"/>
      <c r="I184" s="389"/>
      <c r="J184" s="390"/>
      <c r="K184" s="392"/>
      <c r="L184" s="4"/>
      <c r="M184" s="389"/>
      <c r="N184" s="390"/>
      <c r="O184" s="392"/>
      <c r="P184" s="4"/>
      <c r="Q184" s="389"/>
      <c r="R184" s="390"/>
      <c r="S184" s="392"/>
      <c r="T184" s="4"/>
      <c r="U184" s="389"/>
      <c r="V184" s="390"/>
      <c r="W184" s="392"/>
      <c r="X184" s="4"/>
      <c r="Y184" s="348">
        <v>450.0</v>
      </c>
      <c r="Z184" s="349" t="s">
        <v>1047</v>
      </c>
      <c r="AA184" s="350">
        <v>46232.0</v>
      </c>
      <c r="AB184" s="4"/>
      <c r="AC184" s="36"/>
      <c r="AD184" s="36"/>
      <c r="AE184" s="36"/>
      <c r="AF184" s="4"/>
      <c r="AG184" s="380"/>
      <c r="AH184" s="380"/>
      <c r="AI184" s="381"/>
      <c r="AJ184" s="4"/>
      <c r="AK184" s="36"/>
      <c r="AL184" s="36"/>
      <c r="AM184" s="363"/>
      <c r="AN184" s="307"/>
    </row>
    <row r="185">
      <c r="A185" s="371">
        <v>300.0</v>
      </c>
      <c r="B185" s="372">
        <v>0.6034722222222222</v>
      </c>
      <c r="C185" s="366">
        <v>46140.0</v>
      </c>
      <c r="D185" s="307"/>
      <c r="E185" s="389"/>
      <c r="F185" s="390"/>
      <c r="G185" s="392"/>
      <c r="H185" s="307"/>
      <c r="I185" s="389"/>
      <c r="J185" s="390"/>
      <c r="K185" s="392"/>
      <c r="L185" s="4"/>
      <c r="M185" s="389"/>
      <c r="N185" s="390"/>
      <c r="O185" s="392"/>
      <c r="P185" s="4"/>
      <c r="Q185" s="389"/>
      <c r="R185" s="390"/>
      <c r="S185" s="392"/>
      <c r="T185" s="4"/>
      <c r="U185" s="389"/>
      <c r="V185" s="390"/>
      <c r="W185" s="392"/>
      <c r="X185" s="4"/>
      <c r="Y185" s="348">
        <v>276.0</v>
      </c>
      <c r="Z185" s="349" t="s">
        <v>1092</v>
      </c>
      <c r="AA185" s="350">
        <v>46232.0</v>
      </c>
      <c r="AB185" s="4"/>
      <c r="AC185" s="36"/>
      <c r="AD185" s="36"/>
      <c r="AE185" s="36"/>
      <c r="AF185" s="4"/>
      <c r="AG185" s="380"/>
      <c r="AH185" s="380"/>
      <c r="AI185" s="381"/>
      <c r="AJ185" s="4"/>
      <c r="AK185" s="36"/>
      <c r="AL185" s="36"/>
      <c r="AM185" s="363"/>
      <c r="AN185" s="307"/>
    </row>
    <row r="186">
      <c r="A186" s="371">
        <v>250.0</v>
      </c>
      <c r="B186" s="372">
        <v>0.6361111111111111</v>
      </c>
      <c r="C186" s="366">
        <v>46140.0</v>
      </c>
      <c r="D186" s="307"/>
      <c r="E186" s="389"/>
      <c r="F186" s="390"/>
      <c r="G186" s="392"/>
      <c r="H186" s="307"/>
      <c r="I186" s="389"/>
      <c r="J186" s="390"/>
      <c r="K186" s="392"/>
      <c r="L186" s="4"/>
      <c r="M186" s="389"/>
      <c r="N186" s="390"/>
      <c r="O186" s="392"/>
      <c r="P186" s="4"/>
      <c r="Q186" s="389"/>
      <c r="R186" s="390"/>
      <c r="S186" s="392"/>
      <c r="T186" s="4"/>
      <c r="U186" s="389"/>
      <c r="V186" s="390"/>
      <c r="W186" s="392"/>
      <c r="X186" s="4"/>
      <c r="Y186" s="406"/>
      <c r="Z186" s="36"/>
      <c r="AA186" s="360"/>
      <c r="AB186" s="4"/>
      <c r="AC186" s="36"/>
      <c r="AD186" s="36"/>
      <c r="AE186" s="36"/>
      <c r="AF186" s="4"/>
      <c r="AG186" s="380"/>
      <c r="AH186" s="380"/>
      <c r="AI186" s="381"/>
      <c r="AJ186" s="4"/>
      <c r="AK186" s="36"/>
      <c r="AL186" s="36"/>
      <c r="AM186" s="36"/>
      <c r="AN186" s="307"/>
    </row>
    <row r="187">
      <c r="A187" s="371">
        <v>160.0</v>
      </c>
      <c r="B187" s="372">
        <v>0.6486111111111111</v>
      </c>
      <c r="C187" s="366">
        <v>46140.0</v>
      </c>
      <c r="D187" s="307"/>
      <c r="E187" s="389"/>
      <c r="F187" s="390"/>
      <c r="G187" s="392"/>
      <c r="H187" s="307"/>
      <c r="I187" s="389"/>
      <c r="J187" s="390"/>
      <c r="K187" s="392"/>
      <c r="L187" s="4"/>
      <c r="M187" s="389"/>
      <c r="N187" s="390"/>
      <c r="O187" s="392"/>
      <c r="P187" s="4"/>
      <c r="Q187" s="389"/>
      <c r="R187" s="390"/>
      <c r="S187" s="392"/>
      <c r="T187" s="4"/>
      <c r="U187" s="389"/>
      <c r="V187" s="390"/>
      <c r="W187" s="392"/>
      <c r="X187" s="4"/>
      <c r="Y187" s="406"/>
      <c r="Z187" s="36"/>
      <c r="AA187" s="360"/>
      <c r="AB187" s="4"/>
      <c r="AC187" s="36"/>
      <c r="AD187" s="36"/>
      <c r="AE187" s="36"/>
      <c r="AF187" s="4"/>
      <c r="AG187" s="380"/>
      <c r="AH187" s="380"/>
      <c r="AI187" s="381"/>
      <c r="AJ187" s="4"/>
      <c r="AK187" s="36"/>
      <c r="AL187" s="36"/>
      <c r="AM187" s="363"/>
      <c r="AN187" s="307"/>
    </row>
    <row r="188">
      <c r="A188" s="371">
        <v>200.0</v>
      </c>
      <c r="B188" s="372">
        <v>0.6555555555555556</v>
      </c>
      <c r="C188" s="366">
        <v>46140.0</v>
      </c>
      <c r="D188" s="307"/>
      <c r="E188" s="389"/>
      <c r="F188" s="390"/>
      <c r="G188" s="392"/>
      <c r="H188" s="307"/>
      <c r="I188" s="389"/>
      <c r="J188" s="390"/>
      <c r="K188" s="392"/>
      <c r="L188" s="4"/>
      <c r="M188" s="389"/>
      <c r="N188" s="390"/>
      <c r="O188" s="392"/>
      <c r="P188" s="4"/>
      <c r="Q188" s="389"/>
      <c r="R188" s="390"/>
      <c r="S188" s="392"/>
      <c r="T188" s="4"/>
      <c r="U188" s="389"/>
      <c r="V188" s="390"/>
      <c r="W188" s="392"/>
      <c r="X188" s="4"/>
      <c r="Y188" s="406"/>
      <c r="Z188" s="36"/>
      <c r="AA188" s="360"/>
      <c r="AB188" s="4"/>
      <c r="AC188" s="36"/>
      <c r="AD188" s="36"/>
      <c r="AE188" s="36"/>
      <c r="AF188" s="4"/>
      <c r="AG188" s="380"/>
      <c r="AH188" s="380"/>
      <c r="AI188" s="381"/>
      <c r="AJ188" s="4"/>
      <c r="AK188" s="36"/>
      <c r="AL188" s="36"/>
      <c r="AM188" s="363"/>
      <c r="AN188" s="307"/>
    </row>
    <row r="189">
      <c r="A189" s="371">
        <v>200.0</v>
      </c>
      <c r="B189" s="372">
        <v>0.65625</v>
      </c>
      <c r="C189" s="366">
        <v>46140.0</v>
      </c>
      <c r="D189" s="307"/>
      <c r="E189" s="389"/>
      <c r="F189" s="390"/>
      <c r="G189" s="392"/>
      <c r="H189" s="307"/>
      <c r="I189" s="389"/>
      <c r="J189" s="390"/>
      <c r="K189" s="392"/>
      <c r="L189" s="4"/>
      <c r="M189" s="389"/>
      <c r="N189" s="390"/>
      <c r="O189" s="392"/>
      <c r="P189" s="4"/>
      <c r="Q189" s="389"/>
      <c r="R189" s="390"/>
      <c r="S189" s="392"/>
      <c r="T189" s="4"/>
      <c r="U189" s="389"/>
      <c r="V189" s="390"/>
      <c r="W189" s="392"/>
      <c r="X189" s="4"/>
      <c r="Y189" s="406"/>
      <c r="Z189" s="36"/>
      <c r="AA189" s="360"/>
      <c r="AB189" s="4"/>
      <c r="AC189" s="36"/>
      <c r="AD189" s="36"/>
      <c r="AE189" s="36"/>
      <c r="AF189" s="4"/>
      <c r="AG189" s="380"/>
      <c r="AH189" s="380"/>
      <c r="AI189" s="381"/>
      <c r="AJ189" s="4"/>
      <c r="AK189" s="36"/>
      <c r="AL189" s="36"/>
      <c r="AM189" s="36"/>
      <c r="AN189" s="307"/>
    </row>
    <row r="190">
      <c r="A190" s="371">
        <v>120.0</v>
      </c>
      <c r="B190" s="372">
        <v>0.6569444444444444</v>
      </c>
      <c r="C190" s="366">
        <v>46140.0</v>
      </c>
      <c r="D190" s="307"/>
      <c r="E190" s="389"/>
      <c r="F190" s="390"/>
      <c r="G190" s="392"/>
      <c r="H190" s="307"/>
      <c r="I190" s="389"/>
      <c r="J190" s="390"/>
      <c r="K190" s="392"/>
      <c r="L190" s="4"/>
      <c r="M190" s="389"/>
      <c r="N190" s="390"/>
      <c r="O190" s="392"/>
      <c r="P190" s="4"/>
      <c r="Q190" s="389"/>
      <c r="R190" s="390"/>
      <c r="S190" s="392"/>
      <c r="T190" s="4"/>
      <c r="U190" s="389"/>
      <c r="V190" s="390"/>
      <c r="W190" s="392"/>
      <c r="X190" s="4"/>
      <c r="Y190" s="406"/>
      <c r="Z190" s="36"/>
      <c r="AA190" s="360"/>
      <c r="AB190" s="4"/>
      <c r="AC190" s="36"/>
      <c r="AD190" s="36"/>
      <c r="AE190" s="36"/>
      <c r="AF190" s="4"/>
      <c r="AG190" s="380"/>
      <c r="AH190" s="380"/>
      <c r="AI190" s="381"/>
      <c r="AJ190" s="4"/>
      <c r="AK190" s="36"/>
      <c r="AL190" s="36"/>
      <c r="AM190" s="363"/>
      <c r="AN190" s="307"/>
    </row>
    <row r="191">
      <c r="A191" s="371">
        <v>320.0</v>
      </c>
      <c r="B191" s="372">
        <v>0.6583333333333333</v>
      </c>
      <c r="C191" s="366">
        <v>46140.0</v>
      </c>
      <c r="D191" s="307"/>
      <c r="E191" s="389"/>
      <c r="F191" s="390"/>
      <c r="G191" s="392"/>
      <c r="H191" s="307"/>
      <c r="I191" s="389"/>
      <c r="J191" s="390"/>
      <c r="K191" s="392"/>
      <c r="L191" s="4"/>
      <c r="M191" s="389"/>
      <c r="N191" s="390"/>
      <c r="O191" s="392"/>
      <c r="P191" s="4"/>
      <c r="Q191" s="389"/>
      <c r="R191" s="390"/>
      <c r="S191" s="392"/>
      <c r="T191" s="4"/>
      <c r="U191" s="389"/>
      <c r="V191" s="390"/>
      <c r="W191" s="392"/>
      <c r="X191" s="4"/>
      <c r="Y191" s="406"/>
      <c r="Z191" s="36"/>
      <c r="AA191" s="360"/>
      <c r="AB191" s="4"/>
      <c r="AC191" s="36"/>
      <c r="AD191" s="36"/>
      <c r="AE191" s="36"/>
      <c r="AF191" s="4"/>
      <c r="AG191" s="380"/>
      <c r="AH191" s="380"/>
      <c r="AI191" s="381"/>
      <c r="AJ191" s="4"/>
      <c r="AK191" s="36"/>
      <c r="AL191" s="36"/>
      <c r="AM191" s="363"/>
      <c r="AN191" s="307"/>
    </row>
    <row r="192">
      <c r="A192" s="371">
        <v>200.0</v>
      </c>
      <c r="B192" s="372">
        <v>0.6590277777777778</v>
      </c>
      <c r="C192" s="366">
        <v>46140.0</v>
      </c>
      <c r="D192" s="307"/>
      <c r="E192" s="389"/>
      <c r="F192" s="390"/>
      <c r="G192" s="392"/>
      <c r="H192" s="307"/>
      <c r="I192" s="389"/>
      <c r="J192" s="390"/>
      <c r="K192" s="392"/>
      <c r="L192" s="4"/>
      <c r="M192" s="389"/>
      <c r="N192" s="390"/>
      <c r="O192" s="392"/>
      <c r="P192" s="4"/>
      <c r="Q192" s="389"/>
      <c r="R192" s="390"/>
      <c r="S192" s="392"/>
      <c r="T192" s="4"/>
      <c r="U192" s="389"/>
      <c r="V192" s="390"/>
      <c r="W192" s="392"/>
      <c r="X192" s="4"/>
      <c r="Y192" s="406"/>
      <c r="Z192" s="36"/>
      <c r="AA192" s="360"/>
      <c r="AB192" s="4"/>
      <c r="AC192" s="36"/>
      <c r="AD192" s="36"/>
      <c r="AE192" s="36"/>
      <c r="AF192" s="4"/>
      <c r="AG192" s="380"/>
      <c r="AH192" s="380"/>
      <c r="AI192" s="381"/>
      <c r="AJ192" s="4"/>
      <c r="AK192" s="36"/>
      <c r="AL192" s="36"/>
      <c r="AM192" s="36"/>
      <c r="AN192" s="307"/>
    </row>
    <row r="193">
      <c r="A193" s="371">
        <v>120.0</v>
      </c>
      <c r="B193" s="372">
        <v>0.6597222222222222</v>
      </c>
      <c r="C193" s="366">
        <v>46140.0</v>
      </c>
      <c r="D193" s="307"/>
      <c r="E193" s="389"/>
      <c r="F193" s="390"/>
      <c r="G193" s="392"/>
      <c r="H193" s="307"/>
      <c r="I193" s="389"/>
      <c r="J193" s="390"/>
      <c r="K193" s="392"/>
      <c r="L193" s="4"/>
      <c r="M193" s="389"/>
      <c r="N193" s="390"/>
      <c r="O193" s="392"/>
      <c r="P193" s="4"/>
      <c r="Q193" s="389"/>
      <c r="R193" s="390"/>
      <c r="S193" s="392"/>
      <c r="T193" s="4"/>
      <c r="U193" s="389"/>
      <c r="V193" s="390"/>
      <c r="W193" s="392"/>
      <c r="X193" s="4"/>
      <c r="Y193" s="406"/>
      <c r="Z193" s="36"/>
      <c r="AA193" s="360"/>
      <c r="AB193" s="4"/>
      <c r="AC193" s="36"/>
      <c r="AD193" s="36"/>
      <c r="AE193" s="36"/>
      <c r="AF193" s="4"/>
      <c r="AG193" s="380"/>
      <c r="AH193" s="380"/>
      <c r="AI193" s="381"/>
      <c r="AJ193" s="4"/>
      <c r="AK193" s="36"/>
      <c r="AL193" s="36"/>
      <c r="AM193" s="363"/>
      <c r="AN193" s="307"/>
    </row>
    <row r="194">
      <c r="A194" s="371">
        <v>200.0</v>
      </c>
      <c r="B194" s="372">
        <v>0.8743055555555556</v>
      </c>
      <c r="C194" s="366">
        <v>46141.0</v>
      </c>
      <c r="D194" s="307"/>
      <c r="E194" s="389"/>
      <c r="F194" s="390"/>
      <c r="G194" s="392"/>
      <c r="H194" s="307"/>
      <c r="I194" s="389"/>
      <c r="J194" s="390"/>
      <c r="K194" s="392"/>
      <c r="L194" s="4"/>
      <c r="M194" s="389"/>
      <c r="N194" s="390"/>
      <c r="O194" s="392"/>
      <c r="P194" s="4"/>
      <c r="Q194" s="389"/>
      <c r="R194" s="390"/>
      <c r="S194" s="392"/>
      <c r="T194" s="4"/>
      <c r="U194" s="389"/>
      <c r="V194" s="390"/>
      <c r="W194" s="392"/>
      <c r="X194" s="4"/>
      <c r="Y194" s="406"/>
      <c r="Z194" s="36"/>
      <c r="AA194" s="360"/>
      <c r="AB194" s="4"/>
      <c r="AC194" s="36"/>
      <c r="AD194" s="36"/>
      <c r="AE194" s="36"/>
      <c r="AF194" s="4"/>
      <c r="AG194" s="380"/>
      <c r="AH194" s="380"/>
      <c r="AI194" s="381"/>
      <c r="AJ194" s="4"/>
      <c r="AK194" s="36"/>
      <c r="AL194" s="36"/>
      <c r="AM194" s="363"/>
      <c r="AN194" s="307"/>
    </row>
    <row r="195">
      <c r="A195" s="371">
        <v>700.0</v>
      </c>
      <c r="B195" s="372">
        <v>0.48194444444444445</v>
      </c>
      <c r="C195" s="366">
        <v>46141.0</v>
      </c>
      <c r="D195" s="307"/>
      <c r="E195" s="389"/>
      <c r="F195" s="390"/>
      <c r="G195" s="392"/>
      <c r="H195" s="307"/>
      <c r="I195" s="389"/>
      <c r="J195" s="390"/>
      <c r="K195" s="392"/>
      <c r="L195" s="4"/>
      <c r="M195" s="389"/>
      <c r="N195" s="390"/>
      <c r="O195" s="392"/>
      <c r="P195" s="4"/>
      <c r="Q195" s="389"/>
      <c r="R195" s="390"/>
      <c r="S195" s="392"/>
      <c r="T195" s="4"/>
      <c r="U195" s="389"/>
      <c r="V195" s="390"/>
      <c r="W195" s="392"/>
      <c r="X195" s="4"/>
      <c r="Y195" s="406"/>
      <c r="Z195" s="36"/>
      <c r="AA195" s="360"/>
      <c r="AB195" s="4"/>
      <c r="AC195" s="36"/>
      <c r="AD195" s="36"/>
      <c r="AE195" s="36"/>
      <c r="AF195" s="4"/>
      <c r="AG195" s="380"/>
      <c r="AH195" s="380"/>
      <c r="AI195" s="381"/>
      <c r="AJ195" s="4"/>
      <c r="AK195" s="36"/>
      <c r="AL195" s="36"/>
      <c r="AM195" s="36"/>
      <c r="AN195" s="307"/>
    </row>
    <row r="196">
      <c r="A196" s="371">
        <v>160.0</v>
      </c>
      <c r="B196" s="372">
        <v>0.5791666666666667</v>
      </c>
      <c r="C196" s="366">
        <v>46142.0</v>
      </c>
      <c r="D196" s="307"/>
      <c r="E196" s="389"/>
      <c r="F196" s="390"/>
      <c r="G196" s="392"/>
      <c r="H196" s="307"/>
      <c r="I196" s="389"/>
      <c r="J196" s="390"/>
      <c r="K196" s="392"/>
      <c r="L196" s="4"/>
      <c r="M196" s="389"/>
      <c r="N196" s="390"/>
      <c r="O196" s="392"/>
      <c r="P196" s="4"/>
      <c r="Q196" s="389"/>
      <c r="R196" s="390"/>
      <c r="S196" s="392"/>
      <c r="T196" s="4"/>
      <c r="U196" s="389"/>
      <c r="V196" s="390"/>
      <c r="W196" s="392"/>
      <c r="X196" s="4"/>
      <c r="Y196" s="406"/>
      <c r="Z196" s="36"/>
      <c r="AA196" s="360"/>
      <c r="AB196" s="4"/>
      <c r="AC196" s="36"/>
      <c r="AD196" s="36"/>
      <c r="AE196" s="36"/>
      <c r="AF196" s="4"/>
      <c r="AG196" s="380"/>
      <c r="AH196" s="380"/>
      <c r="AI196" s="381"/>
      <c r="AJ196" s="4"/>
      <c r="AK196" s="36"/>
      <c r="AL196" s="36"/>
      <c r="AM196" s="363"/>
      <c r="AN196" s="307"/>
    </row>
    <row r="197">
      <c r="A197" s="371">
        <v>100.0</v>
      </c>
      <c r="B197" s="372">
        <v>0.8659722222222223</v>
      </c>
      <c r="C197" s="366">
        <v>46143.0</v>
      </c>
      <c r="D197" s="307"/>
      <c r="E197" s="389"/>
      <c r="F197" s="390"/>
      <c r="G197" s="392"/>
      <c r="H197" s="307"/>
      <c r="I197" s="389"/>
      <c r="J197" s="390"/>
      <c r="K197" s="392"/>
      <c r="L197" s="4"/>
      <c r="M197" s="389"/>
      <c r="N197" s="390"/>
      <c r="O197" s="392"/>
      <c r="P197" s="4"/>
      <c r="Q197" s="389"/>
      <c r="R197" s="390"/>
      <c r="S197" s="392"/>
      <c r="T197" s="4"/>
      <c r="U197" s="389"/>
      <c r="V197" s="390"/>
      <c r="W197" s="392"/>
      <c r="X197" s="4"/>
      <c r="Y197" s="406"/>
      <c r="Z197" s="36"/>
      <c r="AA197" s="360"/>
      <c r="AB197" s="4"/>
      <c r="AC197" s="36"/>
      <c r="AD197" s="36"/>
      <c r="AE197" s="36"/>
      <c r="AF197" s="4"/>
      <c r="AG197" s="380"/>
      <c r="AH197" s="380"/>
      <c r="AI197" s="381"/>
      <c r="AJ197" s="4"/>
      <c r="AK197" s="36"/>
      <c r="AL197" s="36"/>
      <c r="AM197" s="363"/>
      <c r="AN197" s="307"/>
    </row>
    <row r="198">
      <c r="A198" s="371">
        <v>200.0</v>
      </c>
      <c r="B198" s="372">
        <v>0.8715277777777778</v>
      </c>
      <c r="C198" s="366">
        <v>46143.0</v>
      </c>
      <c r="D198" s="307"/>
      <c r="E198" s="389"/>
      <c r="F198" s="390"/>
      <c r="G198" s="392"/>
      <c r="H198" s="307"/>
      <c r="I198" s="389"/>
      <c r="J198" s="390"/>
      <c r="K198" s="392"/>
      <c r="L198" s="4"/>
      <c r="M198" s="389"/>
      <c r="N198" s="390"/>
      <c r="O198" s="392"/>
      <c r="P198" s="4"/>
      <c r="Q198" s="389"/>
      <c r="R198" s="390"/>
      <c r="S198" s="392"/>
      <c r="T198" s="4"/>
      <c r="U198" s="389"/>
      <c r="V198" s="390"/>
      <c r="W198" s="392"/>
      <c r="X198" s="4"/>
      <c r="Y198" s="406"/>
      <c r="Z198" s="36"/>
      <c r="AA198" s="360"/>
      <c r="AB198" s="4"/>
      <c r="AC198" s="36"/>
      <c r="AD198" s="36"/>
      <c r="AE198" s="36"/>
      <c r="AF198" s="4"/>
      <c r="AG198" s="380"/>
      <c r="AH198" s="380"/>
      <c r="AI198" s="381"/>
      <c r="AJ198" s="4"/>
      <c r="AK198" s="36"/>
      <c r="AL198" s="36"/>
      <c r="AM198" s="36"/>
      <c r="AN198" s="307"/>
    </row>
    <row r="199">
      <c r="A199" s="371">
        <v>200.0</v>
      </c>
      <c r="B199" s="372">
        <v>0.8493055555555555</v>
      </c>
      <c r="C199" s="366">
        <v>46146.0</v>
      </c>
      <c r="D199" s="307"/>
      <c r="E199" s="389"/>
      <c r="F199" s="390"/>
      <c r="G199" s="392"/>
      <c r="H199" s="307"/>
      <c r="I199" s="389"/>
      <c r="J199" s="390"/>
      <c r="K199" s="392"/>
      <c r="L199" s="4"/>
      <c r="M199" s="389"/>
      <c r="N199" s="390"/>
      <c r="O199" s="392"/>
      <c r="P199" s="4"/>
      <c r="Q199" s="389"/>
      <c r="R199" s="390"/>
      <c r="S199" s="392"/>
      <c r="T199" s="4"/>
      <c r="U199" s="389"/>
      <c r="V199" s="390"/>
      <c r="W199" s="392"/>
      <c r="X199" s="4"/>
      <c r="Y199" s="406"/>
      <c r="Z199" s="36"/>
      <c r="AA199" s="360"/>
      <c r="AB199" s="4"/>
      <c r="AC199" s="36"/>
      <c r="AD199" s="36"/>
      <c r="AE199" s="36"/>
      <c r="AF199" s="4"/>
      <c r="AG199" s="380"/>
      <c r="AH199" s="380"/>
      <c r="AI199" s="381"/>
      <c r="AJ199" s="4"/>
      <c r="AK199" s="36"/>
      <c r="AL199" s="36"/>
      <c r="AM199" s="363"/>
      <c r="AN199" s="307"/>
    </row>
    <row r="200">
      <c r="A200" s="371">
        <v>2000.0</v>
      </c>
      <c r="B200" s="372">
        <v>0.6840277777777778</v>
      </c>
      <c r="C200" s="366">
        <v>46147.0</v>
      </c>
      <c r="D200" s="307"/>
      <c r="E200" s="389"/>
      <c r="F200" s="390"/>
      <c r="G200" s="392"/>
      <c r="H200" s="307"/>
      <c r="I200" s="389"/>
      <c r="J200" s="390"/>
      <c r="K200" s="392"/>
      <c r="L200" s="4"/>
      <c r="M200" s="389"/>
      <c r="N200" s="390"/>
      <c r="O200" s="392"/>
      <c r="P200" s="4"/>
      <c r="Q200" s="389"/>
      <c r="R200" s="390"/>
      <c r="S200" s="392"/>
      <c r="T200" s="4"/>
      <c r="U200" s="389"/>
      <c r="V200" s="390"/>
      <c r="W200" s="392"/>
      <c r="X200" s="4"/>
      <c r="Y200" s="406"/>
      <c r="Z200" s="36"/>
      <c r="AA200" s="360"/>
      <c r="AB200" s="4"/>
      <c r="AC200" s="36"/>
      <c r="AD200" s="36"/>
      <c r="AE200" s="36"/>
      <c r="AF200" s="4"/>
      <c r="AG200" s="380"/>
      <c r="AH200" s="380"/>
      <c r="AI200" s="381"/>
      <c r="AJ200" s="4"/>
      <c r="AK200" s="36"/>
      <c r="AL200" s="36"/>
      <c r="AM200" s="363"/>
      <c r="AN200" s="307"/>
    </row>
    <row r="201">
      <c r="A201" s="371">
        <v>500.0</v>
      </c>
      <c r="B201" s="372">
        <v>0.7076388888888889</v>
      </c>
      <c r="C201" s="366">
        <v>46147.0</v>
      </c>
      <c r="D201" s="307"/>
      <c r="E201" s="389"/>
      <c r="F201" s="390"/>
      <c r="G201" s="392"/>
      <c r="H201" s="307"/>
      <c r="I201" s="389"/>
      <c r="J201" s="390"/>
      <c r="K201" s="392"/>
      <c r="L201" s="4"/>
      <c r="M201" s="389"/>
      <c r="N201" s="390"/>
      <c r="O201" s="392"/>
      <c r="P201" s="4"/>
      <c r="Q201" s="389"/>
      <c r="R201" s="390"/>
      <c r="S201" s="392"/>
      <c r="T201" s="4"/>
      <c r="U201" s="389"/>
      <c r="V201" s="390"/>
      <c r="W201" s="392"/>
      <c r="X201" s="4"/>
      <c r="Y201" s="406"/>
      <c r="Z201" s="36"/>
      <c r="AA201" s="360"/>
      <c r="AB201" s="4"/>
      <c r="AC201" s="36"/>
      <c r="AD201" s="36"/>
      <c r="AE201" s="36"/>
      <c r="AF201" s="4"/>
      <c r="AG201" s="380"/>
      <c r="AH201" s="380"/>
      <c r="AI201" s="381"/>
      <c r="AJ201" s="4"/>
      <c r="AK201" s="36"/>
      <c r="AL201" s="36"/>
      <c r="AM201" s="36"/>
      <c r="AN201" s="307"/>
    </row>
    <row r="202">
      <c r="A202" s="371">
        <v>375.0</v>
      </c>
      <c r="B202" s="372">
        <v>0.7229166666666667</v>
      </c>
      <c r="C202" s="366">
        <v>46147.0</v>
      </c>
      <c r="D202" s="307"/>
      <c r="E202" s="389"/>
      <c r="F202" s="390"/>
      <c r="G202" s="392"/>
      <c r="H202" s="307"/>
      <c r="I202" s="389"/>
      <c r="J202" s="390"/>
      <c r="K202" s="392"/>
      <c r="L202" s="4"/>
      <c r="M202" s="389"/>
      <c r="N202" s="390"/>
      <c r="O202" s="392"/>
      <c r="P202" s="4"/>
      <c r="Q202" s="389"/>
      <c r="R202" s="390"/>
      <c r="S202" s="392"/>
      <c r="T202" s="4"/>
      <c r="U202" s="389"/>
      <c r="V202" s="390"/>
      <c r="W202" s="392"/>
      <c r="X202" s="4"/>
      <c r="Y202" s="406"/>
      <c r="Z202" s="36"/>
      <c r="AA202" s="360"/>
      <c r="AB202" s="4"/>
      <c r="AC202" s="36"/>
      <c r="AD202" s="36"/>
      <c r="AE202" s="36"/>
      <c r="AF202" s="4"/>
      <c r="AG202" s="380"/>
      <c r="AH202" s="380"/>
      <c r="AI202" s="381"/>
      <c r="AJ202" s="4"/>
      <c r="AK202" s="36"/>
      <c r="AL202" s="36"/>
      <c r="AM202" s="363"/>
      <c r="AN202" s="307"/>
    </row>
    <row r="203">
      <c r="A203" s="371">
        <v>200.0</v>
      </c>
      <c r="B203" s="372">
        <v>0.7270833333333333</v>
      </c>
      <c r="C203" s="366">
        <v>46147.0</v>
      </c>
      <c r="D203" s="307"/>
      <c r="E203" s="389"/>
      <c r="F203" s="390"/>
      <c r="G203" s="392"/>
      <c r="H203" s="307"/>
      <c r="I203" s="389"/>
      <c r="J203" s="390"/>
      <c r="K203" s="392"/>
      <c r="L203" s="4"/>
      <c r="M203" s="389"/>
      <c r="N203" s="390"/>
      <c r="O203" s="392"/>
      <c r="P203" s="4"/>
      <c r="Q203" s="389"/>
      <c r="R203" s="390"/>
      <c r="S203" s="392"/>
      <c r="T203" s="4"/>
      <c r="U203" s="389"/>
      <c r="V203" s="390"/>
      <c r="W203" s="392"/>
      <c r="X203" s="4"/>
      <c r="Y203" s="406"/>
      <c r="Z203" s="36"/>
      <c r="AA203" s="360"/>
      <c r="AB203" s="4"/>
      <c r="AC203" s="36"/>
      <c r="AD203" s="36"/>
      <c r="AE203" s="36"/>
      <c r="AF203" s="4"/>
      <c r="AG203" s="380"/>
      <c r="AH203" s="380"/>
      <c r="AI203" s="381"/>
      <c r="AJ203" s="4"/>
      <c r="AK203" s="36"/>
      <c r="AL203" s="36"/>
      <c r="AM203" s="363"/>
      <c r="AN203" s="307"/>
    </row>
    <row r="204">
      <c r="A204" s="371">
        <v>320.0</v>
      </c>
      <c r="B204" s="372">
        <v>0.7291666666666666</v>
      </c>
      <c r="C204" s="366">
        <v>46147.0</v>
      </c>
      <c r="D204" s="307"/>
      <c r="E204" s="389"/>
      <c r="F204" s="390"/>
      <c r="G204" s="392"/>
      <c r="H204" s="307"/>
      <c r="I204" s="389"/>
      <c r="J204" s="390"/>
      <c r="K204" s="392"/>
      <c r="L204" s="4"/>
      <c r="M204" s="389"/>
      <c r="N204" s="390"/>
      <c r="O204" s="392"/>
      <c r="P204" s="4"/>
      <c r="Q204" s="389"/>
      <c r="R204" s="390"/>
      <c r="S204" s="392"/>
      <c r="T204" s="4"/>
      <c r="U204" s="389"/>
      <c r="V204" s="390"/>
      <c r="W204" s="392"/>
      <c r="X204" s="4"/>
      <c r="Y204" s="406"/>
      <c r="Z204" s="36"/>
      <c r="AA204" s="360"/>
      <c r="AB204" s="4"/>
      <c r="AC204" s="36"/>
      <c r="AD204" s="36"/>
      <c r="AE204" s="36"/>
      <c r="AF204" s="4"/>
      <c r="AG204" s="380"/>
      <c r="AH204" s="380"/>
      <c r="AI204" s="381"/>
      <c r="AJ204" s="4"/>
      <c r="AK204" s="36"/>
      <c r="AL204" s="36"/>
      <c r="AM204" s="36"/>
      <c r="AN204" s="307"/>
    </row>
    <row r="205">
      <c r="A205" s="371">
        <v>175.0</v>
      </c>
      <c r="B205" s="372">
        <v>0.7381944444444445</v>
      </c>
      <c r="C205" s="366">
        <v>46147.0</v>
      </c>
      <c r="D205" s="307"/>
      <c r="E205" s="389"/>
      <c r="F205" s="390"/>
      <c r="G205" s="392"/>
      <c r="H205" s="307"/>
      <c r="I205" s="389"/>
      <c r="J205" s="390"/>
      <c r="K205" s="392"/>
      <c r="L205" s="4"/>
      <c r="M205" s="389"/>
      <c r="N205" s="390"/>
      <c r="O205" s="392"/>
      <c r="P205" s="4"/>
      <c r="Q205" s="389"/>
      <c r="R205" s="390"/>
      <c r="S205" s="392"/>
      <c r="T205" s="4"/>
      <c r="U205" s="389"/>
      <c r="V205" s="390"/>
      <c r="W205" s="392"/>
      <c r="X205" s="4"/>
      <c r="Y205" s="406"/>
      <c r="Z205" s="36"/>
      <c r="AA205" s="360"/>
      <c r="AB205" s="4"/>
      <c r="AC205" s="36"/>
      <c r="AD205" s="36"/>
      <c r="AE205" s="36"/>
      <c r="AF205" s="4"/>
      <c r="AG205" s="380"/>
      <c r="AH205" s="380"/>
      <c r="AI205" s="381"/>
      <c r="AJ205" s="4"/>
      <c r="AK205" s="36"/>
      <c r="AL205" s="36"/>
      <c r="AM205" s="363"/>
      <c r="AN205" s="307"/>
    </row>
    <row r="206">
      <c r="A206" s="371">
        <v>200.0</v>
      </c>
      <c r="B206" s="372">
        <v>0.5694444444444444</v>
      </c>
      <c r="C206" s="366">
        <v>46149.0</v>
      </c>
      <c r="D206" s="307"/>
      <c r="E206" s="389"/>
      <c r="F206" s="390"/>
      <c r="G206" s="392"/>
      <c r="H206" s="307"/>
      <c r="I206" s="389"/>
      <c r="J206" s="390"/>
      <c r="K206" s="392"/>
      <c r="L206" s="4"/>
      <c r="M206" s="389"/>
      <c r="N206" s="390"/>
      <c r="O206" s="392"/>
      <c r="P206" s="4"/>
      <c r="Q206" s="389"/>
      <c r="R206" s="390"/>
      <c r="S206" s="392"/>
      <c r="T206" s="4"/>
      <c r="U206" s="389"/>
      <c r="V206" s="390"/>
      <c r="W206" s="392"/>
      <c r="X206" s="4"/>
      <c r="Y206" s="406"/>
      <c r="Z206" s="36"/>
      <c r="AA206" s="360"/>
      <c r="AB206" s="4"/>
      <c r="AC206" s="36"/>
      <c r="AD206" s="36"/>
      <c r="AE206" s="36"/>
      <c r="AF206" s="4"/>
      <c r="AG206" s="380"/>
      <c r="AH206" s="380"/>
      <c r="AI206" s="381"/>
      <c r="AJ206" s="4"/>
      <c r="AK206" s="36"/>
      <c r="AL206" s="36"/>
      <c r="AM206" s="363"/>
      <c r="AN206" s="307"/>
    </row>
    <row r="207">
      <c r="A207" s="371">
        <v>160.0</v>
      </c>
      <c r="B207" s="372">
        <v>0.5729166666666666</v>
      </c>
      <c r="C207" s="366">
        <v>46149.0</v>
      </c>
      <c r="D207" s="307"/>
      <c r="E207" s="389"/>
      <c r="F207" s="390"/>
      <c r="G207" s="392"/>
      <c r="H207" s="307"/>
      <c r="I207" s="389"/>
      <c r="J207" s="390"/>
      <c r="K207" s="392"/>
      <c r="L207" s="4"/>
      <c r="M207" s="389"/>
      <c r="N207" s="390"/>
      <c r="O207" s="392"/>
      <c r="P207" s="4"/>
      <c r="Q207" s="389"/>
      <c r="R207" s="390"/>
      <c r="S207" s="392"/>
      <c r="T207" s="4"/>
      <c r="U207" s="389"/>
      <c r="V207" s="390"/>
      <c r="W207" s="392"/>
      <c r="X207" s="4"/>
      <c r="Y207" s="406"/>
      <c r="Z207" s="36"/>
      <c r="AA207" s="360"/>
      <c r="AB207" s="4"/>
      <c r="AC207" s="36"/>
      <c r="AD207" s="36"/>
      <c r="AE207" s="36"/>
      <c r="AF207" s="4"/>
      <c r="AG207" s="380"/>
      <c r="AH207" s="380"/>
      <c r="AI207" s="381"/>
      <c r="AJ207" s="4"/>
      <c r="AK207" s="36"/>
      <c r="AL207" s="36"/>
      <c r="AM207" s="36"/>
      <c r="AN207" s="307"/>
    </row>
    <row r="208">
      <c r="A208" s="371">
        <v>1700.0</v>
      </c>
      <c r="B208" s="372">
        <v>0.48680555555555555</v>
      </c>
      <c r="C208" s="366">
        <v>46153.0</v>
      </c>
      <c r="D208" s="307"/>
      <c r="E208" s="389"/>
      <c r="F208" s="390"/>
      <c r="G208" s="392"/>
      <c r="H208" s="307"/>
      <c r="I208" s="389"/>
      <c r="J208" s="390"/>
      <c r="K208" s="392"/>
      <c r="L208" s="4"/>
      <c r="M208" s="389"/>
      <c r="N208" s="390"/>
      <c r="O208" s="392"/>
      <c r="P208" s="4"/>
      <c r="Q208" s="389"/>
      <c r="R208" s="390"/>
      <c r="S208" s="392"/>
      <c r="T208" s="4"/>
      <c r="U208" s="389"/>
      <c r="V208" s="390"/>
      <c r="W208" s="392"/>
      <c r="X208" s="4"/>
      <c r="Y208" s="406"/>
      <c r="Z208" s="36"/>
      <c r="AA208" s="360"/>
      <c r="AB208" s="4"/>
      <c r="AC208" s="36"/>
      <c r="AD208" s="36"/>
      <c r="AE208" s="36"/>
      <c r="AF208" s="4"/>
      <c r="AG208" s="380"/>
      <c r="AH208" s="380"/>
      <c r="AI208" s="381"/>
      <c r="AJ208" s="4"/>
      <c r="AK208" s="36"/>
      <c r="AL208" s="36"/>
      <c r="AM208" s="363"/>
      <c r="AN208" s="307"/>
    </row>
    <row r="209">
      <c r="A209" s="371">
        <v>170.0</v>
      </c>
      <c r="B209" s="372">
        <v>0.9229166666666667</v>
      </c>
      <c r="C209" s="366">
        <v>46153.0</v>
      </c>
      <c r="D209" s="307"/>
      <c r="E209" s="389"/>
      <c r="F209" s="390"/>
      <c r="G209" s="392"/>
      <c r="H209" s="307"/>
      <c r="I209" s="389"/>
      <c r="J209" s="390"/>
      <c r="K209" s="392"/>
      <c r="L209" s="4"/>
      <c r="M209" s="389"/>
      <c r="N209" s="390"/>
      <c r="O209" s="392"/>
      <c r="P209" s="4"/>
      <c r="Q209" s="389"/>
      <c r="R209" s="390"/>
      <c r="S209" s="392"/>
      <c r="T209" s="4"/>
      <c r="U209" s="389"/>
      <c r="V209" s="390"/>
      <c r="W209" s="392"/>
      <c r="X209" s="4"/>
      <c r="Y209" s="406"/>
      <c r="Z209" s="36"/>
      <c r="AA209" s="360"/>
      <c r="AB209" s="4"/>
      <c r="AC209" s="36"/>
      <c r="AD209" s="36"/>
      <c r="AE209" s="36"/>
      <c r="AF209" s="4"/>
      <c r="AG209" s="380"/>
      <c r="AH209" s="380"/>
      <c r="AI209" s="381"/>
      <c r="AJ209" s="4"/>
      <c r="AK209" s="36"/>
      <c r="AL209" s="36"/>
      <c r="AM209" s="363"/>
      <c r="AN209" s="307"/>
    </row>
    <row r="210">
      <c r="A210" s="371">
        <v>350.0</v>
      </c>
      <c r="B210" s="372">
        <v>0.925</v>
      </c>
      <c r="C210" s="366">
        <v>46153.0</v>
      </c>
      <c r="D210" s="307"/>
      <c r="E210" s="389"/>
      <c r="F210" s="390"/>
      <c r="G210" s="392"/>
      <c r="H210" s="307"/>
      <c r="I210" s="389"/>
      <c r="J210" s="390"/>
      <c r="K210" s="392"/>
      <c r="L210" s="4"/>
      <c r="M210" s="389"/>
      <c r="N210" s="390"/>
      <c r="O210" s="392"/>
      <c r="P210" s="4"/>
      <c r="Q210" s="389"/>
      <c r="R210" s="390"/>
      <c r="S210" s="392"/>
      <c r="T210" s="4"/>
      <c r="U210" s="389"/>
      <c r="V210" s="390"/>
      <c r="W210" s="392"/>
      <c r="X210" s="4"/>
      <c r="Y210" s="406"/>
      <c r="Z210" s="36"/>
      <c r="AA210" s="360"/>
      <c r="AB210" s="4"/>
      <c r="AC210" s="36"/>
      <c r="AD210" s="36"/>
      <c r="AE210" s="36"/>
      <c r="AF210" s="4"/>
      <c r="AG210" s="380"/>
      <c r="AH210" s="380"/>
      <c r="AI210" s="381"/>
      <c r="AJ210" s="4"/>
      <c r="AK210" s="36"/>
      <c r="AL210" s="36"/>
      <c r="AM210" s="36"/>
      <c r="AN210" s="307"/>
    </row>
    <row r="211">
      <c r="A211" s="371">
        <v>500.0</v>
      </c>
      <c r="B211" s="372">
        <v>0.9270833333333334</v>
      </c>
      <c r="C211" s="366">
        <v>46153.0</v>
      </c>
      <c r="D211" s="307"/>
      <c r="E211" s="389"/>
      <c r="F211" s="390"/>
      <c r="G211" s="392"/>
      <c r="H211" s="307"/>
      <c r="I211" s="389"/>
      <c r="J211" s="390"/>
      <c r="K211" s="392"/>
      <c r="L211" s="4"/>
      <c r="M211" s="389"/>
      <c r="N211" s="390"/>
      <c r="O211" s="392"/>
      <c r="P211" s="4"/>
      <c r="Q211" s="389"/>
      <c r="R211" s="390"/>
      <c r="S211" s="392"/>
      <c r="T211" s="4"/>
      <c r="U211" s="389"/>
      <c r="V211" s="390"/>
      <c r="W211" s="392"/>
      <c r="X211" s="4"/>
      <c r="Y211" s="406"/>
      <c r="Z211" s="36"/>
      <c r="AA211" s="360"/>
      <c r="AB211" s="4"/>
      <c r="AC211" s="36"/>
      <c r="AD211" s="36"/>
      <c r="AE211" s="36"/>
      <c r="AF211" s="4"/>
      <c r="AG211" s="380"/>
      <c r="AH211" s="380"/>
      <c r="AI211" s="381"/>
      <c r="AJ211" s="4"/>
      <c r="AK211" s="36"/>
      <c r="AL211" s="36"/>
      <c r="AM211" s="363"/>
      <c r="AN211" s="307"/>
    </row>
    <row r="212">
      <c r="A212" s="371">
        <v>550.0</v>
      </c>
      <c r="B212" s="372">
        <v>0.9305555555555556</v>
      </c>
      <c r="C212" s="366">
        <v>46153.0</v>
      </c>
      <c r="D212" s="307"/>
      <c r="E212" s="389"/>
      <c r="F212" s="390"/>
      <c r="G212" s="392"/>
      <c r="H212" s="307"/>
      <c r="I212" s="389"/>
      <c r="J212" s="390"/>
      <c r="K212" s="392"/>
      <c r="L212" s="4"/>
      <c r="M212" s="389"/>
      <c r="N212" s="390"/>
      <c r="O212" s="392"/>
      <c r="P212" s="4"/>
      <c r="Q212" s="389"/>
      <c r="R212" s="390"/>
      <c r="S212" s="392"/>
      <c r="T212" s="4"/>
      <c r="U212" s="389"/>
      <c r="V212" s="390"/>
      <c r="W212" s="392"/>
      <c r="X212" s="4"/>
      <c r="Y212" s="406"/>
      <c r="Z212" s="36"/>
      <c r="AA212" s="360"/>
      <c r="AB212" s="4"/>
      <c r="AC212" s="36"/>
      <c r="AD212" s="36"/>
      <c r="AE212" s="36"/>
      <c r="AF212" s="4"/>
      <c r="AG212" s="380"/>
      <c r="AH212" s="380"/>
      <c r="AI212" s="381"/>
      <c r="AJ212" s="4"/>
      <c r="AK212" s="36"/>
      <c r="AL212" s="36"/>
      <c r="AM212" s="363"/>
      <c r="AN212" s="307"/>
    </row>
    <row r="213">
      <c r="A213" s="371">
        <v>500.0</v>
      </c>
      <c r="B213" s="372">
        <v>0.9326388888888889</v>
      </c>
      <c r="C213" s="366">
        <v>46153.0</v>
      </c>
      <c r="D213" s="307"/>
      <c r="E213" s="389"/>
      <c r="F213" s="390"/>
      <c r="G213" s="392"/>
      <c r="H213" s="307"/>
      <c r="I213" s="389"/>
      <c r="J213" s="390"/>
      <c r="K213" s="392"/>
      <c r="L213" s="4"/>
      <c r="M213" s="389"/>
      <c r="N213" s="390"/>
      <c r="O213" s="392"/>
      <c r="P213" s="4"/>
      <c r="Q213" s="389"/>
      <c r="R213" s="390"/>
      <c r="S213" s="392"/>
      <c r="T213" s="4"/>
      <c r="U213" s="389"/>
      <c r="V213" s="390"/>
      <c r="W213" s="392"/>
      <c r="X213" s="4"/>
      <c r="Y213" s="406"/>
      <c r="Z213" s="36"/>
      <c r="AA213" s="360"/>
      <c r="AB213" s="4"/>
      <c r="AC213" s="36"/>
      <c r="AD213" s="36"/>
      <c r="AE213" s="36"/>
      <c r="AF213" s="4"/>
      <c r="AG213" s="380"/>
      <c r="AH213" s="380"/>
      <c r="AI213" s="381"/>
      <c r="AJ213" s="4"/>
      <c r="AK213" s="36"/>
      <c r="AL213" s="36"/>
      <c r="AM213" s="36"/>
      <c r="AN213" s="307"/>
    </row>
    <row r="214">
      <c r="A214" s="371">
        <v>150.0</v>
      </c>
      <c r="B214" s="372">
        <v>0.45625</v>
      </c>
      <c r="C214" s="366">
        <v>46156.0</v>
      </c>
      <c r="D214" s="307"/>
      <c r="E214" s="389"/>
      <c r="F214" s="390"/>
      <c r="G214" s="392"/>
      <c r="H214" s="307"/>
      <c r="I214" s="389"/>
      <c r="J214" s="390"/>
      <c r="K214" s="392"/>
      <c r="L214" s="4"/>
      <c r="M214" s="389"/>
      <c r="N214" s="390"/>
      <c r="O214" s="392"/>
      <c r="P214" s="4"/>
      <c r="Q214" s="389"/>
      <c r="R214" s="390"/>
      <c r="S214" s="392"/>
      <c r="T214" s="4"/>
      <c r="U214" s="389"/>
      <c r="V214" s="390"/>
      <c r="W214" s="392"/>
      <c r="X214" s="4"/>
      <c r="Y214" s="406"/>
      <c r="Z214" s="36"/>
      <c r="AA214" s="360"/>
      <c r="AB214" s="4"/>
      <c r="AC214" s="36"/>
      <c r="AD214" s="36"/>
      <c r="AE214" s="36"/>
      <c r="AF214" s="4"/>
      <c r="AG214" s="380"/>
      <c r="AH214" s="380"/>
      <c r="AI214" s="381"/>
      <c r="AJ214" s="4"/>
      <c r="AK214" s="36"/>
      <c r="AL214" s="36"/>
      <c r="AM214" s="363"/>
      <c r="AN214" s="307"/>
    </row>
    <row r="215">
      <c r="A215" s="371">
        <v>350.0</v>
      </c>
      <c r="B215" s="372">
        <v>0.7541666666666667</v>
      </c>
      <c r="C215" s="366">
        <v>46156.0</v>
      </c>
      <c r="D215" s="307"/>
      <c r="E215" s="389"/>
      <c r="F215" s="390"/>
      <c r="G215" s="392"/>
      <c r="H215" s="307"/>
      <c r="I215" s="389"/>
      <c r="J215" s="390"/>
      <c r="K215" s="392"/>
      <c r="L215" s="4"/>
      <c r="M215" s="389"/>
      <c r="N215" s="390"/>
      <c r="O215" s="392"/>
      <c r="P215" s="4"/>
      <c r="Q215" s="389"/>
      <c r="R215" s="390"/>
      <c r="S215" s="392"/>
      <c r="T215" s="4"/>
      <c r="U215" s="389"/>
      <c r="V215" s="390"/>
      <c r="W215" s="392"/>
      <c r="X215" s="4"/>
      <c r="Y215" s="406"/>
      <c r="Z215" s="36"/>
      <c r="AA215" s="360"/>
      <c r="AB215" s="4"/>
      <c r="AC215" s="36"/>
      <c r="AD215" s="36"/>
      <c r="AE215" s="36"/>
      <c r="AF215" s="4"/>
      <c r="AG215" s="380"/>
      <c r="AH215" s="380"/>
      <c r="AI215" s="381"/>
      <c r="AJ215" s="4"/>
      <c r="AK215" s="36"/>
      <c r="AL215" s="36"/>
      <c r="AM215" s="363"/>
      <c r="AN215" s="307"/>
    </row>
    <row r="216">
      <c r="A216" s="371">
        <v>160.0</v>
      </c>
      <c r="B216" s="372">
        <v>0.4798611111111111</v>
      </c>
      <c r="C216" s="366">
        <v>46158.0</v>
      </c>
      <c r="D216" s="307"/>
      <c r="E216" s="389"/>
      <c r="F216" s="390"/>
      <c r="G216" s="392"/>
      <c r="H216" s="307"/>
      <c r="I216" s="389"/>
      <c r="J216" s="390"/>
      <c r="K216" s="392"/>
      <c r="L216" s="4"/>
      <c r="M216" s="389"/>
      <c r="N216" s="390"/>
      <c r="O216" s="392"/>
      <c r="P216" s="4"/>
      <c r="Q216" s="389"/>
      <c r="R216" s="390"/>
      <c r="S216" s="392"/>
      <c r="T216" s="4"/>
      <c r="U216" s="389"/>
      <c r="V216" s="390"/>
      <c r="W216" s="392"/>
      <c r="X216" s="4"/>
      <c r="Y216" s="406"/>
      <c r="Z216" s="36"/>
      <c r="AA216" s="360"/>
      <c r="AB216" s="4"/>
      <c r="AC216" s="36"/>
      <c r="AD216" s="36"/>
      <c r="AE216" s="36"/>
      <c r="AF216" s="4"/>
      <c r="AG216" s="380"/>
      <c r="AH216" s="380"/>
      <c r="AI216" s="381"/>
      <c r="AJ216" s="4"/>
      <c r="AK216" s="36"/>
      <c r="AL216" s="36"/>
      <c r="AM216" s="36"/>
      <c r="AN216" s="307"/>
    </row>
    <row r="217">
      <c r="A217" s="371">
        <v>470.0</v>
      </c>
      <c r="B217" s="372">
        <v>0.7895833333333333</v>
      </c>
      <c r="C217" s="366">
        <v>46160.0</v>
      </c>
      <c r="D217" s="307"/>
      <c r="E217" s="389"/>
      <c r="F217" s="390"/>
      <c r="G217" s="392"/>
      <c r="H217" s="307"/>
      <c r="I217" s="389"/>
      <c r="J217" s="390"/>
      <c r="K217" s="392"/>
      <c r="L217" s="4"/>
      <c r="M217" s="389"/>
      <c r="N217" s="390"/>
      <c r="O217" s="392"/>
      <c r="P217" s="4"/>
      <c r="Q217" s="389"/>
      <c r="R217" s="390"/>
      <c r="S217" s="392"/>
      <c r="T217" s="4"/>
      <c r="U217" s="389"/>
      <c r="V217" s="390"/>
      <c r="W217" s="392"/>
      <c r="X217" s="4"/>
      <c r="Y217" s="406"/>
      <c r="Z217" s="36"/>
      <c r="AA217" s="360"/>
      <c r="AB217" s="4"/>
      <c r="AC217" s="36"/>
      <c r="AD217" s="36"/>
      <c r="AE217" s="36"/>
      <c r="AF217" s="4"/>
      <c r="AG217" s="380"/>
      <c r="AH217" s="380"/>
      <c r="AI217" s="381"/>
      <c r="AJ217" s="4"/>
      <c r="AK217" s="36"/>
      <c r="AL217" s="36"/>
      <c r="AM217" s="363"/>
      <c r="AN217" s="307"/>
    </row>
    <row r="218">
      <c r="A218" s="371">
        <v>300.0</v>
      </c>
      <c r="B218" s="372">
        <v>0.5083333333333333</v>
      </c>
      <c r="C218" s="366">
        <v>46167.0</v>
      </c>
      <c r="D218" s="307"/>
      <c r="E218" s="389"/>
      <c r="F218" s="390"/>
      <c r="G218" s="392"/>
      <c r="H218" s="307"/>
      <c r="I218" s="389"/>
      <c r="J218" s="390"/>
      <c r="K218" s="392"/>
      <c r="L218" s="4"/>
      <c r="M218" s="389"/>
      <c r="N218" s="390"/>
      <c r="O218" s="392"/>
      <c r="P218" s="4"/>
      <c r="Q218" s="389"/>
      <c r="R218" s="390"/>
      <c r="S218" s="392"/>
      <c r="T218" s="4"/>
      <c r="U218" s="389"/>
      <c r="V218" s="390"/>
      <c r="W218" s="392"/>
      <c r="X218" s="4"/>
      <c r="Y218" s="406"/>
      <c r="Z218" s="36"/>
      <c r="AA218" s="360"/>
      <c r="AB218" s="4"/>
      <c r="AC218" s="36"/>
      <c r="AD218" s="36"/>
      <c r="AE218" s="36"/>
      <c r="AF218" s="4"/>
      <c r="AG218" s="380"/>
      <c r="AH218" s="380"/>
      <c r="AI218" s="381"/>
      <c r="AJ218" s="4"/>
      <c r="AK218" s="36"/>
      <c r="AL218" s="36"/>
      <c r="AM218" s="363"/>
      <c r="AN218" s="307"/>
    </row>
    <row r="219">
      <c r="A219" s="371">
        <v>200.0</v>
      </c>
      <c r="B219" s="372">
        <v>0.6305555555555555</v>
      </c>
      <c r="C219" s="366">
        <v>46169.0</v>
      </c>
      <c r="D219" s="307"/>
      <c r="E219" s="389"/>
      <c r="F219" s="390"/>
      <c r="G219" s="392"/>
      <c r="H219" s="307"/>
      <c r="I219" s="389"/>
      <c r="J219" s="390"/>
      <c r="K219" s="392"/>
      <c r="L219" s="4"/>
      <c r="M219" s="389"/>
      <c r="N219" s="390"/>
      <c r="O219" s="392"/>
      <c r="P219" s="4"/>
      <c r="Q219" s="389"/>
      <c r="R219" s="390"/>
      <c r="S219" s="392"/>
      <c r="T219" s="4"/>
      <c r="U219" s="389"/>
      <c r="V219" s="390"/>
      <c r="W219" s="392"/>
      <c r="X219" s="4"/>
      <c r="Y219" s="406"/>
      <c r="Z219" s="36"/>
      <c r="AA219" s="360"/>
      <c r="AB219" s="4"/>
      <c r="AC219" s="36"/>
      <c r="AD219" s="36"/>
      <c r="AE219" s="36"/>
      <c r="AF219" s="4"/>
      <c r="AG219" s="380"/>
      <c r="AH219" s="380"/>
      <c r="AI219" s="381"/>
      <c r="AJ219" s="4"/>
      <c r="AK219" s="36"/>
      <c r="AL219" s="36"/>
      <c r="AM219" s="36"/>
      <c r="AN219" s="307"/>
    </row>
    <row r="220">
      <c r="A220" s="371">
        <v>740.0</v>
      </c>
      <c r="B220" s="372">
        <v>0.63125</v>
      </c>
      <c r="C220" s="366">
        <v>46169.0</v>
      </c>
      <c r="D220" s="307"/>
      <c r="E220" s="389"/>
      <c r="F220" s="390"/>
      <c r="G220" s="392"/>
      <c r="H220" s="307"/>
      <c r="I220" s="389"/>
      <c r="J220" s="390"/>
      <c r="K220" s="392"/>
      <c r="L220" s="4"/>
      <c r="M220" s="389"/>
      <c r="N220" s="390"/>
      <c r="O220" s="392"/>
      <c r="P220" s="4"/>
      <c r="Q220" s="389"/>
      <c r="R220" s="390"/>
      <c r="S220" s="392"/>
      <c r="T220" s="4"/>
      <c r="U220" s="389"/>
      <c r="V220" s="390"/>
      <c r="W220" s="392"/>
      <c r="X220" s="4"/>
      <c r="Y220" s="406"/>
      <c r="Z220" s="36"/>
      <c r="AA220" s="360"/>
      <c r="AB220" s="4"/>
      <c r="AC220" s="36"/>
      <c r="AD220" s="36"/>
      <c r="AE220" s="36"/>
      <c r="AF220" s="4"/>
      <c r="AG220" s="380"/>
      <c r="AH220" s="380"/>
      <c r="AI220" s="381"/>
      <c r="AJ220" s="4"/>
      <c r="AK220" s="36"/>
      <c r="AL220" s="36"/>
      <c r="AM220" s="363"/>
      <c r="AN220" s="307"/>
    </row>
    <row r="221">
      <c r="A221" s="371">
        <v>800.0</v>
      </c>
      <c r="B221" s="372">
        <v>0.8555555555555555</v>
      </c>
      <c r="C221" s="366">
        <v>46174.0</v>
      </c>
      <c r="D221" s="307"/>
      <c r="E221" s="389"/>
      <c r="F221" s="390"/>
      <c r="G221" s="392"/>
      <c r="H221" s="307"/>
      <c r="I221" s="389"/>
      <c r="J221" s="390"/>
      <c r="K221" s="392"/>
      <c r="L221" s="4"/>
      <c r="M221" s="389"/>
      <c r="N221" s="390"/>
      <c r="O221" s="392"/>
      <c r="P221" s="4"/>
      <c r="Q221" s="389"/>
      <c r="R221" s="390"/>
      <c r="S221" s="392"/>
      <c r="T221" s="4"/>
      <c r="U221" s="389"/>
      <c r="V221" s="390"/>
      <c r="W221" s="392"/>
      <c r="X221" s="4"/>
      <c r="Y221" s="406"/>
      <c r="Z221" s="36"/>
      <c r="AA221" s="360"/>
      <c r="AB221" s="4"/>
      <c r="AC221" s="36"/>
      <c r="AD221" s="36"/>
      <c r="AE221" s="36"/>
      <c r="AF221" s="4"/>
      <c r="AG221" s="380"/>
      <c r="AH221" s="380"/>
      <c r="AI221" s="381"/>
      <c r="AJ221" s="4"/>
      <c r="AK221" s="36"/>
      <c r="AL221" s="36"/>
      <c r="AM221" s="363"/>
      <c r="AN221" s="307"/>
    </row>
    <row r="222">
      <c r="A222" s="371">
        <v>200.0</v>
      </c>
      <c r="B222" s="372">
        <v>0.5006944444444444</v>
      </c>
      <c r="C222" s="366">
        <v>46177.0</v>
      </c>
      <c r="D222" s="307"/>
      <c r="E222" s="389"/>
      <c r="F222" s="390"/>
      <c r="G222" s="392"/>
      <c r="H222" s="307"/>
      <c r="I222" s="389"/>
      <c r="J222" s="390"/>
      <c r="K222" s="392"/>
      <c r="L222" s="4"/>
      <c r="M222" s="389"/>
      <c r="N222" s="390"/>
      <c r="O222" s="392"/>
      <c r="P222" s="4"/>
      <c r="Q222" s="389"/>
      <c r="R222" s="390"/>
      <c r="S222" s="392"/>
      <c r="T222" s="4"/>
      <c r="U222" s="389"/>
      <c r="V222" s="390"/>
      <c r="W222" s="392"/>
      <c r="X222" s="4"/>
      <c r="Y222" s="406"/>
      <c r="Z222" s="36"/>
      <c r="AA222" s="360"/>
      <c r="AB222" s="4"/>
      <c r="AC222" s="36"/>
      <c r="AD222" s="36"/>
      <c r="AE222" s="36"/>
      <c r="AF222" s="4"/>
      <c r="AG222" s="380"/>
      <c r="AH222" s="380"/>
      <c r="AI222" s="381"/>
      <c r="AJ222" s="4"/>
      <c r="AK222" s="36"/>
      <c r="AL222" s="36"/>
      <c r="AM222" s="36"/>
      <c r="AN222" s="307"/>
    </row>
    <row r="223">
      <c r="A223" s="371">
        <v>1080.0</v>
      </c>
      <c r="B223" s="372">
        <v>0.03888888888888889</v>
      </c>
      <c r="C223" s="366">
        <v>46184.0</v>
      </c>
      <c r="D223" s="307"/>
      <c r="E223" s="389"/>
      <c r="F223" s="390"/>
      <c r="G223" s="392"/>
      <c r="H223" s="307"/>
      <c r="I223" s="389"/>
      <c r="J223" s="390"/>
      <c r="K223" s="392"/>
      <c r="L223" s="4"/>
      <c r="M223" s="389"/>
      <c r="N223" s="390"/>
      <c r="O223" s="392"/>
      <c r="P223" s="4"/>
      <c r="Q223" s="389"/>
      <c r="R223" s="390"/>
      <c r="S223" s="392"/>
      <c r="T223" s="4"/>
      <c r="U223" s="389"/>
      <c r="V223" s="390"/>
      <c r="W223" s="392"/>
      <c r="X223" s="4"/>
      <c r="Y223" s="406"/>
      <c r="Z223" s="36"/>
      <c r="AA223" s="360"/>
      <c r="AB223" s="4"/>
      <c r="AC223" s="36"/>
      <c r="AD223" s="36"/>
      <c r="AE223" s="36"/>
      <c r="AF223" s="4"/>
      <c r="AG223" s="380"/>
      <c r="AH223" s="380"/>
      <c r="AI223" s="381"/>
      <c r="AJ223" s="4"/>
      <c r="AK223" s="36"/>
      <c r="AL223" s="36"/>
      <c r="AM223" s="363"/>
      <c r="AN223" s="307"/>
    </row>
    <row r="224">
      <c r="A224" s="371">
        <v>200.0</v>
      </c>
      <c r="B224" s="372">
        <v>0.03888888888888889</v>
      </c>
      <c r="C224" s="366">
        <v>46184.0</v>
      </c>
      <c r="D224" s="307"/>
      <c r="E224" s="389"/>
      <c r="F224" s="390"/>
      <c r="G224" s="392"/>
      <c r="H224" s="307"/>
      <c r="I224" s="389"/>
      <c r="J224" s="390"/>
      <c r="K224" s="392"/>
      <c r="L224" s="4"/>
      <c r="M224" s="389"/>
      <c r="N224" s="390"/>
      <c r="O224" s="392"/>
      <c r="P224" s="4"/>
      <c r="Q224" s="389"/>
      <c r="R224" s="390"/>
      <c r="S224" s="392"/>
      <c r="T224" s="4"/>
      <c r="U224" s="389"/>
      <c r="V224" s="390"/>
      <c r="W224" s="392"/>
      <c r="X224" s="4"/>
      <c r="Y224" s="406"/>
      <c r="Z224" s="36"/>
      <c r="AA224" s="360"/>
      <c r="AB224" s="4"/>
      <c r="AC224" s="36"/>
      <c r="AD224" s="36"/>
      <c r="AE224" s="36"/>
      <c r="AF224" s="4"/>
      <c r="AG224" s="380"/>
      <c r="AH224" s="380"/>
      <c r="AI224" s="381"/>
      <c r="AJ224" s="4"/>
      <c r="AK224" s="36"/>
      <c r="AL224" s="36"/>
      <c r="AM224" s="363"/>
      <c r="AN224" s="307"/>
    </row>
    <row r="225">
      <c r="A225" s="371">
        <v>350.0</v>
      </c>
      <c r="B225" s="372">
        <v>0.03958333333333333</v>
      </c>
      <c r="C225" s="366">
        <v>46184.0</v>
      </c>
      <c r="D225" s="307"/>
      <c r="E225" s="389"/>
      <c r="F225" s="390"/>
      <c r="G225" s="392"/>
      <c r="H225" s="307"/>
      <c r="I225" s="389"/>
      <c r="J225" s="390"/>
      <c r="K225" s="392"/>
      <c r="L225" s="4"/>
      <c r="M225" s="389"/>
      <c r="N225" s="390"/>
      <c r="O225" s="392"/>
      <c r="P225" s="4"/>
      <c r="Q225" s="389"/>
      <c r="R225" s="390"/>
      <c r="S225" s="392"/>
      <c r="T225" s="4"/>
      <c r="U225" s="389"/>
      <c r="V225" s="390"/>
      <c r="W225" s="392"/>
      <c r="X225" s="4"/>
      <c r="Y225" s="406"/>
      <c r="Z225" s="36"/>
      <c r="AA225" s="360"/>
      <c r="AB225" s="4"/>
      <c r="AC225" s="36"/>
      <c r="AD225" s="36"/>
      <c r="AE225" s="36"/>
      <c r="AF225" s="4"/>
      <c r="AG225" s="380"/>
      <c r="AH225" s="380"/>
      <c r="AI225" s="381"/>
      <c r="AJ225" s="4"/>
      <c r="AK225" s="36"/>
      <c r="AL225" s="36"/>
      <c r="AM225" s="36"/>
      <c r="AN225" s="307"/>
    </row>
    <row r="226">
      <c r="A226" s="371">
        <v>200.0</v>
      </c>
      <c r="B226" s="372">
        <v>0.03958333333333333</v>
      </c>
      <c r="C226" s="366">
        <v>46184.0</v>
      </c>
      <c r="D226" s="307"/>
      <c r="E226" s="389"/>
      <c r="F226" s="390"/>
      <c r="G226" s="392"/>
      <c r="H226" s="307"/>
      <c r="I226" s="389"/>
      <c r="J226" s="390"/>
      <c r="K226" s="392"/>
      <c r="L226" s="4"/>
      <c r="M226" s="389"/>
      <c r="N226" s="390"/>
      <c r="O226" s="392"/>
      <c r="P226" s="4"/>
      <c r="Q226" s="389"/>
      <c r="R226" s="390"/>
      <c r="S226" s="392"/>
      <c r="T226" s="4"/>
      <c r="U226" s="389"/>
      <c r="V226" s="390"/>
      <c r="W226" s="392"/>
      <c r="X226" s="4"/>
      <c r="Y226" s="406"/>
      <c r="Z226" s="36"/>
      <c r="AA226" s="360"/>
      <c r="AB226" s="4"/>
      <c r="AC226" s="36"/>
      <c r="AD226" s="36"/>
      <c r="AE226" s="36"/>
      <c r="AF226" s="4"/>
      <c r="AG226" s="380"/>
      <c r="AH226" s="380"/>
      <c r="AI226" s="381"/>
      <c r="AJ226" s="4"/>
      <c r="AK226" s="36"/>
      <c r="AL226" s="36"/>
      <c r="AM226" s="363"/>
      <c r="AN226" s="307"/>
    </row>
    <row r="227">
      <c r="A227" s="371">
        <v>380.0</v>
      </c>
      <c r="B227" s="372">
        <v>0.04027777777777778</v>
      </c>
      <c r="C227" s="366">
        <v>46184.0</v>
      </c>
      <c r="D227" s="307"/>
      <c r="E227" s="389"/>
      <c r="F227" s="390"/>
      <c r="G227" s="392"/>
      <c r="H227" s="307"/>
      <c r="I227" s="389"/>
      <c r="J227" s="390"/>
      <c r="K227" s="392"/>
      <c r="L227" s="4"/>
      <c r="M227" s="389"/>
      <c r="N227" s="390"/>
      <c r="O227" s="392"/>
      <c r="P227" s="4"/>
      <c r="Q227" s="389"/>
      <c r="R227" s="390"/>
      <c r="S227" s="392"/>
      <c r="T227" s="4"/>
      <c r="U227" s="389"/>
      <c r="V227" s="390"/>
      <c r="W227" s="392"/>
      <c r="X227" s="4"/>
      <c r="Y227" s="406"/>
      <c r="Z227" s="36"/>
      <c r="AA227" s="360"/>
      <c r="AB227" s="4"/>
      <c r="AC227" s="36"/>
      <c r="AD227" s="36"/>
      <c r="AE227" s="36"/>
      <c r="AF227" s="4"/>
      <c r="AG227" s="380"/>
      <c r="AH227" s="380"/>
      <c r="AI227" s="381"/>
      <c r="AJ227" s="4"/>
      <c r="AK227" s="36"/>
      <c r="AL227" s="36"/>
      <c r="AM227" s="363"/>
      <c r="AN227" s="307"/>
    </row>
    <row r="228">
      <c r="A228" s="371">
        <v>200.0</v>
      </c>
      <c r="B228" s="372">
        <v>0.04027777777777778</v>
      </c>
      <c r="C228" s="366">
        <v>46184.0</v>
      </c>
      <c r="D228" s="307"/>
      <c r="E228" s="389"/>
      <c r="F228" s="390"/>
      <c r="G228" s="392"/>
      <c r="H228" s="307"/>
      <c r="I228" s="389"/>
      <c r="J228" s="390"/>
      <c r="K228" s="392"/>
      <c r="L228" s="4"/>
      <c r="M228" s="389"/>
      <c r="N228" s="390"/>
      <c r="O228" s="392"/>
      <c r="P228" s="4"/>
      <c r="Q228" s="389"/>
      <c r="R228" s="390"/>
      <c r="S228" s="392"/>
      <c r="T228" s="4"/>
      <c r="U228" s="389"/>
      <c r="V228" s="390"/>
      <c r="W228" s="392"/>
      <c r="X228" s="4"/>
      <c r="Y228" s="406"/>
      <c r="Z228" s="36"/>
      <c r="AA228" s="360"/>
      <c r="AB228" s="4"/>
      <c r="AC228" s="36"/>
      <c r="AD228" s="36"/>
      <c r="AE228" s="36"/>
      <c r="AF228" s="4"/>
      <c r="AG228" s="380"/>
      <c r="AH228" s="380"/>
      <c r="AI228" s="381"/>
      <c r="AJ228" s="4"/>
      <c r="AK228" s="36"/>
      <c r="AL228" s="36"/>
      <c r="AM228" s="36"/>
      <c r="AN228" s="307"/>
    </row>
    <row r="229">
      <c r="A229" s="371">
        <v>700.0</v>
      </c>
      <c r="B229" s="372">
        <v>0.04097222222222222</v>
      </c>
      <c r="C229" s="366">
        <v>46184.0</v>
      </c>
      <c r="D229" s="307"/>
      <c r="E229" s="389"/>
      <c r="F229" s="390"/>
      <c r="G229" s="392"/>
      <c r="H229" s="307"/>
      <c r="I229" s="389"/>
      <c r="J229" s="390"/>
      <c r="K229" s="392"/>
      <c r="L229" s="4"/>
      <c r="M229" s="389"/>
      <c r="N229" s="390"/>
      <c r="O229" s="392"/>
      <c r="P229" s="4"/>
      <c r="Q229" s="389"/>
      <c r="R229" s="390"/>
      <c r="S229" s="392"/>
      <c r="T229" s="4"/>
      <c r="U229" s="389"/>
      <c r="V229" s="390"/>
      <c r="W229" s="392"/>
      <c r="X229" s="4"/>
      <c r="Y229" s="406"/>
      <c r="Z229" s="36"/>
      <c r="AA229" s="360"/>
      <c r="AB229" s="4"/>
      <c r="AC229" s="36"/>
      <c r="AD229" s="36"/>
      <c r="AE229" s="36"/>
      <c r="AF229" s="4"/>
      <c r="AG229" s="380"/>
      <c r="AH229" s="380"/>
      <c r="AI229" s="381"/>
      <c r="AJ229" s="4"/>
      <c r="AK229" s="36"/>
      <c r="AL229" s="36"/>
      <c r="AM229" s="363"/>
      <c r="AN229" s="307"/>
    </row>
    <row r="230">
      <c r="A230" s="371">
        <v>1285.0</v>
      </c>
      <c r="B230" s="372">
        <v>0.041666666666666664</v>
      </c>
      <c r="C230" s="366">
        <v>46184.0</v>
      </c>
      <c r="D230" s="307"/>
      <c r="E230" s="389"/>
      <c r="F230" s="390"/>
      <c r="G230" s="392"/>
      <c r="H230" s="307"/>
      <c r="I230" s="389"/>
      <c r="J230" s="390"/>
      <c r="K230" s="392"/>
      <c r="L230" s="4"/>
      <c r="M230" s="389"/>
      <c r="N230" s="390"/>
      <c r="O230" s="392"/>
      <c r="P230" s="4"/>
      <c r="Q230" s="389"/>
      <c r="R230" s="390"/>
      <c r="S230" s="392"/>
      <c r="T230" s="4"/>
      <c r="U230" s="389"/>
      <c r="V230" s="390"/>
      <c r="W230" s="392"/>
      <c r="X230" s="4"/>
      <c r="Y230" s="406"/>
      <c r="Z230" s="36"/>
      <c r="AA230" s="360"/>
      <c r="AB230" s="4"/>
      <c r="AC230" s="36"/>
      <c r="AD230" s="36"/>
      <c r="AE230" s="36"/>
      <c r="AF230" s="4"/>
      <c r="AG230" s="380"/>
      <c r="AH230" s="380"/>
      <c r="AI230" s="381"/>
      <c r="AJ230" s="4"/>
      <c r="AK230" s="36"/>
      <c r="AL230" s="36"/>
      <c r="AM230" s="363"/>
      <c r="AN230" s="307"/>
    </row>
    <row r="231">
      <c r="A231" s="371">
        <v>500.0</v>
      </c>
      <c r="B231" s="372">
        <v>0.041666666666666664</v>
      </c>
      <c r="C231" s="366">
        <v>46184.0</v>
      </c>
      <c r="D231" s="307"/>
      <c r="E231" s="389"/>
      <c r="F231" s="390"/>
      <c r="G231" s="392"/>
      <c r="H231" s="307"/>
      <c r="I231" s="389"/>
      <c r="J231" s="390"/>
      <c r="K231" s="392"/>
      <c r="L231" s="4"/>
      <c r="M231" s="389"/>
      <c r="N231" s="390"/>
      <c r="O231" s="392"/>
      <c r="P231" s="4"/>
      <c r="Q231" s="389"/>
      <c r="R231" s="390"/>
      <c r="S231" s="392"/>
      <c r="T231" s="4"/>
      <c r="U231" s="389"/>
      <c r="V231" s="390"/>
      <c r="W231" s="392"/>
      <c r="X231" s="4"/>
      <c r="Y231" s="406"/>
      <c r="Z231" s="36"/>
      <c r="AA231" s="360"/>
      <c r="AB231" s="4"/>
      <c r="AC231" s="36"/>
      <c r="AD231" s="36"/>
      <c r="AE231" s="36"/>
      <c r="AF231" s="4"/>
      <c r="AG231" s="380"/>
      <c r="AH231" s="380"/>
      <c r="AI231" s="381"/>
      <c r="AJ231" s="4"/>
      <c r="AK231" s="36"/>
      <c r="AL231" s="36"/>
      <c r="AM231" s="36"/>
      <c r="AN231" s="307"/>
    </row>
    <row r="232">
      <c r="A232" s="371">
        <v>115.0</v>
      </c>
      <c r="B232" s="372">
        <v>0.04236111111111111</v>
      </c>
      <c r="C232" s="366">
        <v>46184.0</v>
      </c>
      <c r="D232" s="307"/>
      <c r="E232" s="389"/>
      <c r="F232" s="390"/>
      <c r="G232" s="392"/>
      <c r="H232" s="307"/>
      <c r="I232" s="389"/>
      <c r="J232" s="390"/>
      <c r="K232" s="392"/>
      <c r="L232" s="4"/>
      <c r="M232" s="389"/>
      <c r="N232" s="390"/>
      <c r="O232" s="392"/>
      <c r="P232" s="4"/>
      <c r="Q232" s="389"/>
      <c r="R232" s="390"/>
      <c r="S232" s="392"/>
      <c r="T232" s="4"/>
      <c r="U232" s="389"/>
      <c r="V232" s="390"/>
      <c r="W232" s="392"/>
      <c r="X232" s="4"/>
      <c r="Y232" s="406"/>
      <c r="Z232" s="36"/>
      <c r="AA232" s="360"/>
      <c r="AB232" s="4"/>
      <c r="AC232" s="36"/>
      <c r="AD232" s="36"/>
      <c r="AE232" s="36"/>
      <c r="AF232" s="4"/>
      <c r="AG232" s="380"/>
      <c r="AH232" s="380"/>
      <c r="AI232" s="381"/>
      <c r="AJ232" s="4"/>
      <c r="AK232" s="36"/>
      <c r="AL232" s="36"/>
      <c r="AM232" s="363"/>
      <c r="AN232" s="307"/>
    </row>
    <row r="233">
      <c r="A233" s="371">
        <v>200.0</v>
      </c>
      <c r="B233" s="372">
        <v>0.04236111111111111</v>
      </c>
      <c r="C233" s="366">
        <v>46184.0</v>
      </c>
      <c r="D233" s="307"/>
      <c r="E233" s="389"/>
      <c r="F233" s="390"/>
      <c r="G233" s="392"/>
      <c r="H233" s="307"/>
      <c r="I233" s="389"/>
      <c r="J233" s="390"/>
      <c r="K233" s="392"/>
      <c r="L233" s="4"/>
      <c r="M233" s="389"/>
      <c r="N233" s="390"/>
      <c r="O233" s="392"/>
      <c r="P233" s="4"/>
      <c r="Q233" s="389"/>
      <c r="R233" s="390"/>
      <c r="S233" s="392"/>
      <c r="T233" s="4"/>
      <c r="U233" s="389"/>
      <c r="V233" s="390"/>
      <c r="W233" s="392"/>
      <c r="X233" s="4"/>
      <c r="Y233" s="406"/>
      <c r="Z233" s="36"/>
      <c r="AA233" s="360"/>
      <c r="AB233" s="4"/>
      <c r="AC233" s="36"/>
      <c r="AD233" s="36"/>
      <c r="AE233" s="36"/>
      <c r="AF233" s="4"/>
      <c r="AG233" s="380"/>
      <c r="AH233" s="380"/>
      <c r="AI233" s="381"/>
      <c r="AJ233" s="4"/>
      <c r="AK233" s="36"/>
      <c r="AL233" s="36"/>
      <c r="AM233" s="363"/>
      <c r="AN233" s="307"/>
    </row>
    <row r="234">
      <c r="A234" s="371">
        <v>985.0</v>
      </c>
      <c r="B234" s="372">
        <v>0.043055555555555555</v>
      </c>
      <c r="C234" s="366">
        <v>46184.0</v>
      </c>
      <c r="D234" s="307"/>
      <c r="E234" s="389"/>
      <c r="F234" s="390"/>
      <c r="G234" s="392"/>
      <c r="H234" s="307"/>
      <c r="I234" s="389"/>
      <c r="J234" s="390"/>
      <c r="K234" s="392"/>
      <c r="L234" s="4"/>
      <c r="M234" s="389"/>
      <c r="N234" s="390"/>
      <c r="O234" s="392"/>
      <c r="P234" s="4"/>
      <c r="Q234" s="389"/>
      <c r="R234" s="390"/>
      <c r="S234" s="392"/>
      <c r="T234" s="4"/>
      <c r="U234" s="389"/>
      <c r="V234" s="390"/>
      <c r="W234" s="392"/>
      <c r="X234" s="4"/>
      <c r="Y234" s="406"/>
      <c r="Z234" s="36"/>
      <c r="AA234" s="360"/>
      <c r="AB234" s="4"/>
      <c r="AC234" s="36"/>
      <c r="AD234" s="36"/>
      <c r="AE234" s="36"/>
      <c r="AF234" s="4"/>
      <c r="AG234" s="380"/>
      <c r="AH234" s="380"/>
      <c r="AI234" s="381"/>
      <c r="AJ234" s="4"/>
      <c r="AK234" s="36"/>
      <c r="AL234" s="36"/>
      <c r="AM234" s="36"/>
      <c r="AN234" s="307"/>
    </row>
    <row r="235">
      <c r="A235" s="371">
        <v>200.0</v>
      </c>
      <c r="B235" s="372">
        <v>0.04375</v>
      </c>
      <c r="C235" s="366">
        <v>46184.0</v>
      </c>
      <c r="D235" s="307"/>
      <c r="E235" s="389"/>
      <c r="F235" s="390"/>
      <c r="G235" s="392"/>
      <c r="H235" s="307"/>
      <c r="I235" s="389"/>
      <c r="J235" s="390"/>
      <c r="K235" s="392"/>
      <c r="L235" s="4"/>
      <c r="M235" s="389"/>
      <c r="N235" s="390"/>
      <c r="O235" s="392"/>
      <c r="P235" s="4"/>
      <c r="Q235" s="389"/>
      <c r="R235" s="390"/>
      <c r="S235" s="392"/>
      <c r="T235" s="4"/>
      <c r="U235" s="389"/>
      <c r="V235" s="390"/>
      <c r="W235" s="392"/>
      <c r="X235" s="4"/>
      <c r="Y235" s="406"/>
      <c r="Z235" s="36"/>
      <c r="AA235" s="360"/>
      <c r="AB235" s="4"/>
      <c r="AC235" s="36"/>
      <c r="AD235" s="36"/>
      <c r="AE235" s="36"/>
      <c r="AF235" s="4"/>
      <c r="AG235" s="380"/>
      <c r="AH235" s="380"/>
      <c r="AI235" s="381"/>
      <c r="AJ235" s="4"/>
      <c r="AK235" s="36"/>
      <c r="AL235" s="36"/>
      <c r="AM235" s="363"/>
      <c r="AN235" s="307"/>
    </row>
    <row r="236">
      <c r="A236" s="371">
        <v>260.0</v>
      </c>
      <c r="B236" s="372">
        <v>0.044444444444444446</v>
      </c>
      <c r="C236" s="366">
        <v>46184.0</v>
      </c>
      <c r="D236" s="307"/>
      <c r="E236" s="389"/>
      <c r="F236" s="390"/>
      <c r="G236" s="392"/>
      <c r="H236" s="307"/>
      <c r="I236" s="389"/>
      <c r="J236" s="390"/>
      <c r="K236" s="392"/>
      <c r="L236" s="4"/>
      <c r="M236" s="389"/>
      <c r="N236" s="390"/>
      <c r="O236" s="392"/>
      <c r="P236" s="4"/>
      <c r="Q236" s="389"/>
      <c r="R236" s="390"/>
      <c r="S236" s="392"/>
      <c r="T236" s="4"/>
      <c r="U236" s="389"/>
      <c r="V236" s="390"/>
      <c r="W236" s="392"/>
      <c r="X236" s="4"/>
      <c r="Y236" s="406"/>
      <c r="Z236" s="36"/>
      <c r="AA236" s="360"/>
      <c r="AB236" s="4"/>
      <c r="AC236" s="36"/>
      <c r="AD236" s="36"/>
      <c r="AE236" s="36"/>
      <c r="AF236" s="4"/>
      <c r="AG236" s="380"/>
      <c r="AH236" s="380"/>
      <c r="AI236" s="381"/>
      <c r="AJ236" s="4"/>
      <c r="AK236" s="36"/>
      <c r="AL236" s="36"/>
      <c r="AM236" s="363"/>
      <c r="AN236" s="307"/>
    </row>
    <row r="237">
      <c r="A237" s="371">
        <v>525.0</v>
      </c>
      <c r="B237" s="372">
        <v>0.044444444444444446</v>
      </c>
      <c r="C237" s="366">
        <v>46184.0</v>
      </c>
      <c r="D237" s="307"/>
      <c r="E237" s="389"/>
      <c r="F237" s="390"/>
      <c r="G237" s="392"/>
      <c r="H237" s="307"/>
      <c r="I237" s="389"/>
      <c r="J237" s="390"/>
      <c r="K237" s="392"/>
      <c r="L237" s="4"/>
      <c r="M237" s="389"/>
      <c r="N237" s="390"/>
      <c r="O237" s="392"/>
      <c r="P237" s="4"/>
      <c r="Q237" s="389"/>
      <c r="R237" s="390"/>
      <c r="S237" s="392"/>
      <c r="T237" s="4"/>
      <c r="U237" s="389"/>
      <c r="V237" s="390"/>
      <c r="W237" s="392"/>
      <c r="X237" s="4"/>
      <c r="Y237" s="406"/>
      <c r="Z237" s="36"/>
      <c r="AA237" s="360"/>
      <c r="AB237" s="4"/>
      <c r="AC237" s="36"/>
      <c r="AD237" s="36"/>
      <c r="AE237" s="36"/>
      <c r="AF237" s="4"/>
      <c r="AG237" s="380"/>
      <c r="AH237" s="380"/>
      <c r="AI237" s="381"/>
      <c r="AJ237" s="4"/>
      <c r="AK237" s="36"/>
      <c r="AL237" s="36"/>
      <c r="AM237" s="36"/>
      <c r="AN237" s="307"/>
    </row>
    <row r="238">
      <c r="A238" s="371">
        <v>1000.0</v>
      </c>
      <c r="B238" s="372">
        <v>0.04513888888888889</v>
      </c>
      <c r="C238" s="366">
        <v>46184.0</v>
      </c>
      <c r="D238" s="307"/>
      <c r="E238" s="389"/>
      <c r="F238" s="390"/>
      <c r="G238" s="392"/>
      <c r="H238" s="307"/>
      <c r="I238" s="389"/>
      <c r="J238" s="390"/>
      <c r="K238" s="392"/>
      <c r="L238" s="4"/>
      <c r="M238" s="389"/>
      <c r="N238" s="390"/>
      <c r="O238" s="392"/>
      <c r="P238" s="4"/>
      <c r="Q238" s="389"/>
      <c r="R238" s="390"/>
      <c r="S238" s="392"/>
      <c r="T238" s="4"/>
      <c r="U238" s="389"/>
      <c r="V238" s="390"/>
      <c r="W238" s="392"/>
      <c r="X238" s="4"/>
      <c r="Y238" s="406"/>
      <c r="Z238" s="36"/>
      <c r="AA238" s="360"/>
      <c r="AB238" s="4"/>
      <c r="AC238" s="36"/>
      <c r="AD238" s="36"/>
      <c r="AE238" s="36"/>
      <c r="AF238" s="4"/>
      <c r="AG238" s="380"/>
      <c r="AH238" s="380"/>
      <c r="AI238" s="381"/>
      <c r="AJ238" s="4"/>
      <c r="AK238" s="36"/>
      <c r="AL238" s="36"/>
      <c r="AM238" s="363"/>
      <c r="AN238" s="307"/>
    </row>
    <row r="239">
      <c r="A239" s="371">
        <v>720.0</v>
      </c>
      <c r="B239" s="372">
        <v>0.04513888888888889</v>
      </c>
      <c r="C239" s="366">
        <v>46184.0</v>
      </c>
      <c r="D239" s="307"/>
      <c r="E239" s="389"/>
      <c r="F239" s="390"/>
      <c r="G239" s="392"/>
      <c r="H239" s="307"/>
      <c r="I239" s="389"/>
      <c r="J239" s="390"/>
      <c r="K239" s="392"/>
      <c r="L239" s="4"/>
      <c r="M239" s="389"/>
      <c r="N239" s="390"/>
      <c r="O239" s="392"/>
      <c r="P239" s="4"/>
      <c r="Q239" s="389"/>
      <c r="R239" s="390"/>
      <c r="S239" s="392"/>
      <c r="T239" s="4"/>
      <c r="U239" s="389"/>
      <c r="V239" s="390"/>
      <c r="W239" s="392"/>
      <c r="X239" s="4"/>
      <c r="Y239" s="406"/>
      <c r="Z239" s="36"/>
      <c r="AA239" s="360"/>
      <c r="AB239" s="4"/>
      <c r="AC239" s="36"/>
      <c r="AD239" s="36"/>
      <c r="AE239" s="36"/>
      <c r="AF239" s="4"/>
      <c r="AG239" s="380"/>
      <c r="AH239" s="380"/>
      <c r="AI239" s="381"/>
      <c r="AJ239" s="4"/>
      <c r="AK239" s="36"/>
      <c r="AL239" s="36"/>
      <c r="AM239" s="363"/>
      <c r="AN239" s="307"/>
    </row>
    <row r="240">
      <c r="A240" s="371">
        <v>330.0</v>
      </c>
      <c r="B240" s="372">
        <v>0.04652777777777778</v>
      </c>
      <c r="C240" s="366">
        <v>46184.0</v>
      </c>
      <c r="D240" s="307"/>
      <c r="E240" s="389"/>
      <c r="F240" s="390"/>
      <c r="G240" s="392"/>
      <c r="H240" s="307"/>
      <c r="I240" s="389"/>
      <c r="J240" s="390"/>
      <c r="K240" s="392"/>
      <c r="L240" s="4"/>
      <c r="M240" s="389"/>
      <c r="N240" s="390"/>
      <c r="O240" s="392"/>
      <c r="P240" s="4"/>
      <c r="Q240" s="389"/>
      <c r="R240" s="390"/>
      <c r="S240" s="392"/>
      <c r="T240" s="4"/>
      <c r="U240" s="389"/>
      <c r="V240" s="390"/>
      <c r="W240" s="392"/>
      <c r="X240" s="4"/>
      <c r="Y240" s="406"/>
      <c r="Z240" s="36"/>
      <c r="AA240" s="360"/>
      <c r="AB240" s="4"/>
      <c r="AC240" s="36"/>
      <c r="AD240" s="36"/>
      <c r="AE240" s="36"/>
      <c r="AF240" s="4"/>
      <c r="AG240" s="380"/>
      <c r="AH240" s="380"/>
      <c r="AI240" s="381"/>
      <c r="AJ240" s="4"/>
      <c r="AK240" s="36"/>
      <c r="AL240" s="36"/>
      <c r="AM240" s="36"/>
      <c r="AN240" s="307"/>
    </row>
    <row r="241">
      <c r="A241" s="371">
        <v>350.0</v>
      </c>
      <c r="B241" s="372">
        <v>0.04652777777777778</v>
      </c>
      <c r="C241" s="366">
        <v>46184.0</v>
      </c>
      <c r="D241" s="307"/>
      <c r="E241" s="389"/>
      <c r="F241" s="390"/>
      <c r="G241" s="392"/>
      <c r="H241" s="307"/>
      <c r="I241" s="389"/>
      <c r="J241" s="390"/>
      <c r="K241" s="392"/>
      <c r="L241" s="4"/>
      <c r="M241" s="389"/>
      <c r="N241" s="390"/>
      <c r="O241" s="392"/>
      <c r="P241" s="4"/>
      <c r="Q241" s="389"/>
      <c r="R241" s="390"/>
      <c r="S241" s="392"/>
      <c r="T241" s="4"/>
      <c r="U241" s="389"/>
      <c r="V241" s="390"/>
      <c r="W241" s="392"/>
      <c r="X241" s="4"/>
      <c r="Y241" s="406"/>
      <c r="Z241" s="36"/>
      <c r="AA241" s="360"/>
      <c r="AB241" s="4"/>
      <c r="AC241" s="36"/>
      <c r="AD241" s="36"/>
      <c r="AE241" s="36"/>
      <c r="AF241" s="4"/>
      <c r="AG241" s="380"/>
      <c r="AH241" s="380"/>
      <c r="AI241" s="381"/>
      <c r="AJ241" s="4"/>
      <c r="AK241" s="36"/>
      <c r="AL241" s="36"/>
      <c r="AM241" s="363"/>
      <c r="AN241" s="307"/>
    </row>
    <row r="242">
      <c r="A242" s="371">
        <v>700.0</v>
      </c>
      <c r="B242" s="372">
        <v>0.04722222222222222</v>
      </c>
      <c r="C242" s="366">
        <v>46184.0</v>
      </c>
      <c r="D242" s="307"/>
      <c r="E242" s="389"/>
      <c r="F242" s="390"/>
      <c r="G242" s="392"/>
      <c r="H242" s="307"/>
      <c r="I242" s="389"/>
      <c r="J242" s="390"/>
      <c r="K242" s="392"/>
      <c r="L242" s="4"/>
      <c r="M242" s="389"/>
      <c r="N242" s="390"/>
      <c r="O242" s="392"/>
      <c r="P242" s="4"/>
      <c r="Q242" s="389"/>
      <c r="R242" s="390"/>
      <c r="S242" s="392"/>
      <c r="T242" s="4"/>
      <c r="U242" s="389"/>
      <c r="V242" s="390"/>
      <c r="W242" s="392"/>
      <c r="X242" s="4"/>
      <c r="Y242" s="406"/>
      <c r="Z242" s="36"/>
      <c r="AA242" s="360"/>
      <c r="AB242" s="4"/>
      <c r="AC242" s="36"/>
      <c r="AD242" s="36"/>
      <c r="AE242" s="36"/>
      <c r="AF242" s="4"/>
      <c r="AG242" s="380"/>
      <c r="AH242" s="380"/>
      <c r="AI242" s="381"/>
      <c r="AJ242" s="4"/>
      <c r="AK242" s="36"/>
      <c r="AL242" s="36"/>
      <c r="AM242" s="363"/>
      <c r="AN242" s="307"/>
    </row>
    <row r="243">
      <c r="A243" s="371">
        <v>800.0</v>
      </c>
      <c r="B243" s="372">
        <v>0.04722222222222222</v>
      </c>
      <c r="C243" s="366">
        <v>46184.0</v>
      </c>
      <c r="D243" s="307"/>
      <c r="E243" s="389"/>
      <c r="F243" s="390"/>
      <c r="G243" s="392"/>
      <c r="H243" s="307"/>
      <c r="I243" s="389"/>
      <c r="J243" s="390"/>
      <c r="K243" s="392"/>
      <c r="L243" s="4"/>
      <c r="M243" s="389"/>
      <c r="N243" s="390"/>
      <c r="O243" s="392"/>
      <c r="P243" s="4"/>
      <c r="Q243" s="389"/>
      <c r="R243" s="390"/>
      <c r="S243" s="392"/>
      <c r="T243" s="4"/>
      <c r="U243" s="389"/>
      <c r="V243" s="390"/>
      <c r="W243" s="392"/>
      <c r="X243" s="4"/>
      <c r="Y243" s="406"/>
      <c r="Z243" s="36"/>
      <c r="AA243" s="360"/>
      <c r="AB243" s="4"/>
      <c r="AC243" s="36"/>
      <c r="AD243" s="36"/>
      <c r="AE243" s="36"/>
      <c r="AF243" s="4"/>
      <c r="AG243" s="380"/>
      <c r="AH243" s="380"/>
      <c r="AI243" s="381"/>
      <c r="AJ243" s="4"/>
      <c r="AK243" s="36"/>
      <c r="AL243" s="36"/>
      <c r="AM243" s="36"/>
      <c r="AN243" s="307"/>
    </row>
    <row r="244">
      <c r="A244" s="371">
        <v>200.0</v>
      </c>
      <c r="B244" s="372">
        <v>0.04791666666666667</v>
      </c>
      <c r="C244" s="366">
        <v>46184.0</v>
      </c>
      <c r="D244" s="307"/>
      <c r="E244" s="389"/>
      <c r="F244" s="390"/>
      <c r="G244" s="392"/>
      <c r="H244" s="307"/>
      <c r="I244" s="389"/>
      <c r="J244" s="390"/>
      <c r="K244" s="392"/>
      <c r="L244" s="4"/>
      <c r="M244" s="389"/>
      <c r="N244" s="390"/>
      <c r="O244" s="392"/>
      <c r="P244" s="4"/>
      <c r="Q244" s="389"/>
      <c r="R244" s="390"/>
      <c r="S244" s="392"/>
      <c r="T244" s="4"/>
      <c r="U244" s="389"/>
      <c r="V244" s="390"/>
      <c r="W244" s="392"/>
      <c r="X244" s="4"/>
      <c r="Y244" s="406"/>
      <c r="Z244" s="36"/>
      <c r="AA244" s="360"/>
      <c r="AB244" s="4"/>
      <c r="AC244" s="36"/>
      <c r="AD244" s="36"/>
      <c r="AE244" s="36"/>
      <c r="AF244" s="4"/>
      <c r="AG244" s="380"/>
      <c r="AH244" s="380"/>
      <c r="AI244" s="381"/>
      <c r="AJ244" s="4"/>
      <c r="AK244" s="36"/>
      <c r="AL244" s="36"/>
      <c r="AM244" s="363"/>
      <c r="AN244" s="307"/>
    </row>
    <row r="245">
      <c r="A245" s="371">
        <v>240.0</v>
      </c>
      <c r="B245" s="372">
        <v>0.04861111111111111</v>
      </c>
      <c r="C245" s="366">
        <v>46184.0</v>
      </c>
      <c r="D245" s="307"/>
      <c r="E245" s="389"/>
      <c r="F245" s="390"/>
      <c r="G245" s="392"/>
      <c r="H245" s="307"/>
      <c r="I245" s="389"/>
      <c r="J245" s="390"/>
      <c r="K245" s="392"/>
      <c r="L245" s="4"/>
      <c r="M245" s="389"/>
      <c r="N245" s="390"/>
      <c r="O245" s="392"/>
      <c r="P245" s="4"/>
      <c r="Q245" s="389"/>
      <c r="R245" s="390"/>
      <c r="S245" s="392"/>
      <c r="T245" s="4"/>
      <c r="U245" s="389"/>
      <c r="V245" s="390"/>
      <c r="W245" s="392"/>
      <c r="X245" s="4"/>
      <c r="Y245" s="406"/>
      <c r="Z245" s="36"/>
      <c r="AA245" s="360"/>
      <c r="AB245" s="4"/>
      <c r="AC245" s="36"/>
      <c r="AD245" s="36"/>
      <c r="AE245" s="36"/>
      <c r="AF245" s="4"/>
      <c r="AG245" s="380"/>
      <c r="AH245" s="380"/>
      <c r="AI245" s="381"/>
      <c r="AJ245" s="4"/>
      <c r="AK245" s="36"/>
      <c r="AL245" s="36"/>
      <c r="AM245" s="363"/>
      <c r="AN245" s="307"/>
    </row>
    <row r="246">
      <c r="A246" s="371">
        <v>985.0</v>
      </c>
      <c r="B246" s="372">
        <v>0.04861111111111111</v>
      </c>
      <c r="C246" s="366">
        <v>46184.0</v>
      </c>
      <c r="D246" s="307"/>
      <c r="E246" s="389"/>
      <c r="F246" s="390"/>
      <c r="G246" s="392"/>
      <c r="H246" s="307"/>
      <c r="I246" s="389"/>
      <c r="J246" s="390"/>
      <c r="K246" s="392"/>
      <c r="L246" s="4"/>
      <c r="M246" s="389"/>
      <c r="N246" s="390"/>
      <c r="O246" s="392"/>
      <c r="P246" s="4"/>
      <c r="Q246" s="389"/>
      <c r="R246" s="390"/>
      <c r="S246" s="392"/>
      <c r="T246" s="4"/>
      <c r="U246" s="389"/>
      <c r="V246" s="390"/>
      <c r="W246" s="392"/>
      <c r="X246" s="4"/>
      <c r="Y246" s="406"/>
      <c r="Z246" s="36"/>
      <c r="AA246" s="360"/>
      <c r="AB246" s="4"/>
      <c r="AC246" s="36"/>
      <c r="AD246" s="36"/>
      <c r="AE246" s="36"/>
      <c r="AF246" s="4"/>
      <c r="AG246" s="380"/>
      <c r="AH246" s="380"/>
      <c r="AI246" s="381"/>
      <c r="AJ246" s="4"/>
      <c r="AK246" s="36"/>
      <c r="AL246" s="36"/>
      <c r="AM246" s="36"/>
      <c r="AN246" s="307"/>
    </row>
    <row r="247">
      <c r="A247" s="371">
        <v>150.0</v>
      </c>
      <c r="B247" s="372">
        <v>0.049305555555555554</v>
      </c>
      <c r="C247" s="366">
        <v>46184.0</v>
      </c>
      <c r="D247" s="307"/>
      <c r="E247" s="389"/>
      <c r="F247" s="390"/>
      <c r="G247" s="392"/>
      <c r="H247" s="307"/>
      <c r="I247" s="389"/>
      <c r="J247" s="390"/>
      <c r="K247" s="392"/>
      <c r="L247" s="4"/>
      <c r="M247" s="389"/>
      <c r="N247" s="390"/>
      <c r="O247" s="392"/>
      <c r="P247" s="4"/>
      <c r="Q247" s="389"/>
      <c r="R247" s="390"/>
      <c r="S247" s="392"/>
      <c r="T247" s="4"/>
      <c r="U247" s="389"/>
      <c r="V247" s="390"/>
      <c r="W247" s="392"/>
      <c r="X247" s="4"/>
      <c r="Y247" s="406"/>
      <c r="Z247" s="36"/>
      <c r="AA247" s="360"/>
      <c r="AB247" s="4"/>
      <c r="AC247" s="36"/>
      <c r="AD247" s="36"/>
      <c r="AE247" s="36"/>
      <c r="AF247" s="4"/>
      <c r="AG247" s="380"/>
      <c r="AH247" s="380"/>
      <c r="AI247" s="381"/>
      <c r="AJ247" s="4"/>
      <c r="AK247" s="36"/>
      <c r="AL247" s="36"/>
      <c r="AM247" s="363"/>
      <c r="AN247" s="307"/>
    </row>
    <row r="248">
      <c r="A248" s="371">
        <v>500.0</v>
      </c>
      <c r="B248" s="372">
        <v>0.049305555555555554</v>
      </c>
      <c r="C248" s="366">
        <v>46184.0</v>
      </c>
      <c r="D248" s="307"/>
      <c r="E248" s="389"/>
      <c r="F248" s="390"/>
      <c r="G248" s="392"/>
      <c r="H248" s="307"/>
      <c r="I248" s="389"/>
      <c r="J248" s="390"/>
      <c r="K248" s="392"/>
      <c r="L248" s="4"/>
      <c r="M248" s="389"/>
      <c r="N248" s="390"/>
      <c r="O248" s="392"/>
      <c r="P248" s="4"/>
      <c r="Q248" s="389"/>
      <c r="R248" s="390"/>
      <c r="S248" s="392"/>
      <c r="T248" s="4"/>
      <c r="U248" s="389"/>
      <c r="V248" s="390"/>
      <c r="W248" s="392"/>
      <c r="X248" s="4"/>
      <c r="Y248" s="406"/>
      <c r="Z248" s="36"/>
      <c r="AA248" s="360"/>
      <c r="AB248" s="4"/>
      <c r="AC248" s="36"/>
      <c r="AD248" s="36"/>
      <c r="AE248" s="36"/>
      <c r="AF248" s="4"/>
      <c r="AG248" s="380"/>
      <c r="AH248" s="380"/>
      <c r="AI248" s="381"/>
      <c r="AJ248" s="4"/>
      <c r="AK248" s="36"/>
      <c r="AL248" s="36"/>
      <c r="AM248" s="363"/>
      <c r="AN248" s="307"/>
    </row>
    <row r="249">
      <c r="A249" s="371">
        <v>1950.0</v>
      </c>
      <c r="B249" s="372">
        <v>0.05</v>
      </c>
      <c r="C249" s="366">
        <v>46184.0</v>
      </c>
      <c r="D249" s="307"/>
      <c r="E249" s="389"/>
      <c r="F249" s="390"/>
      <c r="G249" s="392"/>
      <c r="H249" s="307"/>
      <c r="I249" s="389"/>
      <c r="J249" s="390"/>
      <c r="K249" s="392"/>
      <c r="L249" s="4"/>
      <c r="M249" s="389"/>
      <c r="N249" s="390"/>
      <c r="O249" s="392"/>
      <c r="P249" s="4"/>
      <c r="Q249" s="389"/>
      <c r="R249" s="390"/>
      <c r="S249" s="392"/>
      <c r="T249" s="4"/>
      <c r="U249" s="389"/>
      <c r="V249" s="390"/>
      <c r="W249" s="392"/>
      <c r="X249" s="4"/>
      <c r="Y249" s="406"/>
      <c r="Z249" s="36"/>
      <c r="AA249" s="360"/>
      <c r="AB249" s="4"/>
      <c r="AC249" s="36"/>
      <c r="AD249" s="36"/>
      <c r="AE249" s="36"/>
      <c r="AF249" s="4"/>
      <c r="AG249" s="380"/>
      <c r="AH249" s="380"/>
      <c r="AI249" s="381"/>
      <c r="AJ249" s="4"/>
      <c r="AK249" s="36"/>
      <c r="AL249" s="36"/>
      <c r="AM249" s="36"/>
      <c r="AN249" s="307"/>
    </row>
    <row r="250">
      <c r="A250" s="371">
        <v>180.0</v>
      </c>
      <c r="B250" s="372">
        <v>0.050694444444444445</v>
      </c>
      <c r="C250" s="366">
        <v>46184.0</v>
      </c>
      <c r="D250" s="307"/>
      <c r="E250" s="389"/>
      <c r="F250" s="390"/>
      <c r="G250" s="392"/>
      <c r="H250" s="307"/>
      <c r="I250" s="389"/>
      <c r="J250" s="390"/>
      <c r="K250" s="392"/>
      <c r="L250" s="4"/>
      <c r="M250" s="389"/>
      <c r="N250" s="390"/>
      <c r="O250" s="392"/>
      <c r="P250" s="4"/>
      <c r="Q250" s="389"/>
      <c r="R250" s="390"/>
      <c r="S250" s="392"/>
      <c r="T250" s="4"/>
      <c r="U250" s="389"/>
      <c r="V250" s="390"/>
      <c r="W250" s="392"/>
      <c r="X250" s="4"/>
      <c r="Y250" s="406"/>
      <c r="Z250" s="36"/>
      <c r="AA250" s="360"/>
      <c r="AB250" s="4"/>
      <c r="AC250" s="36"/>
      <c r="AD250" s="36"/>
      <c r="AE250" s="36"/>
      <c r="AF250" s="4"/>
      <c r="AG250" s="380"/>
      <c r="AH250" s="380"/>
      <c r="AI250" s="381"/>
      <c r="AJ250" s="4"/>
      <c r="AK250" s="36"/>
      <c r="AL250" s="36"/>
      <c r="AM250" s="363"/>
      <c r="AN250" s="307"/>
    </row>
    <row r="251">
      <c r="A251" s="371">
        <v>100.0</v>
      </c>
      <c r="B251" s="372">
        <v>0.050694444444444445</v>
      </c>
      <c r="C251" s="366">
        <v>46184.0</v>
      </c>
      <c r="D251" s="307"/>
      <c r="E251" s="389"/>
      <c r="F251" s="390"/>
      <c r="G251" s="392"/>
      <c r="H251" s="307"/>
      <c r="I251" s="389"/>
      <c r="J251" s="390"/>
      <c r="K251" s="392"/>
      <c r="L251" s="4"/>
      <c r="M251" s="389"/>
      <c r="N251" s="390"/>
      <c r="O251" s="392"/>
      <c r="P251" s="4"/>
      <c r="Q251" s="389"/>
      <c r="R251" s="390"/>
      <c r="S251" s="392"/>
      <c r="T251" s="4"/>
      <c r="U251" s="389"/>
      <c r="V251" s="390"/>
      <c r="W251" s="392"/>
      <c r="X251" s="4"/>
      <c r="Y251" s="406"/>
      <c r="Z251" s="36"/>
      <c r="AA251" s="360"/>
      <c r="AB251" s="4"/>
      <c r="AC251" s="36"/>
      <c r="AD251" s="36"/>
      <c r="AE251" s="36"/>
      <c r="AF251" s="4"/>
      <c r="AG251" s="380"/>
      <c r="AH251" s="380"/>
      <c r="AI251" s="381"/>
      <c r="AJ251" s="4"/>
      <c r="AK251" s="36"/>
      <c r="AL251" s="36"/>
      <c r="AM251" s="363"/>
      <c r="AN251" s="307"/>
    </row>
    <row r="252">
      <c r="A252" s="371">
        <v>500.0</v>
      </c>
      <c r="B252" s="372">
        <v>0.05138888888888889</v>
      </c>
      <c r="C252" s="366">
        <v>46184.0</v>
      </c>
      <c r="D252" s="307"/>
      <c r="E252" s="389"/>
      <c r="F252" s="390"/>
      <c r="G252" s="392"/>
      <c r="H252" s="307"/>
      <c r="I252" s="389"/>
      <c r="J252" s="390"/>
      <c r="K252" s="392"/>
      <c r="L252" s="4"/>
      <c r="M252" s="389"/>
      <c r="N252" s="390"/>
      <c r="O252" s="392"/>
      <c r="P252" s="4"/>
      <c r="Q252" s="389"/>
      <c r="R252" s="390"/>
      <c r="S252" s="392"/>
      <c r="T252" s="4"/>
      <c r="U252" s="389"/>
      <c r="V252" s="390"/>
      <c r="W252" s="392"/>
      <c r="X252" s="4"/>
      <c r="Y252" s="406"/>
      <c r="Z252" s="36"/>
      <c r="AA252" s="360"/>
      <c r="AB252" s="4"/>
      <c r="AC252" s="36"/>
      <c r="AD252" s="36"/>
      <c r="AE252" s="36"/>
      <c r="AF252" s="4"/>
      <c r="AG252" s="380"/>
      <c r="AH252" s="380"/>
      <c r="AI252" s="381"/>
      <c r="AJ252" s="4"/>
      <c r="AK252" s="36"/>
      <c r="AL252" s="36"/>
      <c r="AM252" s="36"/>
      <c r="AN252" s="307"/>
    </row>
    <row r="253">
      <c r="A253" s="371">
        <v>100.0</v>
      </c>
      <c r="B253" s="372">
        <v>0.05138888888888889</v>
      </c>
      <c r="C253" s="366">
        <v>46184.0</v>
      </c>
      <c r="D253" s="307"/>
      <c r="E253" s="389"/>
      <c r="F253" s="390"/>
      <c r="G253" s="392"/>
      <c r="H253" s="307"/>
      <c r="I253" s="389"/>
      <c r="J253" s="390"/>
      <c r="K253" s="392"/>
      <c r="L253" s="4"/>
      <c r="M253" s="389"/>
      <c r="N253" s="390"/>
      <c r="O253" s="392"/>
      <c r="P253" s="4"/>
      <c r="Q253" s="389"/>
      <c r="R253" s="390"/>
      <c r="S253" s="392"/>
      <c r="T253" s="4"/>
      <c r="U253" s="389"/>
      <c r="V253" s="390"/>
      <c r="W253" s="392"/>
      <c r="X253" s="4"/>
      <c r="Y253" s="406"/>
      <c r="Z253" s="36"/>
      <c r="AA253" s="360"/>
      <c r="AB253" s="4"/>
      <c r="AC253" s="36"/>
      <c r="AD253" s="36"/>
      <c r="AE253" s="36"/>
      <c r="AF253" s="4"/>
      <c r="AG253" s="380"/>
      <c r="AH253" s="380"/>
      <c r="AI253" s="381"/>
      <c r="AJ253" s="4"/>
      <c r="AK253" s="36"/>
      <c r="AL253" s="36"/>
      <c r="AM253" s="363"/>
      <c r="AN253" s="307"/>
    </row>
    <row r="254">
      <c r="A254" s="371">
        <v>340.0</v>
      </c>
      <c r="B254" s="372">
        <v>0.052083333333333336</v>
      </c>
      <c r="C254" s="366">
        <v>46184.0</v>
      </c>
      <c r="D254" s="307"/>
      <c r="E254" s="389"/>
      <c r="F254" s="390"/>
      <c r="G254" s="392"/>
      <c r="H254" s="307"/>
      <c r="I254" s="389"/>
      <c r="J254" s="390"/>
      <c r="K254" s="392"/>
      <c r="L254" s="4"/>
      <c r="M254" s="389"/>
      <c r="N254" s="390"/>
      <c r="O254" s="392"/>
      <c r="P254" s="4"/>
      <c r="Q254" s="389"/>
      <c r="R254" s="390"/>
      <c r="S254" s="392"/>
      <c r="T254" s="4"/>
      <c r="U254" s="389"/>
      <c r="V254" s="390"/>
      <c r="W254" s="392"/>
      <c r="X254" s="4"/>
      <c r="Y254" s="406"/>
      <c r="Z254" s="36"/>
      <c r="AA254" s="360"/>
      <c r="AB254" s="4"/>
      <c r="AC254" s="36"/>
      <c r="AD254" s="36"/>
      <c r="AE254" s="36"/>
      <c r="AF254" s="4"/>
      <c r="AG254" s="380"/>
      <c r="AH254" s="380"/>
      <c r="AI254" s="381"/>
      <c r="AJ254" s="4"/>
      <c r="AK254" s="36"/>
      <c r="AL254" s="36"/>
      <c r="AM254" s="363"/>
      <c r="AN254" s="307"/>
    </row>
    <row r="255">
      <c r="A255" s="371">
        <v>160.0</v>
      </c>
      <c r="B255" s="372">
        <v>0.7131944444444445</v>
      </c>
      <c r="C255" s="366">
        <v>46184.0</v>
      </c>
      <c r="D255" s="307"/>
      <c r="E255" s="389"/>
      <c r="F255" s="390"/>
      <c r="G255" s="392"/>
      <c r="H255" s="307"/>
      <c r="I255" s="389"/>
      <c r="J255" s="390"/>
      <c r="K255" s="392"/>
      <c r="L255" s="4"/>
      <c r="M255" s="389"/>
      <c r="N255" s="390"/>
      <c r="O255" s="392"/>
      <c r="P255" s="4"/>
      <c r="Q255" s="389"/>
      <c r="R255" s="390"/>
      <c r="S255" s="392"/>
      <c r="T255" s="4"/>
      <c r="U255" s="389"/>
      <c r="V255" s="390"/>
      <c r="W255" s="392"/>
      <c r="X255" s="4"/>
      <c r="Y255" s="406"/>
      <c r="Z255" s="36"/>
      <c r="AA255" s="360"/>
      <c r="AB255" s="4"/>
      <c r="AC255" s="36"/>
      <c r="AD255" s="36"/>
      <c r="AE255" s="36"/>
      <c r="AF255" s="4"/>
      <c r="AG255" s="380"/>
      <c r="AH255" s="380"/>
      <c r="AI255" s="381"/>
      <c r="AJ255" s="4"/>
      <c r="AK255" s="36"/>
      <c r="AL255" s="36"/>
      <c r="AM255" s="36"/>
      <c r="AN255" s="307"/>
    </row>
    <row r="256">
      <c r="A256" s="371">
        <v>1160.0</v>
      </c>
      <c r="B256" s="372">
        <v>0.3736111111111111</v>
      </c>
      <c r="C256" s="366">
        <v>46186.0</v>
      </c>
      <c r="D256" s="307"/>
      <c r="E256" s="389"/>
      <c r="F256" s="390"/>
      <c r="G256" s="392"/>
      <c r="H256" s="307"/>
      <c r="I256" s="389"/>
      <c r="J256" s="390"/>
      <c r="K256" s="392"/>
      <c r="L256" s="4"/>
      <c r="M256" s="389"/>
      <c r="N256" s="390"/>
      <c r="O256" s="392"/>
      <c r="P256" s="4"/>
      <c r="Q256" s="389"/>
      <c r="R256" s="390"/>
      <c r="S256" s="392"/>
      <c r="T256" s="4"/>
      <c r="U256" s="389"/>
      <c r="V256" s="390"/>
      <c r="W256" s="392"/>
      <c r="X256" s="4"/>
      <c r="Y256" s="406"/>
      <c r="Z256" s="36"/>
      <c r="AA256" s="360"/>
      <c r="AB256" s="4"/>
      <c r="AC256" s="36"/>
      <c r="AD256" s="36"/>
      <c r="AE256" s="36"/>
      <c r="AF256" s="4"/>
      <c r="AG256" s="380"/>
      <c r="AH256" s="380"/>
      <c r="AI256" s="381"/>
      <c r="AJ256" s="4"/>
      <c r="AK256" s="36"/>
      <c r="AL256" s="36"/>
      <c r="AM256" s="363"/>
      <c r="AN256" s="307"/>
    </row>
    <row r="257">
      <c r="A257" s="371">
        <v>500.0</v>
      </c>
      <c r="B257" s="372">
        <v>0.12708333333333333</v>
      </c>
      <c r="C257" s="366">
        <v>46188.0</v>
      </c>
      <c r="D257" s="307"/>
      <c r="E257" s="389"/>
      <c r="F257" s="390"/>
      <c r="G257" s="392"/>
      <c r="H257" s="307"/>
      <c r="I257" s="389"/>
      <c r="J257" s="390"/>
      <c r="K257" s="392"/>
      <c r="L257" s="4"/>
      <c r="M257" s="389"/>
      <c r="N257" s="390"/>
      <c r="O257" s="392"/>
      <c r="P257" s="4"/>
      <c r="Q257" s="389"/>
      <c r="R257" s="390"/>
      <c r="S257" s="392"/>
      <c r="T257" s="4"/>
      <c r="U257" s="389"/>
      <c r="V257" s="390"/>
      <c r="W257" s="392"/>
      <c r="X257" s="4"/>
      <c r="Y257" s="406"/>
      <c r="Z257" s="36"/>
      <c r="AA257" s="360"/>
      <c r="AB257" s="4"/>
      <c r="AC257" s="36"/>
      <c r="AD257" s="36"/>
      <c r="AE257" s="36"/>
      <c r="AF257" s="4"/>
      <c r="AG257" s="380"/>
      <c r="AH257" s="380"/>
      <c r="AI257" s="381"/>
      <c r="AJ257" s="4"/>
      <c r="AK257" s="36"/>
      <c r="AL257" s="36"/>
      <c r="AM257" s="363"/>
      <c r="AN257" s="307"/>
    </row>
    <row r="258">
      <c r="A258" s="371">
        <v>100.0</v>
      </c>
      <c r="B258" s="372">
        <v>0.12777777777777777</v>
      </c>
      <c r="C258" s="366">
        <v>46188.0</v>
      </c>
      <c r="D258" s="307"/>
      <c r="E258" s="389"/>
      <c r="F258" s="390"/>
      <c r="G258" s="392"/>
      <c r="H258" s="307"/>
      <c r="I258" s="389"/>
      <c r="J258" s="390"/>
      <c r="K258" s="392"/>
      <c r="L258" s="4"/>
      <c r="M258" s="389"/>
      <c r="N258" s="390"/>
      <c r="O258" s="392"/>
      <c r="P258" s="4"/>
      <c r="Q258" s="389"/>
      <c r="R258" s="390"/>
      <c r="S258" s="392"/>
      <c r="T258" s="4"/>
      <c r="U258" s="389"/>
      <c r="V258" s="390"/>
      <c r="W258" s="392"/>
      <c r="X258" s="4"/>
      <c r="Y258" s="406"/>
      <c r="Z258" s="36"/>
      <c r="AA258" s="360"/>
      <c r="AB258" s="4"/>
      <c r="AC258" s="36"/>
      <c r="AD258" s="36"/>
      <c r="AE258" s="36"/>
      <c r="AF258" s="4"/>
      <c r="AG258" s="380"/>
      <c r="AH258" s="380"/>
      <c r="AI258" s="381"/>
      <c r="AJ258" s="4"/>
      <c r="AK258" s="36"/>
      <c r="AL258" s="36"/>
      <c r="AM258" s="36"/>
      <c r="AN258" s="307"/>
    </row>
    <row r="259">
      <c r="A259" s="371">
        <v>400.0</v>
      </c>
      <c r="B259" s="372">
        <v>0.12777777777777777</v>
      </c>
      <c r="C259" s="366">
        <v>46188.0</v>
      </c>
      <c r="D259" s="307"/>
      <c r="E259" s="389"/>
      <c r="F259" s="390"/>
      <c r="G259" s="392"/>
      <c r="H259" s="307"/>
      <c r="I259" s="389"/>
      <c r="J259" s="390"/>
      <c r="K259" s="392"/>
      <c r="L259" s="4"/>
      <c r="M259" s="389"/>
      <c r="N259" s="390"/>
      <c r="O259" s="392"/>
      <c r="P259" s="4"/>
      <c r="Q259" s="389"/>
      <c r="R259" s="390"/>
      <c r="S259" s="392"/>
      <c r="T259" s="4"/>
      <c r="U259" s="389"/>
      <c r="V259" s="390"/>
      <c r="W259" s="392"/>
      <c r="X259" s="4"/>
      <c r="Y259" s="406"/>
      <c r="Z259" s="36"/>
      <c r="AA259" s="360"/>
      <c r="AB259" s="4"/>
      <c r="AC259" s="36"/>
      <c r="AD259" s="36"/>
      <c r="AE259" s="36"/>
      <c r="AF259" s="4"/>
      <c r="AG259" s="380"/>
      <c r="AH259" s="380"/>
      <c r="AI259" s="381"/>
      <c r="AJ259" s="4"/>
      <c r="AK259" s="36"/>
      <c r="AL259" s="36"/>
      <c r="AM259" s="363"/>
      <c r="AN259" s="307"/>
    </row>
    <row r="260">
      <c r="A260" s="371">
        <v>160.0</v>
      </c>
      <c r="B260" s="372">
        <v>0.1284722222222222</v>
      </c>
      <c r="C260" s="366">
        <v>46188.0</v>
      </c>
      <c r="D260" s="307"/>
      <c r="E260" s="389"/>
      <c r="F260" s="390"/>
      <c r="G260" s="392"/>
      <c r="H260" s="307"/>
      <c r="I260" s="389"/>
      <c r="J260" s="390"/>
      <c r="K260" s="392"/>
      <c r="L260" s="4"/>
      <c r="M260" s="389"/>
      <c r="N260" s="390"/>
      <c r="O260" s="392"/>
      <c r="P260" s="4"/>
      <c r="Q260" s="389"/>
      <c r="R260" s="390"/>
      <c r="S260" s="392"/>
      <c r="T260" s="4"/>
      <c r="U260" s="389"/>
      <c r="V260" s="390"/>
      <c r="W260" s="392"/>
      <c r="X260" s="4"/>
      <c r="Y260" s="406"/>
      <c r="Z260" s="36"/>
      <c r="AA260" s="360"/>
      <c r="AB260" s="4"/>
      <c r="AC260" s="36"/>
      <c r="AD260" s="36"/>
      <c r="AE260" s="36"/>
      <c r="AF260" s="4"/>
      <c r="AG260" s="380"/>
      <c r="AH260" s="380"/>
      <c r="AI260" s="381"/>
      <c r="AJ260" s="4"/>
      <c r="AK260" s="36"/>
      <c r="AL260" s="36"/>
      <c r="AM260" s="363"/>
      <c r="AN260" s="307"/>
    </row>
    <row r="261">
      <c r="A261" s="371">
        <v>440.0</v>
      </c>
      <c r="B261" s="372">
        <v>0.1284722222222222</v>
      </c>
      <c r="C261" s="366">
        <v>46188.0</v>
      </c>
      <c r="D261" s="307"/>
      <c r="E261" s="389"/>
      <c r="F261" s="390"/>
      <c r="G261" s="392"/>
      <c r="H261" s="307"/>
      <c r="I261" s="389"/>
      <c r="J261" s="390"/>
      <c r="K261" s="392"/>
      <c r="L261" s="4"/>
      <c r="M261" s="389"/>
      <c r="N261" s="390"/>
      <c r="O261" s="392"/>
      <c r="P261" s="4"/>
      <c r="Q261" s="389"/>
      <c r="R261" s="390"/>
      <c r="S261" s="392"/>
      <c r="T261" s="4"/>
      <c r="U261" s="389"/>
      <c r="V261" s="390"/>
      <c r="W261" s="392"/>
      <c r="X261" s="4"/>
      <c r="Y261" s="406"/>
      <c r="Z261" s="36"/>
      <c r="AA261" s="360"/>
      <c r="AB261" s="4"/>
      <c r="AC261" s="36"/>
      <c r="AD261" s="36"/>
      <c r="AE261" s="36"/>
      <c r="AF261" s="4"/>
      <c r="AG261" s="380"/>
      <c r="AH261" s="380"/>
      <c r="AI261" s="381"/>
      <c r="AJ261" s="4"/>
      <c r="AK261" s="36"/>
      <c r="AL261" s="36"/>
      <c r="AM261" s="36"/>
      <c r="AN261" s="307"/>
    </row>
    <row r="262">
      <c r="A262" s="371">
        <v>320.0</v>
      </c>
      <c r="B262" s="372">
        <v>0.12916666666666668</v>
      </c>
      <c r="C262" s="366">
        <v>46188.0</v>
      </c>
      <c r="D262" s="307"/>
      <c r="E262" s="389"/>
      <c r="F262" s="390"/>
      <c r="G262" s="392"/>
      <c r="H262" s="307"/>
      <c r="I262" s="389"/>
      <c r="J262" s="390"/>
      <c r="K262" s="392"/>
      <c r="L262" s="4"/>
      <c r="M262" s="389"/>
      <c r="N262" s="390"/>
      <c r="O262" s="392"/>
      <c r="P262" s="4"/>
      <c r="Q262" s="389"/>
      <c r="R262" s="390"/>
      <c r="S262" s="392"/>
      <c r="T262" s="4"/>
      <c r="U262" s="389"/>
      <c r="V262" s="390"/>
      <c r="W262" s="392"/>
      <c r="X262" s="4"/>
      <c r="Y262" s="406"/>
      <c r="Z262" s="36"/>
      <c r="AA262" s="360"/>
      <c r="AB262" s="4"/>
      <c r="AC262" s="36"/>
      <c r="AD262" s="36"/>
      <c r="AE262" s="36"/>
      <c r="AF262" s="4"/>
      <c r="AG262" s="380"/>
      <c r="AH262" s="380"/>
      <c r="AI262" s="381"/>
      <c r="AJ262" s="4"/>
      <c r="AK262" s="36"/>
      <c r="AL262" s="36"/>
      <c r="AM262" s="363"/>
      <c r="AN262" s="307"/>
    </row>
    <row r="263">
      <c r="A263" s="371">
        <v>700.0</v>
      </c>
      <c r="B263" s="372">
        <v>0.12986111111111112</v>
      </c>
      <c r="C263" s="366">
        <v>46188.0</v>
      </c>
      <c r="D263" s="307"/>
      <c r="E263" s="389"/>
      <c r="F263" s="390"/>
      <c r="G263" s="392"/>
      <c r="H263" s="307"/>
      <c r="I263" s="389"/>
      <c r="J263" s="390"/>
      <c r="K263" s="392"/>
      <c r="L263" s="4"/>
      <c r="M263" s="389"/>
      <c r="N263" s="390"/>
      <c r="O263" s="392"/>
      <c r="P263" s="4"/>
      <c r="Q263" s="389"/>
      <c r="R263" s="390"/>
      <c r="S263" s="392"/>
      <c r="T263" s="4"/>
      <c r="U263" s="389"/>
      <c r="V263" s="390"/>
      <c r="W263" s="392"/>
      <c r="X263" s="4"/>
      <c r="Y263" s="406"/>
      <c r="Z263" s="36"/>
      <c r="AA263" s="360"/>
      <c r="AB263" s="4"/>
      <c r="AC263" s="36"/>
      <c r="AD263" s="36"/>
      <c r="AE263" s="36"/>
      <c r="AF263" s="4"/>
      <c r="AG263" s="380"/>
      <c r="AH263" s="380"/>
      <c r="AI263" s="381"/>
      <c r="AJ263" s="4"/>
      <c r="AK263" s="36"/>
      <c r="AL263" s="36"/>
      <c r="AM263" s="363"/>
      <c r="AN263" s="307"/>
    </row>
    <row r="264">
      <c r="A264" s="371">
        <v>320.0</v>
      </c>
      <c r="B264" s="372">
        <v>0.12986111111111112</v>
      </c>
      <c r="C264" s="366">
        <v>46188.0</v>
      </c>
      <c r="D264" s="307"/>
      <c r="E264" s="389"/>
      <c r="F264" s="390"/>
      <c r="G264" s="392"/>
      <c r="H264" s="307"/>
      <c r="I264" s="389"/>
      <c r="J264" s="390"/>
      <c r="K264" s="392"/>
      <c r="L264" s="4"/>
      <c r="M264" s="389"/>
      <c r="N264" s="390"/>
      <c r="O264" s="392"/>
      <c r="P264" s="4"/>
      <c r="Q264" s="389"/>
      <c r="R264" s="390"/>
      <c r="S264" s="392"/>
      <c r="T264" s="4"/>
      <c r="U264" s="389"/>
      <c r="V264" s="390"/>
      <c r="W264" s="392"/>
      <c r="X264" s="4"/>
      <c r="Y264" s="406"/>
      <c r="Z264" s="36"/>
      <c r="AA264" s="360"/>
      <c r="AB264" s="4"/>
      <c r="AC264" s="36"/>
      <c r="AD264" s="36"/>
      <c r="AE264" s="36"/>
      <c r="AF264" s="4"/>
      <c r="AG264" s="380"/>
      <c r="AH264" s="380"/>
      <c r="AI264" s="381"/>
      <c r="AJ264" s="4"/>
      <c r="AK264" s="36"/>
      <c r="AL264" s="36"/>
      <c r="AM264" s="36"/>
      <c r="AN264" s="307"/>
    </row>
    <row r="265">
      <c r="A265" s="371">
        <v>250.0</v>
      </c>
      <c r="B265" s="372">
        <v>0.13055555555555556</v>
      </c>
      <c r="C265" s="366">
        <v>46188.0</v>
      </c>
      <c r="D265" s="307"/>
      <c r="E265" s="389"/>
      <c r="F265" s="390"/>
      <c r="G265" s="392"/>
      <c r="H265" s="307"/>
      <c r="I265" s="389"/>
      <c r="J265" s="390"/>
      <c r="K265" s="392"/>
      <c r="L265" s="4"/>
      <c r="M265" s="389"/>
      <c r="N265" s="390"/>
      <c r="O265" s="392"/>
      <c r="P265" s="4"/>
      <c r="Q265" s="389"/>
      <c r="R265" s="390"/>
      <c r="S265" s="392"/>
      <c r="T265" s="4"/>
      <c r="U265" s="389"/>
      <c r="V265" s="390"/>
      <c r="W265" s="392"/>
      <c r="X265" s="4"/>
      <c r="Y265" s="406"/>
      <c r="Z265" s="36"/>
      <c r="AA265" s="360"/>
      <c r="AB265" s="4"/>
      <c r="AC265" s="36"/>
      <c r="AD265" s="36"/>
      <c r="AE265" s="36"/>
      <c r="AF265" s="4"/>
      <c r="AG265" s="380"/>
      <c r="AH265" s="380"/>
      <c r="AI265" s="381"/>
      <c r="AJ265" s="4"/>
      <c r="AK265" s="36"/>
      <c r="AL265" s="36"/>
      <c r="AM265" s="363"/>
      <c r="AN265" s="307"/>
    </row>
    <row r="266">
      <c r="A266" s="371">
        <v>40.0</v>
      </c>
      <c r="B266" s="372">
        <v>0.13055555555555556</v>
      </c>
      <c r="C266" s="366">
        <v>46188.0</v>
      </c>
      <c r="D266" s="307"/>
      <c r="E266" s="389"/>
      <c r="F266" s="390"/>
      <c r="G266" s="392"/>
      <c r="H266" s="307"/>
      <c r="I266" s="389"/>
      <c r="J266" s="390"/>
      <c r="K266" s="392"/>
      <c r="L266" s="4"/>
      <c r="M266" s="389"/>
      <c r="N266" s="390"/>
      <c r="O266" s="392"/>
      <c r="P266" s="4"/>
      <c r="Q266" s="389"/>
      <c r="R266" s="390"/>
      <c r="S266" s="392"/>
      <c r="T266" s="4"/>
      <c r="U266" s="389"/>
      <c r="V266" s="390"/>
      <c r="W266" s="392"/>
      <c r="X266" s="4"/>
      <c r="Y266" s="406"/>
      <c r="Z266" s="36"/>
      <c r="AA266" s="360"/>
      <c r="AB266" s="4"/>
      <c r="AC266" s="36"/>
      <c r="AD266" s="36"/>
      <c r="AE266" s="36"/>
      <c r="AF266" s="4"/>
      <c r="AG266" s="380"/>
      <c r="AH266" s="380"/>
      <c r="AI266" s="381"/>
      <c r="AJ266" s="4"/>
      <c r="AK266" s="36"/>
      <c r="AL266" s="36"/>
      <c r="AM266" s="363"/>
      <c r="AN266" s="307"/>
    </row>
    <row r="267">
      <c r="A267" s="371">
        <v>225.0</v>
      </c>
      <c r="B267" s="372">
        <v>0.13125</v>
      </c>
      <c r="C267" s="366">
        <v>46188.0</v>
      </c>
      <c r="D267" s="307"/>
      <c r="E267" s="389"/>
      <c r="F267" s="390"/>
      <c r="G267" s="392"/>
      <c r="H267" s="307"/>
      <c r="I267" s="389"/>
      <c r="J267" s="390"/>
      <c r="K267" s="392"/>
      <c r="L267" s="4"/>
      <c r="M267" s="389"/>
      <c r="N267" s="390"/>
      <c r="O267" s="392"/>
      <c r="P267" s="4"/>
      <c r="Q267" s="389"/>
      <c r="R267" s="390"/>
      <c r="S267" s="392"/>
      <c r="T267" s="4"/>
      <c r="U267" s="389"/>
      <c r="V267" s="390"/>
      <c r="W267" s="392"/>
      <c r="X267" s="4"/>
      <c r="Y267" s="406"/>
      <c r="Z267" s="36"/>
      <c r="AA267" s="360"/>
      <c r="AB267" s="4"/>
      <c r="AC267" s="36"/>
      <c r="AD267" s="36"/>
      <c r="AE267" s="36"/>
      <c r="AF267" s="4"/>
      <c r="AG267" s="380"/>
      <c r="AH267" s="380"/>
      <c r="AI267" s="381"/>
      <c r="AJ267" s="4"/>
      <c r="AK267" s="36"/>
      <c r="AL267" s="36"/>
      <c r="AM267" s="36"/>
      <c r="AN267" s="307"/>
    </row>
    <row r="268">
      <c r="A268" s="371">
        <v>200.0</v>
      </c>
      <c r="B268" s="372">
        <v>0.13125</v>
      </c>
      <c r="C268" s="366">
        <v>46188.0</v>
      </c>
      <c r="D268" s="307"/>
      <c r="E268" s="389"/>
      <c r="F268" s="390"/>
      <c r="G268" s="392"/>
      <c r="H268" s="307"/>
      <c r="I268" s="389"/>
      <c r="J268" s="390"/>
      <c r="K268" s="392"/>
      <c r="L268" s="4"/>
      <c r="M268" s="389"/>
      <c r="N268" s="390"/>
      <c r="O268" s="392"/>
      <c r="P268" s="4"/>
      <c r="Q268" s="389"/>
      <c r="R268" s="390"/>
      <c r="S268" s="392"/>
      <c r="T268" s="4"/>
      <c r="U268" s="389"/>
      <c r="V268" s="390"/>
      <c r="W268" s="392"/>
      <c r="X268" s="4"/>
      <c r="Y268" s="406"/>
      <c r="Z268" s="36"/>
      <c r="AA268" s="360"/>
      <c r="AB268" s="4"/>
      <c r="AC268" s="36"/>
      <c r="AD268" s="36"/>
      <c r="AE268" s="36"/>
      <c r="AF268" s="4"/>
      <c r="AG268" s="380"/>
      <c r="AH268" s="380"/>
      <c r="AI268" s="381"/>
      <c r="AJ268" s="4"/>
      <c r="AK268" s="36"/>
      <c r="AL268" s="36"/>
      <c r="AM268" s="363"/>
      <c r="AN268" s="307"/>
    </row>
    <row r="269">
      <c r="A269" s="371">
        <v>525.0</v>
      </c>
      <c r="B269" s="372">
        <v>0.5166666666666667</v>
      </c>
      <c r="C269" s="366">
        <v>46194.0</v>
      </c>
      <c r="D269" s="307"/>
      <c r="E269" s="389"/>
      <c r="F269" s="390"/>
      <c r="G269" s="392"/>
      <c r="H269" s="307"/>
      <c r="I269" s="389"/>
      <c r="J269" s="390"/>
      <c r="K269" s="392"/>
      <c r="L269" s="4"/>
      <c r="M269" s="389"/>
      <c r="N269" s="390"/>
      <c r="O269" s="392"/>
      <c r="P269" s="4"/>
      <c r="Q269" s="389"/>
      <c r="R269" s="390"/>
      <c r="S269" s="392"/>
      <c r="T269" s="4"/>
      <c r="U269" s="389"/>
      <c r="V269" s="390"/>
      <c r="W269" s="392"/>
      <c r="X269" s="4"/>
      <c r="Y269" s="406"/>
      <c r="Z269" s="36"/>
      <c r="AA269" s="360"/>
      <c r="AB269" s="4"/>
      <c r="AC269" s="36"/>
      <c r="AD269" s="36"/>
      <c r="AE269" s="36"/>
      <c r="AF269" s="4"/>
      <c r="AG269" s="380"/>
      <c r="AH269" s="380"/>
      <c r="AI269" s="381"/>
      <c r="AJ269" s="4"/>
      <c r="AK269" s="36"/>
      <c r="AL269" s="36"/>
      <c r="AM269" s="363"/>
      <c r="AN269" s="307"/>
    </row>
    <row r="270">
      <c r="A270" s="371">
        <v>300.0</v>
      </c>
      <c r="B270" s="372">
        <v>0.5180555555555556</v>
      </c>
      <c r="C270" s="366">
        <v>46194.0</v>
      </c>
      <c r="D270" s="307"/>
      <c r="E270" s="389"/>
      <c r="F270" s="390"/>
      <c r="G270" s="392"/>
      <c r="H270" s="307"/>
      <c r="I270" s="389"/>
      <c r="J270" s="390"/>
      <c r="K270" s="392"/>
      <c r="L270" s="4"/>
      <c r="M270" s="389"/>
      <c r="N270" s="390"/>
      <c r="O270" s="392"/>
      <c r="P270" s="4"/>
      <c r="Q270" s="389"/>
      <c r="R270" s="390"/>
      <c r="S270" s="392"/>
      <c r="T270" s="4"/>
      <c r="U270" s="389"/>
      <c r="V270" s="390"/>
      <c r="W270" s="392"/>
      <c r="X270" s="4"/>
      <c r="Y270" s="406"/>
      <c r="Z270" s="36"/>
      <c r="AA270" s="360"/>
      <c r="AB270" s="4"/>
      <c r="AC270" s="36"/>
      <c r="AD270" s="36"/>
      <c r="AE270" s="36"/>
      <c r="AF270" s="4"/>
      <c r="AG270" s="380"/>
      <c r="AH270" s="380"/>
      <c r="AI270" s="381"/>
      <c r="AJ270" s="4"/>
      <c r="AK270" s="36"/>
      <c r="AL270" s="36"/>
      <c r="AM270" s="36"/>
      <c r="AN270" s="307"/>
    </row>
    <row r="271">
      <c r="A271" s="371">
        <v>260.0</v>
      </c>
      <c r="B271" s="372">
        <v>0.7527777777777778</v>
      </c>
      <c r="C271" s="366">
        <v>46194.0</v>
      </c>
      <c r="D271" s="307"/>
      <c r="E271" s="389"/>
      <c r="F271" s="390"/>
      <c r="G271" s="392"/>
      <c r="H271" s="307"/>
      <c r="I271" s="389"/>
      <c r="J271" s="390"/>
      <c r="K271" s="392"/>
      <c r="L271" s="4"/>
      <c r="M271" s="389"/>
      <c r="N271" s="390"/>
      <c r="O271" s="392"/>
      <c r="P271" s="4"/>
      <c r="Q271" s="389"/>
      <c r="R271" s="390"/>
      <c r="S271" s="392"/>
      <c r="T271" s="4"/>
      <c r="U271" s="389"/>
      <c r="V271" s="390"/>
      <c r="W271" s="392"/>
      <c r="X271" s="4"/>
      <c r="Y271" s="406"/>
      <c r="Z271" s="36"/>
      <c r="AA271" s="360"/>
      <c r="AB271" s="4"/>
      <c r="AC271" s="36"/>
      <c r="AD271" s="36"/>
      <c r="AE271" s="36"/>
      <c r="AF271" s="4"/>
      <c r="AG271" s="380"/>
      <c r="AH271" s="380"/>
      <c r="AI271" s="381"/>
      <c r="AJ271" s="4"/>
      <c r="AK271" s="36"/>
      <c r="AL271" s="36"/>
      <c r="AM271" s="363"/>
      <c r="AN271" s="307"/>
    </row>
    <row r="272">
      <c r="A272" s="371">
        <v>40.0</v>
      </c>
      <c r="B272" s="372">
        <v>0.7527777777777778</v>
      </c>
      <c r="C272" s="366">
        <v>46194.0</v>
      </c>
      <c r="D272" s="307"/>
      <c r="E272" s="389"/>
      <c r="F272" s="390"/>
      <c r="G272" s="392"/>
      <c r="H272" s="307"/>
      <c r="I272" s="389"/>
      <c r="J272" s="390"/>
      <c r="K272" s="392"/>
      <c r="L272" s="4"/>
      <c r="M272" s="389"/>
      <c r="N272" s="390"/>
      <c r="O272" s="392"/>
      <c r="P272" s="4"/>
      <c r="Q272" s="389"/>
      <c r="R272" s="390"/>
      <c r="S272" s="392"/>
      <c r="T272" s="4"/>
      <c r="U272" s="389"/>
      <c r="V272" s="390"/>
      <c r="W272" s="392"/>
      <c r="X272" s="4"/>
      <c r="Y272" s="406"/>
      <c r="Z272" s="36"/>
      <c r="AA272" s="360"/>
      <c r="AB272" s="4"/>
      <c r="AC272" s="36"/>
      <c r="AD272" s="36"/>
      <c r="AE272" s="36"/>
      <c r="AF272" s="4"/>
      <c r="AG272" s="380"/>
      <c r="AH272" s="380"/>
      <c r="AI272" s="381"/>
      <c r="AJ272" s="4"/>
      <c r="AK272" s="36"/>
      <c r="AL272" s="36"/>
      <c r="AM272" s="363"/>
      <c r="AN272" s="307"/>
    </row>
    <row r="273">
      <c r="A273" s="371">
        <v>40.0</v>
      </c>
      <c r="B273" s="372">
        <v>0.7527777777777778</v>
      </c>
      <c r="C273" s="366">
        <v>46194.0</v>
      </c>
      <c r="D273" s="307"/>
      <c r="E273" s="389"/>
      <c r="F273" s="390"/>
      <c r="G273" s="392"/>
      <c r="H273" s="307"/>
      <c r="I273" s="389"/>
      <c r="J273" s="390"/>
      <c r="K273" s="392"/>
      <c r="L273" s="4"/>
      <c r="M273" s="389"/>
      <c r="N273" s="390"/>
      <c r="O273" s="392"/>
      <c r="P273" s="4"/>
      <c r="Q273" s="389"/>
      <c r="R273" s="390"/>
      <c r="S273" s="392"/>
      <c r="T273" s="4"/>
      <c r="U273" s="389"/>
      <c r="V273" s="390"/>
      <c r="W273" s="392"/>
      <c r="X273" s="4"/>
      <c r="Y273" s="406"/>
      <c r="Z273" s="36"/>
      <c r="AA273" s="360"/>
      <c r="AB273" s="4"/>
      <c r="AC273" s="36"/>
      <c r="AD273" s="36"/>
      <c r="AE273" s="36"/>
      <c r="AF273" s="4"/>
      <c r="AG273" s="380"/>
      <c r="AH273" s="380"/>
      <c r="AI273" s="381"/>
      <c r="AJ273" s="4"/>
      <c r="AK273" s="36"/>
      <c r="AL273" s="36"/>
      <c r="AM273" s="36"/>
      <c r="AN273" s="307"/>
    </row>
    <row r="274">
      <c r="A274" s="371">
        <v>240.0</v>
      </c>
      <c r="B274" s="372">
        <v>0.7534722222222222</v>
      </c>
      <c r="C274" s="366">
        <v>46194.0</v>
      </c>
      <c r="D274" s="307"/>
      <c r="E274" s="389"/>
      <c r="F274" s="390"/>
      <c r="G274" s="392"/>
      <c r="H274" s="307"/>
      <c r="I274" s="389"/>
      <c r="J274" s="390"/>
      <c r="K274" s="392"/>
      <c r="L274" s="4"/>
      <c r="M274" s="389"/>
      <c r="N274" s="390"/>
      <c r="O274" s="392"/>
      <c r="P274" s="4"/>
      <c r="Q274" s="389"/>
      <c r="R274" s="390"/>
      <c r="S274" s="392"/>
      <c r="T274" s="4"/>
      <c r="U274" s="389"/>
      <c r="V274" s="390"/>
      <c r="W274" s="392"/>
      <c r="X274" s="4"/>
      <c r="Y274" s="406"/>
      <c r="Z274" s="36"/>
      <c r="AA274" s="360"/>
      <c r="AB274" s="4"/>
      <c r="AC274" s="36"/>
      <c r="AD274" s="36"/>
      <c r="AE274" s="36"/>
      <c r="AF274" s="4"/>
      <c r="AG274" s="380"/>
      <c r="AH274" s="380"/>
      <c r="AI274" s="381"/>
      <c r="AJ274" s="4"/>
      <c r="AK274" s="36"/>
      <c r="AL274" s="36"/>
      <c r="AM274" s="363"/>
      <c r="AN274" s="307"/>
    </row>
    <row r="275">
      <c r="A275" s="371">
        <v>400.0</v>
      </c>
      <c r="B275" s="372">
        <v>0.7534722222222222</v>
      </c>
      <c r="C275" s="366">
        <v>46194.0</v>
      </c>
      <c r="D275" s="307"/>
      <c r="E275" s="389"/>
      <c r="F275" s="390"/>
      <c r="G275" s="392"/>
      <c r="H275" s="307"/>
      <c r="I275" s="389"/>
      <c r="J275" s="390"/>
      <c r="K275" s="392"/>
      <c r="L275" s="4"/>
      <c r="M275" s="389"/>
      <c r="N275" s="390"/>
      <c r="O275" s="392"/>
      <c r="P275" s="4"/>
      <c r="Q275" s="389"/>
      <c r="R275" s="390"/>
      <c r="S275" s="392"/>
      <c r="T275" s="4"/>
      <c r="U275" s="389"/>
      <c r="V275" s="390"/>
      <c r="W275" s="392"/>
      <c r="X275" s="4"/>
      <c r="Y275" s="406"/>
      <c r="Z275" s="36"/>
      <c r="AA275" s="360"/>
      <c r="AB275" s="4"/>
      <c r="AC275" s="36"/>
      <c r="AD275" s="36"/>
      <c r="AE275" s="36"/>
      <c r="AF275" s="4"/>
      <c r="AG275" s="380"/>
      <c r="AH275" s="380"/>
      <c r="AI275" s="381"/>
      <c r="AJ275" s="4"/>
      <c r="AK275" s="36"/>
      <c r="AL275" s="36"/>
      <c r="AM275" s="363"/>
      <c r="AN275" s="307"/>
    </row>
    <row r="276">
      <c r="A276" s="371">
        <v>420.0</v>
      </c>
      <c r="B276" s="372">
        <v>0.7541666666666667</v>
      </c>
      <c r="C276" s="366">
        <v>46194.0</v>
      </c>
      <c r="D276" s="307"/>
      <c r="E276" s="389"/>
      <c r="F276" s="390"/>
      <c r="G276" s="392"/>
      <c r="H276" s="307"/>
      <c r="I276" s="389"/>
      <c r="J276" s="390"/>
      <c r="K276" s="392"/>
      <c r="L276" s="4"/>
      <c r="M276" s="389"/>
      <c r="N276" s="390"/>
      <c r="O276" s="392"/>
      <c r="P276" s="4"/>
      <c r="Q276" s="389"/>
      <c r="R276" s="390"/>
      <c r="S276" s="392"/>
      <c r="T276" s="4"/>
      <c r="U276" s="389"/>
      <c r="V276" s="390"/>
      <c r="W276" s="392"/>
      <c r="X276" s="4"/>
      <c r="Y276" s="406"/>
      <c r="Z276" s="36"/>
      <c r="AA276" s="360"/>
      <c r="AB276" s="4"/>
      <c r="AC276" s="36"/>
      <c r="AD276" s="36"/>
      <c r="AE276" s="36"/>
      <c r="AF276" s="4"/>
      <c r="AG276" s="380"/>
      <c r="AH276" s="380"/>
      <c r="AI276" s="381"/>
      <c r="AJ276" s="4"/>
      <c r="AK276" s="36"/>
      <c r="AL276" s="36"/>
      <c r="AM276" s="36"/>
      <c r="AN276" s="307"/>
    </row>
    <row r="277">
      <c r="A277" s="371">
        <v>350.0</v>
      </c>
      <c r="B277" s="372">
        <v>0.7541666666666667</v>
      </c>
      <c r="C277" s="366">
        <v>46194.0</v>
      </c>
      <c r="D277" s="307"/>
      <c r="E277" s="389"/>
      <c r="F277" s="390"/>
      <c r="G277" s="392"/>
      <c r="H277" s="307"/>
      <c r="I277" s="389"/>
      <c r="J277" s="390"/>
      <c r="K277" s="392"/>
      <c r="L277" s="4"/>
      <c r="M277" s="389"/>
      <c r="N277" s="390"/>
      <c r="O277" s="392"/>
      <c r="P277" s="4"/>
      <c r="Q277" s="389"/>
      <c r="R277" s="390"/>
      <c r="S277" s="392"/>
      <c r="T277" s="4"/>
      <c r="U277" s="389"/>
      <c r="V277" s="390"/>
      <c r="W277" s="392"/>
      <c r="X277" s="4"/>
      <c r="Y277" s="406"/>
      <c r="Z277" s="36"/>
      <c r="AA277" s="360"/>
      <c r="AB277" s="4"/>
      <c r="AC277" s="36"/>
      <c r="AD277" s="36"/>
      <c r="AE277" s="36"/>
      <c r="AF277" s="4"/>
      <c r="AG277" s="380"/>
      <c r="AH277" s="380"/>
      <c r="AI277" s="381"/>
      <c r="AJ277" s="4"/>
      <c r="AK277" s="36"/>
      <c r="AL277" s="36"/>
      <c r="AM277" s="363"/>
      <c r="AN277" s="307"/>
    </row>
    <row r="278">
      <c r="A278" s="371">
        <v>120.0</v>
      </c>
      <c r="B278" s="372">
        <v>0.7555555555555555</v>
      </c>
      <c r="C278" s="366">
        <v>46194.0</v>
      </c>
      <c r="D278" s="307"/>
      <c r="E278" s="389"/>
      <c r="F278" s="390"/>
      <c r="G278" s="392"/>
      <c r="H278" s="307"/>
      <c r="I278" s="389"/>
      <c r="J278" s="390"/>
      <c r="K278" s="392"/>
      <c r="L278" s="4"/>
      <c r="M278" s="389"/>
      <c r="N278" s="390"/>
      <c r="O278" s="392"/>
      <c r="P278" s="4"/>
      <c r="Q278" s="389"/>
      <c r="R278" s="390"/>
      <c r="S278" s="392"/>
      <c r="T278" s="4"/>
      <c r="U278" s="389"/>
      <c r="V278" s="390"/>
      <c r="W278" s="392"/>
      <c r="X278" s="4"/>
      <c r="Y278" s="406"/>
      <c r="Z278" s="36"/>
      <c r="AA278" s="360"/>
      <c r="AB278" s="4"/>
      <c r="AC278" s="36"/>
      <c r="AD278" s="36"/>
      <c r="AE278" s="36"/>
      <c r="AF278" s="4"/>
      <c r="AG278" s="380"/>
      <c r="AH278" s="380"/>
      <c r="AI278" s="381"/>
      <c r="AJ278" s="4"/>
      <c r="AK278" s="36"/>
      <c r="AL278" s="36"/>
      <c r="AM278" s="363"/>
      <c r="AN278" s="307"/>
    </row>
    <row r="279">
      <c r="A279" s="371">
        <v>200.0</v>
      </c>
      <c r="B279" s="372">
        <v>0.7555555555555555</v>
      </c>
      <c r="C279" s="366">
        <v>46194.0</v>
      </c>
      <c r="D279" s="307"/>
      <c r="E279" s="389"/>
      <c r="F279" s="390"/>
      <c r="G279" s="392"/>
      <c r="H279" s="307"/>
      <c r="I279" s="389"/>
      <c r="J279" s="390"/>
      <c r="K279" s="392"/>
      <c r="L279" s="4"/>
      <c r="M279" s="389"/>
      <c r="N279" s="390"/>
      <c r="O279" s="392"/>
      <c r="P279" s="4"/>
      <c r="Q279" s="389"/>
      <c r="R279" s="390"/>
      <c r="S279" s="392"/>
      <c r="T279" s="4"/>
      <c r="U279" s="389"/>
      <c r="V279" s="390"/>
      <c r="W279" s="392"/>
      <c r="X279" s="4"/>
      <c r="Y279" s="406"/>
      <c r="Z279" s="36"/>
      <c r="AA279" s="360"/>
      <c r="AB279" s="4"/>
      <c r="AC279" s="36"/>
      <c r="AD279" s="36"/>
      <c r="AE279" s="36"/>
      <c r="AF279" s="4"/>
      <c r="AG279" s="380"/>
      <c r="AH279" s="380"/>
      <c r="AI279" s="381"/>
      <c r="AJ279" s="4"/>
      <c r="AK279" s="36"/>
      <c r="AL279" s="36"/>
      <c r="AM279" s="36"/>
      <c r="AN279" s="307"/>
    </row>
    <row r="280">
      <c r="A280" s="371">
        <v>600.0</v>
      </c>
      <c r="B280" s="372">
        <v>0.7555555555555555</v>
      </c>
      <c r="C280" s="366">
        <v>46194.0</v>
      </c>
      <c r="D280" s="307"/>
      <c r="E280" s="389"/>
      <c r="F280" s="390"/>
      <c r="G280" s="392"/>
      <c r="H280" s="307"/>
      <c r="I280" s="389"/>
      <c r="J280" s="390"/>
      <c r="K280" s="392"/>
      <c r="L280" s="4"/>
      <c r="M280" s="389"/>
      <c r="N280" s="390"/>
      <c r="O280" s="392"/>
      <c r="P280" s="4"/>
      <c r="Q280" s="389"/>
      <c r="R280" s="390"/>
      <c r="S280" s="392"/>
      <c r="T280" s="4"/>
      <c r="U280" s="389"/>
      <c r="V280" s="390"/>
      <c r="W280" s="392"/>
      <c r="X280" s="4"/>
      <c r="Y280" s="406"/>
      <c r="Z280" s="36"/>
      <c r="AA280" s="360"/>
      <c r="AB280" s="4"/>
      <c r="AC280" s="36"/>
      <c r="AD280" s="36"/>
      <c r="AE280" s="36"/>
      <c r="AF280" s="4"/>
      <c r="AG280" s="380"/>
      <c r="AH280" s="380"/>
      <c r="AI280" s="381"/>
      <c r="AJ280" s="4"/>
      <c r="AK280" s="36"/>
      <c r="AL280" s="36"/>
      <c r="AM280" s="363"/>
      <c r="AN280" s="307"/>
    </row>
    <row r="281">
      <c r="A281" s="371">
        <v>425.0</v>
      </c>
      <c r="B281" s="372">
        <v>0.75625</v>
      </c>
      <c r="C281" s="366">
        <v>46194.0</v>
      </c>
      <c r="D281" s="307"/>
      <c r="E281" s="389"/>
      <c r="F281" s="390"/>
      <c r="G281" s="392"/>
      <c r="H281" s="307"/>
      <c r="I281" s="389"/>
      <c r="J281" s="390"/>
      <c r="K281" s="392"/>
      <c r="L281" s="4"/>
      <c r="M281" s="389"/>
      <c r="N281" s="390"/>
      <c r="O281" s="392"/>
      <c r="P281" s="4"/>
      <c r="Q281" s="389"/>
      <c r="R281" s="390"/>
      <c r="S281" s="392"/>
      <c r="T281" s="4"/>
      <c r="U281" s="389"/>
      <c r="V281" s="390"/>
      <c r="W281" s="392"/>
      <c r="X281" s="4"/>
      <c r="Y281" s="406"/>
      <c r="Z281" s="36"/>
      <c r="AA281" s="360"/>
      <c r="AB281" s="4"/>
      <c r="AC281" s="36"/>
      <c r="AD281" s="36"/>
      <c r="AE281" s="36"/>
      <c r="AF281" s="4"/>
      <c r="AG281" s="380"/>
      <c r="AH281" s="380"/>
      <c r="AI281" s="381"/>
      <c r="AJ281" s="4"/>
      <c r="AK281" s="36"/>
      <c r="AL281" s="36"/>
      <c r="AM281" s="363"/>
      <c r="AN281" s="307"/>
    </row>
    <row r="282">
      <c r="A282" s="371">
        <v>3910.0</v>
      </c>
      <c r="B282" s="372">
        <v>0.5194444444444445</v>
      </c>
      <c r="C282" s="366">
        <v>46196.0</v>
      </c>
      <c r="D282" s="307"/>
      <c r="E282" s="389"/>
      <c r="F282" s="390"/>
      <c r="G282" s="392"/>
      <c r="H282" s="307"/>
      <c r="I282" s="389"/>
      <c r="J282" s="390"/>
      <c r="K282" s="392"/>
      <c r="L282" s="4"/>
      <c r="M282" s="389"/>
      <c r="N282" s="390"/>
      <c r="O282" s="392"/>
      <c r="P282" s="4"/>
      <c r="Q282" s="389"/>
      <c r="R282" s="390"/>
      <c r="S282" s="392"/>
      <c r="T282" s="4"/>
      <c r="U282" s="389"/>
      <c r="V282" s="390"/>
      <c r="W282" s="392"/>
      <c r="X282" s="4"/>
      <c r="Y282" s="406"/>
      <c r="Z282" s="36"/>
      <c r="AA282" s="360"/>
      <c r="AB282" s="4"/>
      <c r="AC282" s="36"/>
      <c r="AD282" s="36"/>
      <c r="AE282" s="36"/>
      <c r="AF282" s="4"/>
      <c r="AG282" s="380"/>
      <c r="AH282" s="380"/>
      <c r="AI282" s="381"/>
      <c r="AJ282" s="4"/>
      <c r="AK282" s="36"/>
      <c r="AL282" s="36"/>
      <c r="AM282" s="36"/>
      <c r="AN282" s="307"/>
    </row>
    <row r="283">
      <c r="A283" s="371">
        <v>240.0</v>
      </c>
      <c r="B283" s="372">
        <v>0.5201388888888889</v>
      </c>
      <c r="C283" s="366">
        <v>46196.0</v>
      </c>
      <c r="D283" s="307"/>
      <c r="E283" s="389"/>
      <c r="F283" s="390"/>
      <c r="G283" s="392"/>
      <c r="H283" s="307"/>
      <c r="I283" s="389"/>
      <c r="J283" s="390"/>
      <c r="K283" s="392"/>
      <c r="L283" s="4"/>
      <c r="M283" s="389"/>
      <c r="N283" s="390"/>
      <c r="O283" s="392"/>
      <c r="P283" s="4"/>
      <c r="Q283" s="389"/>
      <c r="R283" s="390"/>
      <c r="S283" s="392"/>
      <c r="T283" s="4"/>
      <c r="U283" s="389"/>
      <c r="V283" s="390"/>
      <c r="W283" s="392"/>
      <c r="X283" s="4"/>
      <c r="Y283" s="406"/>
      <c r="Z283" s="36"/>
      <c r="AA283" s="360"/>
      <c r="AB283" s="4"/>
      <c r="AC283" s="36"/>
      <c r="AD283" s="36"/>
      <c r="AE283" s="36"/>
      <c r="AF283" s="4"/>
      <c r="AG283" s="380"/>
      <c r="AH283" s="380"/>
      <c r="AI283" s="381"/>
      <c r="AJ283" s="4"/>
      <c r="AK283" s="36"/>
      <c r="AL283" s="36"/>
      <c r="AM283" s="363"/>
      <c r="AN283" s="307"/>
    </row>
    <row r="284">
      <c r="A284" s="371">
        <v>400.0</v>
      </c>
      <c r="B284" s="372">
        <v>0.8444444444444444</v>
      </c>
      <c r="C284" s="366">
        <v>46200.0</v>
      </c>
      <c r="D284" s="307"/>
      <c r="E284" s="389"/>
      <c r="F284" s="390"/>
      <c r="G284" s="392"/>
      <c r="H284" s="307"/>
      <c r="I284" s="389"/>
      <c r="J284" s="390"/>
      <c r="K284" s="392"/>
      <c r="L284" s="4"/>
      <c r="M284" s="389"/>
      <c r="N284" s="390"/>
      <c r="O284" s="392"/>
      <c r="P284" s="4"/>
      <c r="Q284" s="389"/>
      <c r="R284" s="390"/>
      <c r="S284" s="392"/>
      <c r="T284" s="4"/>
      <c r="U284" s="389"/>
      <c r="V284" s="390"/>
      <c r="W284" s="392"/>
      <c r="X284" s="4"/>
      <c r="Y284" s="406"/>
      <c r="Z284" s="36"/>
      <c r="AA284" s="360"/>
      <c r="AB284" s="4"/>
      <c r="AC284" s="36"/>
      <c r="AD284" s="36"/>
      <c r="AE284" s="36"/>
      <c r="AF284" s="4"/>
      <c r="AG284" s="380"/>
      <c r="AH284" s="380"/>
      <c r="AI284" s="381"/>
      <c r="AJ284" s="4"/>
      <c r="AK284" s="36"/>
      <c r="AL284" s="36"/>
      <c r="AM284" s="363"/>
      <c r="AN284" s="307"/>
    </row>
    <row r="285">
      <c r="A285" s="371">
        <v>40.0</v>
      </c>
      <c r="B285" s="372">
        <v>0.8451388888888889</v>
      </c>
      <c r="C285" s="366">
        <v>46200.0</v>
      </c>
      <c r="D285" s="307"/>
      <c r="E285" s="389"/>
      <c r="F285" s="390"/>
      <c r="G285" s="392"/>
      <c r="H285" s="307"/>
      <c r="I285" s="389"/>
      <c r="J285" s="390"/>
      <c r="K285" s="392"/>
      <c r="L285" s="4"/>
      <c r="M285" s="389"/>
      <c r="N285" s="390"/>
      <c r="O285" s="392"/>
      <c r="P285" s="4"/>
      <c r="Q285" s="389"/>
      <c r="R285" s="390"/>
      <c r="S285" s="392"/>
      <c r="T285" s="4"/>
      <c r="U285" s="389"/>
      <c r="V285" s="390"/>
      <c r="W285" s="392"/>
      <c r="X285" s="4"/>
      <c r="Y285" s="406"/>
      <c r="Z285" s="36"/>
      <c r="AA285" s="360"/>
      <c r="AB285" s="4"/>
      <c r="AC285" s="36"/>
      <c r="AD285" s="36"/>
      <c r="AE285" s="36"/>
      <c r="AF285" s="4"/>
      <c r="AG285" s="380"/>
      <c r="AH285" s="380"/>
      <c r="AI285" s="381"/>
      <c r="AJ285" s="4"/>
      <c r="AK285" s="36"/>
      <c r="AL285" s="36"/>
      <c r="AM285" s="36"/>
      <c r="AN285" s="307"/>
    </row>
    <row r="286">
      <c r="A286" s="371">
        <v>40.0</v>
      </c>
      <c r="B286" s="372">
        <v>0.8458333333333333</v>
      </c>
      <c r="C286" s="366">
        <v>46200.0</v>
      </c>
      <c r="D286" s="307"/>
      <c r="E286" s="389"/>
      <c r="F286" s="390"/>
      <c r="G286" s="392"/>
      <c r="H286" s="307"/>
      <c r="I286" s="389"/>
      <c r="J286" s="390"/>
      <c r="K286" s="392"/>
      <c r="L286" s="4"/>
      <c r="M286" s="389"/>
      <c r="N286" s="390"/>
      <c r="O286" s="392"/>
      <c r="P286" s="4"/>
      <c r="Q286" s="389"/>
      <c r="R286" s="390"/>
      <c r="S286" s="392"/>
      <c r="T286" s="4"/>
      <c r="U286" s="389"/>
      <c r="V286" s="390"/>
      <c r="W286" s="392"/>
      <c r="X286" s="4"/>
      <c r="Y286" s="406"/>
      <c r="Z286" s="36"/>
      <c r="AA286" s="360"/>
      <c r="AB286" s="4"/>
      <c r="AC286" s="36"/>
      <c r="AD286" s="36"/>
      <c r="AE286" s="36"/>
      <c r="AF286" s="4"/>
      <c r="AG286" s="380"/>
      <c r="AH286" s="380"/>
      <c r="AI286" s="381"/>
      <c r="AJ286" s="4"/>
      <c r="AK286" s="36"/>
      <c r="AL286" s="36"/>
      <c r="AM286" s="363"/>
      <c r="AN286" s="307"/>
    </row>
    <row r="287">
      <c r="A287" s="371">
        <v>500.0</v>
      </c>
      <c r="B287" s="372">
        <v>0.8472222222222222</v>
      </c>
      <c r="C287" s="366">
        <v>46200.0</v>
      </c>
      <c r="D287" s="307"/>
      <c r="E287" s="389"/>
      <c r="F287" s="390"/>
      <c r="G287" s="392"/>
      <c r="H287" s="307"/>
      <c r="I287" s="389"/>
      <c r="J287" s="390"/>
      <c r="K287" s="392"/>
      <c r="L287" s="4"/>
      <c r="M287" s="389"/>
      <c r="N287" s="390"/>
      <c r="O287" s="392"/>
      <c r="P287" s="4"/>
      <c r="Q287" s="389"/>
      <c r="R287" s="390"/>
      <c r="S287" s="392"/>
      <c r="T287" s="4"/>
      <c r="U287" s="389"/>
      <c r="V287" s="390"/>
      <c r="W287" s="392"/>
      <c r="X287" s="4"/>
      <c r="Y287" s="406"/>
      <c r="Z287" s="36"/>
      <c r="AA287" s="360"/>
      <c r="AB287" s="4"/>
      <c r="AC287" s="36"/>
      <c r="AD287" s="36"/>
      <c r="AE287" s="36"/>
      <c r="AF287" s="4"/>
      <c r="AG287" s="380"/>
      <c r="AH287" s="380"/>
      <c r="AI287" s="381"/>
      <c r="AJ287" s="4"/>
      <c r="AK287" s="36"/>
      <c r="AL287" s="36"/>
      <c r="AM287" s="363"/>
      <c r="AN287" s="307"/>
    </row>
    <row r="288">
      <c r="A288" s="371">
        <v>50.0</v>
      </c>
      <c r="B288" s="372">
        <v>0.8479166666666667</v>
      </c>
      <c r="C288" s="366">
        <v>46200.0</v>
      </c>
      <c r="D288" s="307"/>
      <c r="E288" s="389"/>
      <c r="F288" s="390"/>
      <c r="G288" s="392"/>
      <c r="H288" s="307"/>
      <c r="I288" s="389"/>
      <c r="J288" s="390"/>
      <c r="K288" s="392"/>
      <c r="L288" s="4"/>
      <c r="M288" s="389"/>
      <c r="N288" s="390"/>
      <c r="O288" s="392"/>
      <c r="P288" s="4"/>
      <c r="Q288" s="389"/>
      <c r="R288" s="390"/>
      <c r="S288" s="392"/>
      <c r="T288" s="4"/>
      <c r="U288" s="389"/>
      <c r="V288" s="390"/>
      <c r="W288" s="392"/>
      <c r="X288" s="4"/>
      <c r="Y288" s="406"/>
      <c r="Z288" s="36"/>
      <c r="AA288" s="360"/>
      <c r="AB288" s="4"/>
      <c r="AC288" s="36"/>
      <c r="AD288" s="36"/>
      <c r="AE288" s="36"/>
      <c r="AF288" s="4"/>
      <c r="AG288" s="380"/>
      <c r="AH288" s="380"/>
      <c r="AI288" s="381"/>
      <c r="AJ288" s="4"/>
      <c r="AK288" s="36"/>
      <c r="AL288" s="36"/>
      <c r="AM288" s="36"/>
      <c r="AN288" s="307"/>
    </row>
    <row r="289">
      <c r="A289" s="371">
        <v>345.0</v>
      </c>
      <c r="B289" s="372">
        <v>0.8493055555555555</v>
      </c>
      <c r="C289" s="366">
        <v>46200.0</v>
      </c>
      <c r="D289" s="307"/>
      <c r="E289" s="389"/>
      <c r="F289" s="390"/>
      <c r="G289" s="392"/>
      <c r="H289" s="307"/>
      <c r="I289" s="389"/>
      <c r="J289" s="390"/>
      <c r="K289" s="392"/>
      <c r="L289" s="4"/>
      <c r="M289" s="389"/>
      <c r="N289" s="390"/>
      <c r="O289" s="392"/>
      <c r="P289" s="4"/>
      <c r="Q289" s="389"/>
      <c r="R289" s="390"/>
      <c r="S289" s="392"/>
      <c r="T289" s="4"/>
      <c r="U289" s="389"/>
      <c r="V289" s="390"/>
      <c r="W289" s="392"/>
      <c r="X289" s="4"/>
      <c r="Y289" s="406"/>
      <c r="Z289" s="36"/>
      <c r="AA289" s="360"/>
      <c r="AB289" s="4"/>
      <c r="AC289" s="36"/>
      <c r="AD289" s="36"/>
      <c r="AE289" s="36"/>
      <c r="AF289" s="4"/>
      <c r="AG289" s="380"/>
      <c r="AH289" s="380"/>
      <c r="AI289" s="381"/>
      <c r="AJ289" s="4"/>
      <c r="AK289" s="36"/>
      <c r="AL289" s="36"/>
      <c r="AM289" s="363"/>
      <c r="AN289" s="307"/>
    </row>
    <row r="290">
      <c r="A290" s="371">
        <v>300.0</v>
      </c>
      <c r="B290" s="372">
        <v>0.85</v>
      </c>
      <c r="C290" s="366">
        <v>46200.0</v>
      </c>
      <c r="D290" s="307"/>
      <c r="E290" s="389"/>
      <c r="F290" s="390"/>
      <c r="G290" s="392"/>
      <c r="H290" s="307"/>
      <c r="I290" s="389"/>
      <c r="J290" s="390"/>
      <c r="K290" s="392"/>
      <c r="L290" s="4"/>
      <c r="M290" s="389"/>
      <c r="N290" s="390"/>
      <c r="O290" s="392"/>
      <c r="P290" s="4"/>
      <c r="Q290" s="389"/>
      <c r="R290" s="390"/>
      <c r="S290" s="392"/>
      <c r="T290" s="4"/>
      <c r="U290" s="389"/>
      <c r="V290" s="390"/>
      <c r="W290" s="392"/>
      <c r="X290" s="4"/>
      <c r="Y290" s="406"/>
      <c r="Z290" s="36"/>
      <c r="AA290" s="360"/>
      <c r="AB290" s="4"/>
      <c r="AC290" s="36"/>
      <c r="AD290" s="36"/>
      <c r="AE290" s="36"/>
      <c r="AF290" s="4"/>
      <c r="AG290" s="380"/>
      <c r="AH290" s="380"/>
      <c r="AI290" s="381"/>
      <c r="AJ290" s="4"/>
      <c r="AK290" s="36"/>
      <c r="AL290" s="36"/>
      <c r="AM290" s="363"/>
      <c r="AN290" s="307"/>
    </row>
    <row r="291">
      <c r="A291" s="371">
        <v>300.0</v>
      </c>
      <c r="B291" s="372">
        <v>0.8513888888888889</v>
      </c>
      <c r="C291" s="366">
        <v>46200.0</v>
      </c>
      <c r="D291" s="307"/>
      <c r="E291" s="389"/>
      <c r="F291" s="390"/>
      <c r="G291" s="392"/>
      <c r="H291" s="307"/>
      <c r="I291" s="389"/>
      <c r="J291" s="390"/>
      <c r="K291" s="392"/>
      <c r="L291" s="4"/>
      <c r="M291" s="389"/>
      <c r="N291" s="390"/>
      <c r="O291" s="392"/>
      <c r="P291" s="4"/>
      <c r="Q291" s="389"/>
      <c r="R291" s="390"/>
      <c r="S291" s="392"/>
      <c r="T291" s="4"/>
      <c r="U291" s="389"/>
      <c r="V291" s="390"/>
      <c r="W291" s="392"/>
      <c r="X291" s="4"/>
      <c r="Y291" s="406"/>
      <c r="Z291" s="36"/>
      <c r="AA291" s="360"/>
      <c r="AB291" s="4"/>
      <c r="AC291" s="36"/>
      <c r="AD291" s="36"/>
      <c r="AE291" s="36"/>
      <c r="AF291" s="4"/>
      <c r="AG291" s="380"/>
      <c r="AH291" s="380"/>
      <c r="AI291" s="381"/>
      <c r="AJ291" s="4"/>
      <c r="AK291" s="36"/>
      <c r="AL291" s="36"/>
      <c r="AM291" s="36"/>
      <c r="AN291" s="307"/>
    </row>
    <row r="292">
      <c r="A292" s="371">
        <v>700.0</v>
      </c>
      <c r="B292" s="372">
        <v>0.8513888888888889</v>
      </c>
      <c r="C292" s="366">
        <v>46200.0</v>
      </c>
      <c r="D292" s="307"/>
      <c r="E292" s="389"/>
      <c r="F292" s="390"/>
      <c r="G292" s="392"/>
      <c r="H292" s="307"/>
      <c r="I292" s="389"/>
      <c r="J292" s="390"/>
      <c r="K292" s="392"/>
      <c r="L292" s="4"/>
      <c r="M292" s="389"/>
      <c r="N292" s="390"/>
      <c r="O292" s="392"/>
      <c r="P292" s="4"/>
      <c r="Q292" s="389"/>
      <c r="R292" s="390"/>
      <c r="S292" s="392"/>
      <c r="T292" s="4"/>
      <c r="U292" s="389"/>
      <c r="V292" s="390"/>
      <c r="W292" s="392"/>
      <c r="X292" s="4"/>
      <c r="Y292" s="406"/>
      <c r="Z292" s="36"/>
      <c r="AA292" s="360"/>
      <c r="AB292" s="4"/>
      <c r="AC292" s="36"/>
      <c r="AD292" s="36"/>
      <c r="AE292" s="36"/>
      <c r="AF292" s="4"/>
      <c r="AG292" s="380"/>
      <c r="AH292" s="380"/>
      <c r="AI292" s="381"/>
      <c r="AJ292" s="4"/>
      <c r="AK292" s="36"/>
      <c r="AL292" s="36"/>
      <c r="AM292" s="363"/>
      <c r="AN292" s="307"/>
    </row>
    <row r="293">
      <c r="A293" s="371">
        <v>851.0</v>
      </c>
      <c r="B293" s="372">
        <v>0.5708333333333333</v>
      </c>
      <c r="C293" s="366">
        <v>46202.0</v>
      </c>
      <c r="D293" s="307"/>
      <c r="E293" s="389"/>
      <c r="F293" s="390"/>
      <c r="G293" s="392"/>
      <c r="H293" s="307"/>
      <c r="I293" s="389"/>
      <c r="J293" s="390"/>
      <c r="K293" s="392"/>
      <c r="L293" s="4"/>
      <c r="M293" s="389"/>
      <c r="N293" s="390"/>
      <c r="O293" s="392"/>
      <c r="P293" s="4"/>
      <c r="Q293" s="389"/>
      <c r="R293" s="390"/>
      <c r="S293" s="392"/>
      <c r="T293" s="4"/>
      <c r="U293" s="389"/>
      <c r="V293" s="390"/>
      <c r="W293" s="392"/>
      <c r="X293" s="4"/>
      <c r="Y293" s="406"/>
      <c r="Z293" s="36"/>
      <c r="AA293" s="360"/>
      <c r="AB293" s="4"/>
      <c r="AC293" s="36"/>
      <c r="AD293" s="36"/>
      <c r="AE293" s="36"/>
      <c r="AF293" s="4"/>
      <c r="AG293" s="380"/>
      <c r="AH293" s="380"/>
      <c r="AI293" s="381"/>
      <c r="AJ293" s="4"/>
      <c r="AK293" s="36"/>
      <c r="AL293" s="36"/>
      <c r="AM293" s="363"/>
      <c r="AN293" s="307"/>
    </row>
    <row r="294">
      <c r="A294" s="371">
        <v>300.0</v>
      </c>
      <c r="B294" s="372">
        <v>0.6993055555555555</v>
      </c>
      <c r="C294" s="366">
        <v>46202.0</v>
      </c>
      <c r="D294" s="307"/>
      <c r="E294" s="389"/>
      <c r="F294" s="390"/>
      <c r="G294" s="392"/>
      <c r="H294" s="307"/>
      <c r="I294" s="389"/>
      <c r="J294" s="390"/>
      <c r="K294" s="392"/>
      <c r="L294" s="4"/>
      <c r="M294" s="389"/>
      <c r="N294" s="390"/>
      <c r="O294" s="392"/>
      <c r="P294" s="4"/>
      <c r="Q294" s="389"/>
      <c r="R294" s="390"/>
      <c r="S294" s="392"/>
      <c r="T294" s="4"/>
      <c r="U294" s="389"/>
      <c r="V294" s="390"/>
      <c r="W294" s="392"/>
      <c r="X294" s="4"/>
      <c r="Y294" s="406"/>
      <c r="Z294" s="36"/>
      <c r="AA294" s="360"/>
      <c r="AB294" s="4"/>
      <c r="AC294" s="36"/>
      <c r="AD294" s="36"/>
      <c r="AE294" s="36"/>
      <c r="AF294" s="4"/>
      <c r="AG294" s="380"/>
      <c r="AH294" s="380"/>
      <c r="AI294" s="381"/>
      <c r="AJ294" s="4"/>
      <c r="AK294" s="36"/>
      <c r="AL294" s="36"/>
      <c r="AM294" s="36"/>
      <c r="AN294" s="307"/>
    </row>
    <row r="295">
      <c r="A295" s="371">
        <v>400.0</v>
      </c>
      <c r="B295" s="372">
        <v>0.7027777777777777</v>
      </c>
      <c r="C295" s="366">
        <v>46202.0</v>
      </c>
      <c r="D295" s="307"/>
      <c r="E295" s="389"/>
      <c r="F295" s="390"/>
      <c r="G295" s="392"/>
      <c r="H295" s="307"/>
      <c r="I295" s="389"/>
      <c r="J295" s="390"/>
      <c r="K295" s="392"/>
      <c r="L295" s="4"/>
      <c r="M295" s="389"/>
      <c r="N295" s="390"/>
      <c r="O295" s="392"/>
      <c r="P295" s="4"/>
      <c r="Q295" s="389"/>
      <c r="R295" s="390"/>
      <c r="S295" s="392"/>
      <c r="T295" s="4"/>
      <c r="U295" s="389"/>
      <c r="V295" s="390"/>
      <c r="W295" s="392"/>
      <c r="X295" s="4"/>
      <c r="Y295" s="406"/>
      <c r="Z295" s="36"/>
      <c r="AA295" s="360"/>
      <c r="AB295" s="4"/>
      <c r="AC295" s="36"/>
      <c r="AD295" s="36"/>
      <c r="AE295" s="36"/>
      <c r="AF295" s="4"/>
      <c r="AG295" s="380"/>
      <c r="AH295" s="380"/>
      <c r="AI295" s="381"/>
      <c r="AJ295" s="4"/>
      <c r="AK295" s="36"/>
      <c r="AL295" s="36"/>
      <c r="AM295" s="363"/>
      <c r="AN295" s="307"/>
    </row>
    <row r="296">
      <c r="A296" s="371">
        <v>400.0</v>
      </c>
      <c r="B296" s="372">
        <v>0.6722222222222223</v>
      </c>
      <c r="C296" s="366">
        <v>46203.0</v>
      </c>
      <c r="D296" s="307"/>
      <c r="E296" s="389"/>
      <c r="F296" s="390"/>
      <c r="G296" s="392"/>
      <c r="H296" s="307"/>
      <c r="I296" s="389"/>
      <c r="J296" s="390"/>
      <c r="K296" s="392"/>
      <c r="L296" s="4"/>
      <c r="M296" s="389"/>
      <c r="N296" s="390"/>
      <c r="O296" s="392"/>
      <c r="P296" s="4"/>
      <c r="Q296" s="389"/>
      <c r="R296" s="390"/>
      <c r="S296" s="392"/>
      <c r="T296" s="4"/>
      <c r="U296" s="389"/>
      <c r="V296" s="390"/>
      <c r="W296" s="392"/>
      <c r="X296" s="4"/>
      <c r="Y296" s="406"/>
      <c r="Z296" s="36"/>
      <c r="AA296" s="360"/>
      <c r="AB296" s="4"/>
      <c r="AC296" s="36"/>
      <c r="AD296" s="36"/>
      <c r="AE296" s="36"/>
      <c r="AF296" s="4"/>
      <c r="AG296" s="380"/>
      <c r="AH296" s="380"/>
      <c r="AI296" s="381"/>
      <c r="AJ296" s="4"/>
      <c r="AK296" s="36"/>
      <c r="AL296" s="36"/>
      <c r="AM296" s="363"/>
      <c r="AN296" s="307"/>
    </row>
    <row r="297">
      <c r="A297" s="371">
        <v>1020.0</v>
      </c>
      <c r="B297" s="372">
        <v>0.6736111111111112</v>
      </c>
      <c r="C297" s="366">
        <v>46203.0</v>
      </c>
      <c r="D297" s="307"/>
      <c r="E297" s="389"/>
      <c r="F297" s="390"/>
      <c r="G297" s="392"/>
      <c r="H297" s="307"/>
      <c r="I297" s="389"/>
      <c r="J297" s="390"/>
      <c r="K297" s="392"/>
      <c r="L297" s="4"/>
      <c r="M297" s="389"/>
      <c r="N297" s="390"/>
      <c r="O297" s="392"/>
      <c r="P297" s="4"/>
      <c r="Q297" s="389"/>
      <c r="R297" s="390"/>
      <c r="S297" s="392"/>
      <c r="T297" s="4"/>
      <c r="U297" s="389"/>
      <c r="V297" s="390"/>
      <c r="W297" s="392"/>
      <c r="X297" s="4"/>
      <c r="Y297" s="406"/>
      <c r="Z297" s="36"/>
      <c r="AA297" s="360"/>
      <c r="AB297" s="4"/>
      <c r="AC297" s="36"/>
      <c r="AD297" s="36"/>
      <c r="AE297" s="36"/>
      <c r="AF297" s="4"/>
      <c r="AG297" s="380"/>
      <c r="AH297" s="380"/>
      <c r="AI297" s="381"/>
      <c r="AJ297" s="4"/>
      <c r="AK297" s="36"/>
      <c r="AL297" s="36"/>
      <c r="AM297" s="36"/>
      <c r="AN297" s="307"/>
    </row>
    <row r="298">
      <c r="A298" s="371">
        <v>760.0</v>
      </c>
      <c r="B298" s="372">
        <v>0.675</v>
      </c>
      <c r="C298" s="366">
        <v>46203.0</v>
      </c>
      <c r="D298" s="307"/>
      <c r="E298" s="389"/>
      <c r="F298" s="390"/>
      <c r="G298" s="392"/>
      <c r="H298" s="307"/>
      <c r="I298" s="389"/>
      <c r="J298" s="390"/>
      <c r="K298" s="392"/>
      <c r="L298" s="4"/>
      <c r="M298" s="389"/>
      <c r="N298" s="390"/>
      <c r="O298" s="392"/>
      <c r="P298" s="4"/>
      <c r="Q298" s="389"/>
      <c r="R298" s="390"/>
      <c r="S298" s="392"/>
      <c r="T298" s="4"/>
      <c r="U298" s="389"/>
      <c r="V298" s="390"/>
      <c r="W298" s="392"/>
      <c r="X298" s="4"/>
      <c r="Y298" s="406"/>
      <c r="Z298" s="36"/>
      <c r="AA298" s="360"/>
      <c r="AB298" s="4"/>
      <c r="AC298" s="36"/>
      <c r="AD298" s="36"/>
      <c r="AE298" s="36"/>
      <c r="AF298" s="4"/>
      <c r="AG298" s="380"/>
      <c r="AH298" s="380"/>
      <c r="AI298" s="381"/>
      <c r="AJ298" s="4"/>
      <c r="AK298" s="36"/>
      <c r="AL298" s="36"/>
      <c r="AM298" s="363"/>
      <c r="AN298" s="307"/>
    </row>
    <row r="299">
      <c r="A299" s="371">
        <v>6560.0</v>
      </c>
      <c r="B299" s="372">
        <v>0.7152777777777778</v>
      </c>
      <c r="C299" s="366">
        <v>46209.0</v>
      </c>
      <c r="D299" s="307"/>
      <c r="E299" s="389"/>
      <c r="F299" s="390"/>
      <c r="G299" s="392"/>
      <c r="H299" s="307"/>
      <c r="I299" s="389"/>
      <c r="J299" s="390"/>
      <c r="K299" s="392"/>
      <c r="L299" s="4"/>
      <c r="M299" s="389"/>
      <c r="N299" s="390"/>
      <c r="O299" s="392"/>
      <c r="P299" s="4"/>
      <c r="Q299" s="389"/>
      <c r="R299" s="390"/>
      <c r="S299" s="392"/>
      <c r="T299" s="4"/>
      <c r="U299" s="389"/>
      <c r="V299" s="390"/>
      <c r="W299" s="392"/>
      <c r="X299" s="4"/>
      <c r="Y299" s="406"/>
      <c r="Z299" s="36"/>
      <c r="AA299" s="360"/>
      <c r="AB299" s="4"/>
      <c r="AC299" s="36"/>
      <c r="AD299" s="36"/>
      <c r="AE299" s="36"/>
      <c r="AF299" s="4"/>
      <c r="AG299" s="380"/>
      <c r="AH299" s="380"/>
      <c r="AI299" s="381"/>
      <c r="AJ299" s="4"/>
      <c r="AK299" s="36"/>
      <c r="AL299" s="36"/>
      <c r="AM299" s="363"/>
      <c r="AN299" s="307"/>
    </row>
    <row r="300">
      <c r="A300" s="371">
        <v>2000.0</v>
      </c>
      <c r="B300" s="372">
        <v>0.6701388888888888</v>
      </c>
      <c r="C300" s="366">
        <v>46210.0</v>
      </c>
      <c r="D300" s="307"/>
      <c r="E300" s="389"/>
      <c r="F300" s="390"/>
      <c r="G300" s="392"/>
      <c r="H300" s="307"/>
      <c r="I300" s="389"/>
      <c r="J300" s="390"/>
      <c r="K300" s="392"/>
      <c r="L300" s="4"/>
      <c r="M300" s="389"/>
      <c r="N300" s="390"/>
      <c r="O300" s="392"/>
      <c r="P300" s="4"/>
      <c r="Q300" s="389"/>
      <c r="R300" s="390"/>
      <c r="S300" s="392"/>
      <c r="T300" s="4"/>
      <c r="U300" s="389"/>
      <c r="V300" s="390"/>
      <c r="W300" s="392"/>
      <c r="X300" s="4"/>
      <c r="Y300" s="406"/>
      <c r="Z300" s="36"/>
      <c r="AA300" s="360"/>
      <c r="AB300" s="4"/>
      <c r="AC300" s="36"/>
      <c r="AD300" s="36"/>
      <c r="AE300" s="36"/>
      <c r="AF300" s="4"/>
      <c r="AG300" s="380"/>
      <c r="AH300" s="380"/>
      <c r="AI300" s="381"/>
      <c r="AJ300" s="4"/>
      <c r="AK300" s="36"/>
      <c r="AL300" s="36"/>
      <c r="AM300" s="36"/>
      <c r="AN300" s="307"/>
    </row>
    <row r="301">
      <c r="A301" s="371">
        <v>4000.0</v>
      </c>
      <c r="B301" s="372">
        <v>0.6423611111111112</v>
      </c>
      <c r="C301" s="366">
        <v>46215.0</v>
      </c>
      <c r="D301" s="307"/>
      <c r="E301" s="389"/>
      <c r="F301" s="390"/>
      <c r="G301" s="392"/>
      <c r="H301" s="307"/>
      <c r="I301" s="389"/>
      <c r="J301" s="390"/>
      <c r="K301" s="392"/>
      <c r="L301" s="4"/>
      <c r="M301" s="389"/>
      <c r="N301" s="390"/>
      <c r="O301" s="392"/>
      <c r="P301" s="4"/>
      <c r="Q301" s="389"/>
      <c r="R301" s="390"/>
      <c r="S301" s="392"/>
      <c r="T301" s="4"/>
      <c r="U301" s="389"/>
      <c r="V301" s="390"/>
      <c r="W301" s="392"/>
      <c r="X301" s="4"/>
      <c r="Y301" s="406"/>
      <c r="Z301" s="36"/>
      <c r="AA301" s="360"/>
      <c r="AB301" s="4"/>
      <c r="AC301" s="36"/>
      <c r="AD301" s="36"/>
      <c r="AE301" s="36"/>
      <c r="AF301" s="4"/>
      <c r="AG301" s="380"/>
      <c r="AH301" s="380"/>
      <c r="AI301" s="381"/>
      <c r="AJ301" s="4"/>
      <c r="AK301" s="36"/>
      <c r="AL301" s="36"/>
      <c r="AM301" s="363"/>
      <c r="AN301" s="307"/>
    </row>
    <row r="302">
      <c r="A302" s="371">
        <v>9672.0</v>
      </c>
      <c r="B302" s="372">
        <v>0.8486111111111111</v>
      </c>
      <c r="C302" s="366">
        <v>46221.0</v>
      </c>
      <c r="D302" s="307"/>
      <c r="E302" s="389"/>
      <c r="F302" s="390"/>
      <c r="G302" s="392"/>
      <c r="H302" s="307"/>
      <c r="I302" s="389"/>
      <c r="J302" s="390"/>
      <c r="K302" s="392"/>
      <c r="L302" s="4"/>
      <c r="M302" s="389"/>
      <c r="N302" s="390"/>
      <c r="O302" s="392"/>
      <c r="P302" s="4"/>
      <c r="Q302" s="389"/>
      <c r="R302" s="390"/>
      <c r="S302" s="392"/>
      <c r="T302" s="4"/>
      <c r="U302" s="389"/>
      <c r="V302" s="390"/>
      <c r="W302" s="392"/>
      <c r="X302" s="4"/>
      <c r="Y302" s="406"/>
      <c r="Z302" s="36"/>
      <c r="AA302" s="360"/>
      <c r="AB302" s="4"/>
      <c r="AC302" s="36"/>
      <c r="AD302" s="36"/>
      <c r="AE302" s="36"/>
      <c r="AF302" s="4"/>
      <c r="AG302" s="380"/>
      <c r="AH302" s="380"/>
      <c r="AI302" s="381"/>
      <c r="AJ302" s="4"/>
      <c r="AK302" s="36"/>
      <c r="AL302" s="36"/>
      <c r="AM302" s="363"/>
      <c r="AN302" s="307"/>
    </row>
    <row r="303">
      <c r="A303" s="371"/>
      <c r="B303" s="372"/>
      <c r="C303" s="392"/>
      <c r="D303" s="307"/>
      <c r="E303" s="389"/>
      <c r="F303" s="390"/>
      <c r="G303" s="392"/>
      <c r="H303" s="307"/>
      <c r="I303" s="389"/>
      <c r="J303" s="390"/>
      <c r="K303" s="392"/>
      <c r="L303" s="4"/>
      <c r="M303" s="389"/>
      <c r="N303" s="390"/>
      <c r="O303" s="392"/>
      <c r="P303" s="4"/>
      <c r="Q303" s="389"/>
      <c r="R303" s="390"/>
      <c r="S303" s="392"/>
      <c r="T303" s="4"/>
      <c r="U303" s="389"/>
      <c r="V303" s="390"/>
      <c r="W303" s="392"/>
      <c r="X303" s="4"/>
      <c r="Y303" s="406"/>
      <c r="Z303" s="36"/>
      <c r="AA303" s="360"/>
      <c r="AB303" s="4"/>
      <c r="AC303" s="36"/>
      <c r="AD303" s="36"/>
      <c r="AE303" s="36"/>
      <c r="AF303" s="4"/>
      <c r="AG303" s="380"/>
      <c r="AH303" s="380"/>
      <c r="AI303" s="381"/>
      <c r="AJ303" s="4"/>
      <c r="AK303" s="36"/>
      <c r="AL303" s="36"/>
      <c r="AM303" s="36"/>
      <c r="AN303" s="307"/>
    </row>
    <row r="304">
      <c r="A304" s="389"/>
      <c r="B304" s="372"/>
      <c r="C304" s="392"/>
      <c r="D304" s="307"/>
      <c r="E304" s="389"/>
      <c r="F304" s="390"/>
      <c r="G304" s="392"/>
      <c r="H304" s="307"/>
      <c r="I304" s="389"/>
      <c r="J304" s="390"/>
      <c r="K304" s="392"/>
      <c r="L304" s="4"/>
      <c r="M304" s="389"/>
      <c r="N304" s="390"/>
      <c r="O304" s="392"/>
      <c r="P304" s="4"/>
      <c r="Q304" s="389"/>
      <c r="R304" s="390"/>
      <c r="S304" s="392"/>
      <c r="T304" s="4"/>
      <c r="U304" s="389"/>
      <c r="V304" s="390"/>
      <c r="W304" s="392"/>
      <c r="X304" s="4"/>
      <c r="Y304" s="406"/>
      <c r="Z304" s="36"/>
      <c r="AA304" s="360"/>
      <c r="AB304" s="4"/>
      <c r="AC304" s="36"/>
      <c r="AD304" s="36"/>
      <c r="AE304" s="36"/>
      <c r="AF304" s="4"/>
      <c r="AG304" s="380"/>
      <c r="AH304" s="380"/>
      <c r="AI304" s="381"/>
      <c r="AJ304" s="4"/>
      <c r="AK304" s="36"/>
      <c r="AL304" s="36"/>
      <c r="AM304" s="363"/>
      <c r="AN304" s="307"/>
    </row>
    <row r="305">
      <c r="A305" s="389"/>
      <c r="B305" s="372"/>
      <c r="C305" s="392"/>
      <c r="D305" s="307"/>
      <c r="E305" s="389"/>
      <c r="F305" s="390"/>
      <c r="G305" s="392"/>
      <c r="H305" s="307"/>
      <c r="I305" s="389"/>
      <c r="J305" s="390"/>
      <c r="K305" s="392"/>
      <c r="L305" s="4"/>
      <c r="M305" s="389"/>
      <c r="N305" s="390"/>
      <c r="O305" s="392"/>
      <c r="P305" s="4"/>
      <c r="Q305" s="389"/>
      <c r="R305" s="390"/>
      <c r="S305" s="392"/>
      <c r="T305" s="4"/>
      <c r="U305" s="389"/>
      <c r="V305" s="390"/>
      <c r="W305" s="392"/>
      <c r="X305" s="4"/>
      <c r="Y305" s="406"/>
      <c r="Z305" s="36"/>
      <c r="AA305" s="360"/>
      <c r="AB305" s="4"/>
      <c r="AC305" s="36"/>
      <c r="AD305" s="36"/>
      <c r="AE305" s="36"/>
      <c r="AF305" s="4"/>
      <c r="AG305" s="380"/>
      <c r="AH305" s="380"/>
      <c r="AI305" s="381"/>
      <c r="AJ305" s="4"/>
      <c r="AK305" s="36"/>
      <c r="AL305" s="36"/>
      <c r="AM305" s="363"/>
      <c r="AN305" s="307"/>
    </row>
    <row r="306">
      <c r="A306" s="389"/>
      <c r="B306" s="372"/>
      <c r="C306" s="392"/>
      <c r="D306" s="307"/>
      <c r="E306" s="389"/>
      <c r="F306" s="390"/>
      <c r="G306" s="392"/>
      <c r="H306" s="307"/>
      <c r="I306" s="389"/>
      <c r="J306" s="390"/>
      <c r="K306" s="392"/>
      <c r="L306" s="4"/>
      <c r="M306" s="389"/>
      <c r="N306" s="390"/>
      <c r="O306" s="392"/>
      <c r="P306" s="4"/>
      <c r="Q306" s="389"/>
      <c r="R306" s="390"/>
      <c r="S306" s="392"/>
      <c r="T306" s="4"/>
      <c r="U306" s="389"/>
      <c r="V306" s="390"/>
      <c r="W306" s="392"/>
      <c r="X306" s="4"/>
      <c r="Y306" s="406"/>
      <c r="Z306" s="36"/>
      <c r="AA306" s="360"/>
      <c r="AB306" s="4"/>
      <c r="AC306" s="36"/>
      <c r="AD306" s="36"/>
      <c r="AE306" s="36"/>
      <c r="AF306" s="4"/>
      <c r="AG306" s="380"/>
      <c r="AH306" s="380"/>
      <c r="AI306" s="381"/>
      <c r="AJ306" s="4"/>
      <c r="AK306" s="36"/>
      <c r="AL306" s="36"/>
      <c r="AM306" s="36"/>
      <c r="AN306" s="307"/>
    </row>
    <row r="307">
      <c r="A307" s="389"/>
      <c r="B307" s="372"/>
      <c r="C307" s="392"/>
      <c r="D307" s="307"/>
      <c r="E307" s="389"/>
      <c r="F307" s="390"/>
      <c r="G307" s="392"/>
      <c r="H307" s="307"/>
      <c r="I307" s="389"/>
      <c r="J307" s="390"/>
      <c r="K307" s="392"/>
      <c r="L307" s="4"/>
      <c r="M307" s="389"/>
      <c r="N307" s="390"/>
      <c r="O307" s="392"/>
      <c r="P307" s="4"/>
      <c r="Q307" s="389"/>
      <c r="R307" s="390"/>
      <c r="S307" s="392"/>
      <c r="T307" s="4"/>
      <c r="U307" s="389"/>
      <c r="V307" s="390"/>
      <c r="W307" s="392"/>
      <c r="X307" s="4"/>
      <c r="Y307" s="406"/>
      <c r="Z307" s="36"/>
      <c r="AA307" s="360"/>
      <c r="AB307" s="4"/>
      <c r="AC307" s="36"/>
      <c r="AD307" s="36"/>
      <c r="AE307" s="36"/>
      <c r="AF307" s="4"/>
      <c r="AG307" s="380"/>
      <c r="AH307" s="380"/>
      <c r="AI307" s="381"/>
      <c r="AJ307" s="4"/>
      <c r="AK307" s="36"/>
      <c r="AL307" s="36"/>
      <c r="AM307" s="36"/>
      <c r="AN307" s="307"/>
    </row>
    <row r="308">
      <c r="A308" s="389"/>
      <c r="B308" s="372"/>
      <c r="C308" s="392"/>
      <c r="D308" s="307"/>
      <c r="E308" s="389"/>
      <c r="F308" s="390"/>
      <c r="G308" s="392"/>
      <c r="H308" s="307"/>
      <c r="I308" s="389"/>
      <c r="J308" s="390"/>
      <c r="K308" s="392"/>
      <c r="L308" s="4"/>
      <c r="M308" s="389"/>
      <c r="N308" s="390"/>
      <c r="O308" s="392"/>
      <c r="P308" s="4"/>
      <c r="Q308" s="389"/>
      <c r="R308" s="390"/>
      <c r="S308" s="392"/>
      <c r="T308" s="4"/>
      <c r="U308" s="389"/>
      <c r="V308" s="390"/>
      <c r="W308" s="392"/>
      <c r="X308" s="4"/>
      <c r="Y308" s="406"/>
      <c r="Z308" s="36"/>
      <c r="AA308" s="360"/>
      <c r="AB308" s="4"/>
      <c r="AC308" s="36"/>
      <c r="AD308" s="36"/>
      <c r="AE308" s="36"/>
      <c r="AF308" s="4"/>
      <c r="AG308" s="380"/>
      <c r="AH308" s="380"/>
      <c r="AI308" s="381"/>
      <c r="AJ308" s="4"/>
      <c r="AK308" s="36"/>
      <c r="AL308" s="36"/>
      <c r="AM308" s="36"/>
      <c r="AN308" s="307"/>
    </row>
    <row r="309">
      <c r="A309" s="389"/>
      <c r="B309" s="372"/>
      <c r="C309" s="392"/>
      <c r="D309" s="307"/>
      <c r="E309" s="389"/>
      <c r="F309" s="390"/>
      <c r="G309" s="392"/>
      <c r="H309" s="307"/>
      <c r="I309" s="389"/>
      <c r="J309" s="390"/>
      <c r="K309" s="392"/>
      <c r="L309" s="4"/>
      <c r="M309" s="389"/>
      <c r="N309" s="390"/>
      <c r="O309" s="392"/>
      <c r="P309" s="4"/>
      <c r="Q309" s="389"/>
      <c r="R309" s="390"/>
      <c r="S309" s="392"/>
      <c r="T309" s="4"/>
      <c r="U309" s="389"/>
      <c r="V309" s="390"/>
      <c r="W309" s="392"/>
      <c r="X309" s="4"/>
      <c r="Y309" s="406"/>
      <c r="Z309" s="36"/>
      <c r="AA309" s="360"/>
      <c r="AB309" s="4"/>
      <c r="AC309" s="36"/>
      <c r="AD309" s="36"/>
      <c r="AE309" s="36"/>
      <c r="AF309" s="4"/>
      <c r="AG309" s="380"/>
      <c r="AH309" s="380"/>
      <c r="AI309" s="381"/>
      <c r="AJ309" s="4"/>
      <c r="AK309" s="36"/>
      <c r="AL309" s="36"/>
      <c r="AM309" s="36"/>
      <c r="AN309" s="307"/>
    </row>
    <row r="310">
      <c r="A310" s="389"/>
      <c r="B310" s="372"/>
      <c r="C310" s="392"/>
      <c r="D310" s="307"/>
      <c r="E310" s="389"/>
      <c r="F310" s="390"/>
      <c r="G310" s="392"/>
      <c r="H310" s="307"/>
      <c r="I310" s="389"/>
      <c r="J310" s="390"/>
      <c r="K310" s="392"/>
      <c r="L310" s="4"/>
      <c r="M310" s="389"/>
      <c r="N310" s="390"/>
      <c r="O310" s="392"/>
      <c r="P310" s="4"/>
      <c r="Q310" s="389"/>
      <c r="R310" s="390"/>
      <c r="S310" s="392"/>
      <c r="T310" s="4"/>
      <c r="U310" s="389"/>
      <c r="V310" s="390"/>
      <c r="W310" s="392"/>
      <c r="X310" s="4"/>
      <c r="Y310" s="406"/>
      <c r="Z310" s="36"/>
      <c r="AA310" s="360"/>
      <c r="AB310" s="4"/>
      <c r="AC310" s="36"/>
      <c r="AD310" s="36"/>
      <c r="AE310" s="36"/>
      <c r="AF310" s="4"/>
      <c r="AG310" s="380"/>
      <c r="AH310" s="380"/>
      <c r="AI310" s="381"/>
      <c r="AJ310" s="4"/>
      <c r="AK310" s="36"/>
      <c r="AL310" s="36"/>
      <c r="AM310" s="36"/>
      <c r="AN310" s="307"/>
    </row>
    <row r="311">
      <c r="A311" s="389"/>
      <c r="B311" s="372"/>
      <c r="C311" s="392"/>
      <c r="D311" s="307"/>
      <c r="E311" s="389"/>
      <c r="F311" s="390"/>
      <c r="G311" s="392"/>
      <c r="H311" s="307"/>
      <c r="I311" s="389"/>
      <c r="J311" s="390"/>
      <c r="K311" s="392"/>
      <c r="L311" s="4"/>
      <c r="M311" s="389"/>
      <c r="N311" s="390"/>
      <c r="O311" s="392"/>
      <c r="P311" s="4"/>
      <c r="Q311" s="389"/>
      <c r="R311" s="390"/>
      <c r="S311" s="392"/>
      <c r="T311" s="4"/>
      <c r="U311" s="389"/>
      <c r="V311" s="390"/>
      <c r="W311" s="392"/>
      <c r="X311" s="4"/>
      <c r="Y311" s="406"/>
      <c r="Z311" s="36"/>
      <c r="AA311" s="360"/>
      <c r="AB311" s="4"/>
      <c r="AC311" s="36"/>
      <c r="AD311" s="36"/>
      <c r="AE311" s="36"/>
      <c r="AF311" s="4"/>
      <c r="AG311" s="380"/>
      <c r="AH311" s="380"/>
      <c r="AI311" s="381"/>
      <c r="AJ311" s="4"/>
      <c r="AK311" s="36"/>
      <c r="AL311" s="36"/>
      <c r="AM311" s="36"/>
      <c r="AN311" s="307"/>
    </row>
    <row r="312">
      <c r="A312" s="389"/>
      <c r="B312" s="372"/>
      <c r="C312" s="392"/>
      <c r="D312" s="307"/>
      <c r="E312" s="389"/>
      <c r="F312" s="390"/>
      <c r="G312" s="392"/>
      <c r="H312" s="307"/>
      <c r="I312" s="389"/>
      <c r="J312" s="390"/>
      <c r="K312" s="392"/>
      <c r="L312" s="4"/>
      <c r="M312" s="389"/>
      <c r="N312" s="390"/>
      <c r="O312" s="392"/>
      <c r="P312" s="4"/>
      <c r="Q312" s="389"/>
      <c r="R312" s="390"/>
      <c r="S312" s="392"/>
      <c r="T312" s="4"/>
      <c r="U312" s="389"/>
      <c r="V312" s="390"/>
      <c r="W312" s="392"/>
      <c r="X312" s="4"/>
      <c r="Y312" s="406"/>
      <c r="Z312" s="36"/>
      <c r="AA312" s="360"/>
      <c r="AB312" s="4"/>
      <c r="AC312" s="36"/>
      <c r="AD312" s="36"/>
      <c r="AE312" s="36"/>
      <c r="AF312" s="4"/>
      <c r="AG312" s="380"/>
      <c r="AH312" s="380"/>
      <c r="AI312" s="381"/>
      <c r="AJ312" s="4"/>
      <c r="AK312" s="36"/>
      <c r="AL312" s="36"/>
      <c r="AM312" s="36"/>
      <c r="AN312" s="307"/>
    </row>
    <row r="313">
      <c r="A313" s="389"/>
      <c r="B313" s="372"/>
      <c r="C313" s="392"/>
      <c r="D313" s="307"/>
      <c r="E313" s="389"/>
      <c r="F313" s="390"/>
      <c r="G313" s="392"/>
      <c r="H313" s="307"/>
      <c r="I313" s="389"/>
      <c r="J313" s="390"/>
      <c r="K313" s="392"/>
      <c r="L313" s="4"/>
      <c r="M313" s="389"/>
      <c r="N313" s="390"/>
      <c r="O313" s="392"/>
      <c r="P313" s="4"/>
      <c r="Q313" s="389"/>
      <c r="R313" s="390"/>
      <c r="S313" s="392"/>
      <c r="T313" s="4"/>
      <c r="U313" s="389"/>
      <c r="V313" s="390"/>
      <c r="W313" s="392"/>
      <c r="X313" s="4"/>
      <c r="Y313" s="406"/>
      <c r="Z313" s="36"/>
      <c r="AA313" s="360"/>
      <c r="AB313" s="4"/>
      <c r="AC313" s="36"/>
      <c r="AD313" s="36"/>
      <c r="AE313" s="36"/>
      <c r="AF313" s="4"/>
      <c r="AG313" s="380"/>
      <c r="AH313" s="380"/>
      <c r="AI313" s="381"/>
      <c r="AJ313" s="4"/>
      <c r="AK313" s="36"/>
      <c r="AL313" s="36"/>
      <c r="AM313" s="36"/>
      <c r="AN313" s="307"/>
    </row>
    <row r="314">
      <c r="A314" s="389"/>
      <c r="B314" s="372"/>
      <c r="C314" s="392"/>
      <c r="D314" s="307"/>
      <c r="E314" s="389"/>
      <c r="F314" s="390"/>
      <c r="G314" s="392"/>
      <c r="H314" s="307"/>
      <c r="I314" s="389"/>
      <c r="J314" s="390"/>
      <c r="K314" s="392"/>
      <c r="L314" s="4"/>
      <c r="M314" s="389"/>
      <c r="N314" s="390"/>
      <c r="O314" s="392"/>
      <c r="P314" s="4"/>
      <c r="Q314" s="389"/>
      <c r="R314" s="390"/>
      <c r="S314" s="392"/>
      <c r="T314" s="4"/>
      <c r="U314" s="389"/>
      <c r="V314" s="390"/>
      <c r="W314" s="392"/>
      <c r="X314" s="4"/>
      <c r="Y314" s="406"/>
      <c r="Z314" s="36"/>
      <c r="AA314" s="360"/>
      <c r="AB314" s="4"/>
      <c r="AC314" s="36"/>
      <c r="AD314" s="36"/>
      <c r="AE314" s="36"/>
      <c r="AF314" s="4"/>
      <c r="AG314" s="380"/>
      <c r="AH314" s="380"/>
      <c r="AI314" s="381"/>
      <c r="AJ314" s="4"/>
      <c r="AK314" s="36"/>
      <c r="AL314" s="36"/>
      <c r="AM314" s="36"/>
      <c r="AN314" s="307"/>
    </row>
    <row r="315">
      <c r="A315" s="389"/>
      <c r="B315" s="372"/>
      <c r="C315" s="392"/>
      <c r="D315" s="307"/>
      <c r="E315" s="389"/>
      <c r="F315" s="390"/>
      <c r="G315" s="392"/>
      <c r="H315" s="307"/>
      <c r="I315" s="389"/>
      <c r="J315" s="390"/>
      <c r="K315" s="392"/>
      <c r="L315" s="4"/>
      <c r="M315" s="389"/>
      <c r="N315" s="390"/>
      <c r="O315" s="392"/>
      <c r="P315" s="4"/>
      <c r="Q315" s="389"/>
      <c r="R315" s="390"/>
      <c r="S315" s="392"/>
      <c r="T315" s="4"/>
      <c r="U315" s="389"/>
      <c r="V315" s="390"/>
      <c r="W315" s="392"/>
      <c r="X315" s="4"/>
      <c r="Y315" s="406"/>
      <c r="Z315" s="36"/>
      <c r="AA315" s="360"/>
      <c r="AB315" s="4"/>
      <c r="AC315" s="36"/>
      <c r="AD315" s="36"/>
      <c r="AE315" s="36"/>
      <c r="AF315" s="4"/>
      <c r="AG315" s="380"/>
      <c r="AH315" s="380"/>
      <c r="AI315" s="381"/>
      <c r="AJ315" s="4"/>
      <c r="AK315" s="36"/>
      <c r="AL315" s="36"/>
      <c r="AM315" s="36"/>
      <c r="AN315" s="307"/>
    </row>
    <row r="316">
      <c r="A316" s="389"/>
      <c r="B316" s="372"/>
      <c r="C316" s="392"/>
      <c r="D316" s="307"/>
      <c r="E316" s="389"/>
      <c r="F316" s="390"/>
      <c r="G316" s="392"/>
      <c r="H316" s="307"/>
      <c r="I316" s="389"/>
      <c r="J316" s="390"/>
      <c r="K316" s="392"/>
      <c r="L316" s="4"/>
      <c r="M316" s="389"/>
      <c r="N316" s="390"/>
      <c r="O316" s="392"/>
      <c r="P316" s="4"/>
      <c r="Q316" s="389"/>
      <c r="R316" s="390"/>
      <c r="S316" s="392"/>
      <c r="T316" s="4"/>
      <c r="U316" s="389"/>
      <c r="V316" s="390"/>
      <c r="W316" s="392"/>
      <c r="X316" s="4"/>
      <c r="Y316" s="406"/>
      <c r="Z316" s="36"/>
      <c r="AA316" s="360"/>
      <c r="AB316" s="4"/>
      <c r="AC316" s="36"/>
      <c r="AD316" s="36"/>
      <c r="AE316" s="36"/>
      <c r="AF316" s="4"/>
      <c r="AG316" s="380"/>
      <c r="AH316" s="380"/>
      <c r="AI316" s="381"/>
      <c r="AJ316" s="4"/>
      <c r="AK316" s="36"/>
      <c r="AL316" s="36"/>
      <c r="AM316" s="36"/>
      <c r="AN316" s="307"/>
    </row>
    <row r="317">
      <c r="A317" s="389"/>
      <c r="B317" s="372"/>
      <c r="C317" s="392"/>
      <c r="D317" s="307"/>
      <c r="E317" s="389"/>
      <c r="F317" s="390"/>
      <c r="G317" s="392"/>
      <c r="H317" s="307"/>
      <c r="I317" s="389"/>
      <c r="J317" s="390"/>
      <c r="K317" s="392"/>
      <c r="L317" s="4"/>
      <c r="M317" s="389"/>
      <c r="N317" s="390"/>
      <c r="O317" s="392"/>
      <c r="P317" s="4"/>
      <c r="Q317" s="389"/>
      <c r="R317" s="390"/>
      <c r="S317" s="392"/>
      <c r="T317" s="4"/>
      <c r="U317" s="389"/>
      <c r="V317" s="390"/>
      <c r="W317" s="392"/>
      <c r="X317" s="4"/>
      <c r="Y317" s="406"/>
      <c r="Z317" s="36"/>
      <c r="AA317" s="360"/>
      <c r="AB317" s="4"/>
      <c r="AC317" s="36"/>
      <c r="AD317" s="36"/>
      <c r="AE317" s="36"/>
      <c r="AF317" s="4"/>
      <c r="AG317" s="380"/>
      <c r="AH317" s="380"/>
      <c r="AI317" s="381"/>
      <c r="AJ317" s="4"/>
      <c r="AK317" s="36"/>
      <c r="AL317" s="36"/>
      <c r="AM317" s="36"/>
      <c r="AN317" s="307"/>
    </row>
    <row r="318">
      <c r="A318" s="389"/>
      <c r="B318" s="372"/>
      <c r="C318" s="392"/>
      <c r="D318" s="307"/>
      <c r="E318" s="389"/>
      <c r="F318" s="390"/>
      <c r="G318" s="392"/>
      <c r="H318" s="307"/>
      <c r="I318" s="389"/>
      <c r="J318" s="390"/>
      <c r="K318" s="392"/>
      <c r="L318" s="4"/>
      <c r="M318" s="389"/>
      <c r="N318" s="390"/>
      <c r="O318" s="392"/>
      <c r="P318" s="4"/>
      <c r="Q318" s="389"/>
      <c r="R318" s="390"/>
      <c r="S318" s="392"/>
      <c r="T318" s="4"/>
      <c r="U318" s="389"/>
      <c r="V318" s="390"/>
      <c r="W318" s="392"/>
      <c r="X318" s="4"/>
      <c r="Y318" s="406"/>
      <c r="Z318" s="36"/>
      <c r="AA318" s="360"/>
      <c r="AB318" s="4"/>
      <c r="AC318" s="36"/>
      <c r="AD318" s="36"/>
      <c r="AE318" s="36"/>
      <c r="AF318" s="4"/>
      <c r="AG318" s="380"/>
      <c r="AH318" s="380"/>
      <c r="AI318" s="381"/>
      <c r="AJ318" s="4"/>
      <c r="AK318" s="36"/>
      <c r="AL318" s="36"/>
      <c r="AM318" s="36"/>
      <c r="AN318" s="307"/>
    </row>
    <row r="319">
      <c r="A319" s="389"/>
      <c r="B319" s="372"/>
      <c r="C319" s="392"/>
      <c r="D319" s="307"/>
      <c r="E319" s="389"/>
      <c r="F319" s="390"/>
      <c r="G319" s="392"/>
      <c r="H319" s="307"/>
      <c r="I319" s="389"/>
      <c r="J319" s="390"/>
      <c r="K319" s="392"/>
      <c r="L319" s="4"/>
      <c r="M319" s="389"/>
      <c r="N319" s="390"/>
      <c r="O319" s="392"/>
      <c r="P319" s="4"/>
      <c r="Q319" s="389"/>
      <c r="R319" s="390"/>
      <c r="S319" s="392"/>
      <c r="T319" s="4"/>
      <c r="U319" s="389"/>
      <c r="V319" s="390"/>
      <c r="W319" s="392"/>
      <c r="X319" s="4"/>
      <c r="Y319" s="406"/>
      <c r="Z319" s="36"/>
      <c r="AA319" s="360"/>
      <c r="AB319" s="4"/>
      <c r="AC319" s="36"/>
      <c r="AD319" s="36"/>
      <c r="AE319" s="36"/>
      <c r="AF319" s="4"/>
      <c r="AG319" s="380"/>
      <c r="AH319" s="380"/>
      <c r="AI319" s="381"/>
      <c r="AJ319" s="4"/>
      <c r="AK319" s="36"/>
      <c r="AL319" s="36"/>
      <c r="AM319" s="36"/>
      <c r="AN319" s="307"/>
    </row>
    <row r="320">
      <c r="A320" s="389"/>
      <c r="B320" s="372"/>
      <c r="C320" s="392"/>
      <c r="D320" s="307"/>
      <c r="E320" s="389"/>
      <c r="F320" s="390"/>
      <c r="G320" s="392"/>
      <c r="H320" s="307"/>
      <c r="I320" s="389"/>
      <c r="J320" s="390"/>
      <c r="K320" s="392"/>
      <c r="L320" s="4"/>
      <c r="M320" s="389"/>
      <c r="N320" s="390"/>
      <c r="O320" s="392"/>
      <c r="P320" s="4"/>
      <c r="Q320" s="389"/>
      <c r="R320" s="390"/>
      <c r="S320" s="392"/>
      <c r="T320" s="4"/>
      <c r="U320" s="389"/>
      <c r="V320" s="390"/>
      <c r="W320" s="392"/>
      <c r="X320" s="4"/>
      <c r="Y320" s="406"/>
      <c r="Z320" s="36"/>
      <c r="AA320" s="360"/>
      <c r="AB320" s="4"/>
      <c r="AC320" s="36"/>
      <c r="AD320" s="36"/>
      <c r="AE320" s="36"/>
      <c r="AF320" s="4"/>
      <c r="AG320" s="380"/>
      <c r="AH320" s="380"/>
      <c r="AI320" s="381"/>
      <c r="AJ320" s="4"/>
      <c r="AK320" s="36"/>
      <c r="AL320" s="36"/>
      <c r="AM320" s="36"/>
      <c r="AN320" s="307"/>
    </row>
    <row r="321">
      <c r="A321" s="389"/>
      <c r="B321" s="372"/>
      <c r="C321" s="392"/>
      <c r="D321" s="307"/>
      <c r="E321" s="389"/>
      <c r="F321" s="390"/>
      <c r="G321" s="392"/>
      <c r="H321" s="307"/>
      <c r="I321" s="389"/>
      <c r="J321" s="390"/>
      <c r="K321" s="392"/>
      <c r="L321" s="4"/>
      <c r="M321" s="389"/>
      <c r="N321" s="390"/>
      <c r="O321" s="392"/>
      <c r="P321" s="4"/>
      <c r="Q321" s="389"/>
      <c r="R321" s="390"/>
      <c r="S321" s="392"/>
      <c r="T321" s="4"/>
      <c r="U321" s="389"/>
      <c r="V321" s="390"/>
      <c r="W321" s="392"/>
      <c r="X321" s="4"/>
      <c r="Y321" s="406"/>
      <c r="Z321" s="36"/>
      <c r="AA321" s="360"/>
      <c r="AB321" s="4"/>
      <c r="AC321" s="36"/>
      <c r="AD321" s="36"/>
      <c r="AE321" s="36"/>
      <c r="AF321" s="4"/>
      <c r="AG321" s="380"/>
      <c r="AH321" s="380"/>
      <c r="AI321" s="381"/>
      <c r="AJ321" s="4"/>
      <c r="AK321" s="36"/>
      <c r="AL321" s="36"/>
      <c r="AM321" s="36"/>
      <c r="AN321" s="307"/>
    </row>
    <row r="322">
      <c r="A322" s="389"/>
      <c r="B322" s="372"/>
      <c r="C322" s="392"/>
      <c r="D322" s="307"/>
      <c r="E322" s="389"/>
      <c r="F322" s="390"/>
      <c r="G322" s="392"/>
      <c r="H322" s="307"/>
      <c r="I322" s="389"/>
      <c r="J322" s="390"/>
      <c r="K322" s="392"/>
      <c r="L322" s="4"/>
      <c r="M322" s="389"/>
      <c r="N322" s="390"/>
      <c r="O322" s="392"/>
      <c r="P322" s="4"/>
      <c r="Q322" s="389"/>
      <c r="R322" s="390"/>
      <c r="S322" s="392"/>
      <c r="T322" s="4"/>
      <c r="U322" s="389"/>
      <c r="V322" s="390"/>
      <c r="W322" s="392"/>
      <c r="X322" s="4"/>
      <c r="Y322" s="406"/>
      <c r="Z322" s="36"/>
      <c r="AA322" s="360"/>
      <c r="AB322" s="4"/>
      <c r="AC322" s="36"/>
      <c r="AD322" s="36"/>
      <c r="AE322" s="36"/>
      <c r="AF322" s="4"/>
      <c r="AG322" s="380"/>
      <c r="AH322" s="380"/>
      <c r="AI322" s="381"/>
      <c r="AJ322" s="4"/>
      <c r="AK322" s="36"/>
      <c r="AL322" s="36"/>
      <c r="AM322" s="36"/>
      <c r="AN322" s="307"/>
    </row>
    <row r="323">
      <c r="A323" s="389"/>
      <c r="B323" s="372"/>
      <c r="C323" s="392"/>
      <c r="D323" s="307"/>
      <c r="E323" s="389"/>
      <c r="F323" s="390"/>
      <c r="G323" s="392"/>
      <c r="H323" s="307"/>
      <c r="I323" s="389"/>
      <c r="J323" s="390"/>
      <c r="K323" s="392"/>
      <c r="L323" s="4"/>
      <c r="M323" s="389"/>
      <c r="N323" s="390"/>
      <c r="O323" s="392"/>
      <c r="P323" s="4"/>
      <c r="Q323" s="389"/>
      <c r="R323" s="390"/>
      <c r="S323" s="392"/>
      <c r="T323" s="4"/>
      <c r="U323" s="389"/>
      <c r="V323" s="390"/>
      <c r="W323" s="392"/>
      <c r="X323" s="4"/>
      <c r="Y323" s="406"/>
      <c r="Z323" s="36"/>
      <c r="AA323" s="360"/>
      <c r="AB323" s="4"/>
      <c r="AC323" s="36"/>
      <c r="AD323" s="36"/>
      <c r="AE323" s="36"/>
      <c r="AF323" s="4"/>
      <c r="AG323" s="380"/>
      <c r="AH323" s="380"/>
      <c r="AI323" s="381"/>
      <c r="AJ323" s="4"/>
      <c r="AK323" s="36"/>
      <c r="AL323" s="36"/>
      <c r="AM323" s="36"/>
      <c r="AN323" s="307"/>
    </row>
    <row r="324">
      <c r="A324" s="389"/>
      <c r="B324" s="372"/>
      <c r="C324" s="392"/>
      <c r="D324" s="307"/>
      <c r="E324" s="389"/>
      <c r="F324" s="390"/>
      <c r="G324" s="392"/>
      <c r="H324" s="307"/>
      <c r="I324" s="389"/>
      <c r="J324" s="390"/>
      <c r="K324" s="392"/>
      <c r="L324" s="4"/>
      <c r="M324" s="389"/>
      <c r="N324" s="390"/>
      <c r="O324" s="392"/>
      <c r="P324" s="4"/>
      <c r="Q324" s="389"/>
      <c r="R324" s="390"/>
      <c r="S324" s="392"/>
      <c r="T324" s="4"/>
      <c r="U324" s="389"/>
      <c r="V324" s="390"/>
      <c r="W324" s="392"/>
      <c r="X324" s="4"/>
      <c r="Y324" s="406"/>
      <c r="Z324" s="36"/>
      <c r="AA324" s="360"/>
      <c r="AB324" s="4"/>
      <c r="AC324" s="36"/>
      <c r="AD324" s="36"/>
      <c r="AE324" s="36"/>
      <c r="AF324" s="4"/>
      <c r="AG324" s="380"/>
      <c r="AH324" s="380"/>
      <c r="AI324" s="381"/>
      <c r="AJ324" s="4"/>
      <c r="AK324" s="36"/>
      <c r="AL324" s="36"/>
      <c r="AM324" s="36"/>
      <c r="AN324" s="307"/>
    </row>
    <row r="325">
      <c r="A325" s="389"/>
      <c r="B325" s="372"/>
      <c r="C325" s="392"/>
      <c r="D325" s="307"/>
      <c r="E325" s="389"/>
      <c r="F325" s="390"/>
      <c r="G325" s="392"/>
      <c r="H325" s="307"/>
      <c r="I325" s="389"/>
      <c r="J325" s="390"/>
      <c r="K325" s="392"/>
      <c r="L325" s="4"/>
      <c r="M325" s="389"/>
      <c r="N325" s="390"/>
      <c r="O325" s="392"/>
      <c r="P325" s="4"/>
      <c r="Q325" s="389"/>
      <c r="R325" s="390"/>
      <c r="S325" s="392"/>
      <c r="T325" s="4"/>
      <c r="U325" s="389"/>
      <c r="V325" s="390"/>
      <c r="W325" s="392"/>
      <c r="X325" s="4"/>
      <c r="Y325" s="406"/>
      <c r="Z325" s="36"/>
      <c r="AA325" s="360"/>
      <c r="AB325" s="4"/>
      <c r="AC325" s="36"/>
      <c r="AD325" s="36"/>
      <c r="AE325" s="36"/>
      <c r="AF325" s="4"/>
      <c r="AG325" s="380"/>
      <c r="AH325" s="380"/>
      <c r="AI325" s="381"/>
      <c r="AJ325" s="4"/>
      <c r="AK325" s="36"/>
      <c r="AL325" s="36"/>
      <c r="AM325" s="36"/>
      <c r="AN325" s="307"/>
    </row>
    <row r="326">
      <c r="A326" s="389"/>
      <c r="B326" s="372"/>
      <c r="C326" s="392"/>
      <c r="D326" s="307"/>
      <c r="E326" s="389"/>
      <c r="F326" s="390"/>
      <c r="G326" s="392"/>
      <c r="H326" s="307"/>
      <c r="I326" s="389"/>
      <c r="J326" s="390"/>
      <c r="K326" s="392"/>
      <c r="L326" s="4"/>
      <c r="M326" s="389"/>
      <c r="N326" s="390"/>
      <c r="O326" s="392"/>
      <c r="P326" s="4"/>
      <c r="Q326" s="389"/>
      <c r="R326" s="390"/>
      <c r="S326" s="392"/>
      <c r="T326" s="4"/>
      <c r="U326" s="389"/>
      <c r="V326" s="390"/>
      <c r="W326" s="392"/>
      <c r="X326" s="4"/>
      <c r="Y326" s="406"/>
      <c r="Z326" s="36"/>
      <c r="AA326" s="360"/>
      <c r="AB326" s="4"/>
      <c r="AC326" s="36"/>
      <c r="AD326" s="36"/>
      <c r="AE326" s="36"/>
      <c r="AF326" s="4"/>
      <c r="AG326" s="380"/>
      <c r="AH326" s="380"/>
      <c r="AI326" s="381"/>
      <c r="AJ326" s="4"/>
      <c r="AK326" s="36"/>
      <c r="AL326" s="36"/>
      <c r="AM326" s="36"/>
      <c r="AN326" s="307"/>
    </row>
    <row r="327">
      <c r="A327" s="389"/>
      <c r="B327" s="372"/>
      <c r="C327" s="392"/>
      <c r="D327" s="307"/>
      <c r="E327" s="389"/>
      <c r="F327" s="390"/>
      <c r="G327" s="392"/>
      <c r="H327" s="307"/>
      <c r="I327" s="389"/>
      <c r="J327" s="390"/>
      <c r="K327" s="392"/>
      <c r="L327" s="4"/>
      <c r="M327" s="389"/>
      <c r="N327" s="390"/>
      <c r="O327" s="392"/>
      <c r="P327" s="4"/>
      <c r="Q327" s="389"/>
      <c r="R327" s="390"/>
      <c r="S327" s="392"/>
      <c r="T327" s="4"/>
      <c r="U327" s="389"/>
      <c r="V327" s="390"/>
      <c r="W327" s="392"/>
      <c r="X327" s="4"/>
      <c r="Y327" s="406"/>
      <c r="Z327" s="36"/>
      <c r="AA327" s="360"/>
      <c r="AB327" s="4"/>
      <c r="AC327" s="36"/>
      <c r="AD327" s="36"/>
      <c r="AE327" s="36"/>
      <c r="AF327" s="4"/>
      <c r="AG327" s="380"/>
      <c r="AH327" s="380"/>
      <c r="AI327" s="381"/>
      <c r="AJ327" s="4"/>
      <c r="AK327" s="36"/>
      <c r="AL327" s="36"/>
      <c r="AM327" s="36"/>
      <c r="AN327" s="307"/>
    </row>
    <row r="328">
      <c r="A328" s="389"/>
      <c r="B328" s="372"/>
      <c r="C328" s="392"/>
      <c r="D328" s="307"/>
      <c r="E328" s="389"/>
      <c r="F328" s="390"/>
      <c r="G328" s="392"/>
      <c r="H328" s="307"/>
      <c r="I328" s="389"/>
      <c r="J328" s="390"/>
      <c r="K328" s="392"/>
      <c r="L328" s="4"/>
      <c r="M328" s="389"/>
      <c r="N328" s="390"/>
      <c r="O328" s="392"/>
      <c r="P328" s="4"/>
      <c r="Q328" s="389"/>
      <c r="R328" s="390"/>
      <c r="S328" s="392"/>
      <c r="T328" s="4"/>
      <c r="U328" s="389"/>
      <c r="V328" s="390"/>
      <c r="W328" s="392"/>
      <c r="X328" s="4"/>
      <c r="Y328" s="406"/>
      <c r="Z328" s="36"/>
      <c r="AA328" s="360"/>
      <c r="AB328" s="4"/>
      <c r="AC328" s="36"/>
      <c r="AD328" s="36"/>
      <c r="AE328" s="36"/>
      <c r="AF328" s="4"/>
      <c r="AG328" s="380"/>
      <c r="AH328" s="380"/>
      <c r="AI328" s="381"/>
      <c r="AJ328" s="4"/>
      <c r="AK328" s="36"/>
      <c r="AL328" s="36"/>
      <c r="AM328" s="36"/>
      <c r="AN328" s="307"/>
    </row>
    <row r="329">
      <c r="A329" s="389"/>
      <c r="B329" s="372"/>
      <c r="C329" s="392"/>
      <c r="D329" s="307"/>
      <c r="E329" s="389"/>
      <c r="F329" s="390"/>
      <c r="G329" s="392"/>
      <c r="H329" s="307"/>
      <c r="I329" s="389"/>
      <c r="J329" s="390"/>
      <c r="K329" s="392"/>
      <c r="L329" s="4"/>
      <c r="M329" s="389"/>
      <c r="N329" s="390"/>
      <c r="O329" s="392"/>
      <c r="P329" s="4"/>
      <c r="Q329" s="389"/>
      <c r="R329" s="390"/>
      <c r="S329" s="392"/>
      <c r="T329" s="4"/>
      <c r="U329" s="389"/>
      <c r="V329" s="390"/>
      <c r="W329" s="392"/>
      <c r="X329" s="4"/>
      <c r="Y329" s="406"/>
      <c r="Z329" s="36"/>
      <c r="AA329" s="360"/>
      <c r="AB329" s="4"/>
      <c r="AC329" s="36"/>
      <c r="AD329" s="36"/>
      <c r="AE329" s="36"/>
      <c r="AF329" s="4"/>
      <c r="AG329" s="380"/>
      <c r="AH329" s="380"/>
      <c r="AI329" s="381"/>
      <c r="AJ329" s="4"/>
      <c r="AK329" s="36"/>
      <c r="AL329" s="36"/>
      <c r="AM329" s="36"/>
      <c r="AN329" s="307"/>
    </row>
    <row r="330">
      <c r="A330" s="389"/>
      <c r="B330" s="372"/>
      <c r="C330" s="392"/>
      <c r="D330" s="307"/>
      <c r="E330" s="389"/>
      <c r="F330" s="390"/>
      <c r="G330" s="392"/>
      <c r="H330" s="307"/>
      <c r="I330" s="389"/>
      <c r="J330" s="390"/>
      <c r="K330" s="392"/>
      <c r="L330" s="4"/>
      <c r="M330" s="389"/>
      <c r="N330" s="390"/>
      <c r="O330" s="392"/>
      <c r="P330" s="4"/>
      <c r="Q330" s="389"/>
      <c r="R330" s="390"/>
      <c r="S330" s="392"/>
      <c r="T330" s="4"/>
      <c r="U330" s="389"/>
      <c r="V330" s="390"/>
      <c r="W330" s="392"/>
      <c r="X330" s="4"/>
      <c r="Y330" s="406"/>
      <c r="Z330" s="36"/>
      <c r="AA330" s="360"/>
      <c r="AB330" s="4"/>
      <c r="AC330" s="36"/>
      <c r="AD330" s="36"/>
      <c r="AE330" s="36"/>
      <c r="AF330" s="4"/>
      <c r="AG330" s="380"/>
      <c r="AH330" s="380"/>
      <c r="AI330" s="381"/>
      <c r="AJ330" s="4"/>
      <c r="AK330" s="36"/>
      <c r="AL330" s="36"/>
      <c r="AM330" s="36"/>
      <c r="AN330" s="307"/>
    </row>
    <row r="331">
      <c r="A331" s="389"/>
      <c r="B331" s="372"/>
      <c r="C331" s="392"/>
      <c r="D331" s="307"/>
      <c r="E331" s="389"/>
      <c r="F331" s="390"/>
      <c r="G331" s="392"/>
      <c r="H331" s="307"/>
      <c r="I331" s="389"/>
      <c r="J331" s="390"/>
      <c r="K331" s="392"/>
      <c r="L331" s="4"/>
      <c r="M331" s="389"/>
      <c r="N331" s="390"/>
      <c r="O331" s="392"/>
      <c r="P331" s="4"/>
      <c r="Q331" s="389"/>
      <c r="R331" s="390"/>
      <c r="S331" s="392"/>
      <c r="T331" s="4"/>
      <c r="U331" s="389"/>
      <c r="V331" s="390"/>
      <c r="W331" s="392"/>
      <c r="X331" s="4"/>
      <c r="Y331" s="406"/>
      <c r="Z331" s="36"/>
      <c r="AA331" s="360"/>
      <c r="AB331" s="4"/>
      <c r="AC331" s="36"/>
      <c r="AD331" s="36"/>
      <c r="AE331" s="36"/>
      <c r="AF331" s="4"/>
      <c r="AG331" s="380"/>
      <c r="AH331" s="380"/>
      <c r="AI331" s="381"/>
      <c r="AJ331" s="4"/>
      <c r="AK331" s="36"/>
      <c r="AL331" s="36"/>
      <c r="AM331" s="36"/>
      <c r="AN331" s="307"/>
    </row>
    <row r="332">
      <c r="A332" s="389"/>
      <c r="B332" s="372"/>
      <c r="C332" s="392"/>
      <c r="D332" s="307"/>
      <c r="E332" s="389"/>
      <c r="F332" s="390"/>
      <c r="G332" s="392"/>
      <c r="H332" s="307"/>
      <c r="I332" s="389"/>
      <c r="J332" s="390"/>
      <c r="K332" s="392"/>
      <c r="L332" s="4"/>
      <c r="M332" s="389"/>
      <c r="N332" s="390"/>
      <c r="O332" s="392"/>
      <c r="P332" s="4"/>
      <c r="Q332" s="389"/>
      <c r="R332" s="390"/>
      <c r="S332" s="392"/>
      <c r="T332" s="4"/>
      <c r="U332" s="389"/>
      <c r="V332" s="390"/>
      <c r="W332" s="392"/>
      <c r="X332" s="4"/>
      <c r="Y332" s="406"/>
      <c r="Z332" s="36"/>
      <c r="AA332" s="360"/>
      <c r="AB332" s="4"/>
      <c r="AC332" s="36"/>
      <c r="AD332" s="36"/>
      <c r="AE332" s="36"/>
      <c r="AF332" s="4"/>
      <c r="AG332" s="380"/>
      <c r="AH332" s="380"/>
      <c r="AI332" s="381"/>
      <c r="AJ332" s="4"/>
      <c r="AK332" s="36"/>
      <c r="AL332" s="36"/>
      <c r="AM332" s="36"/>
      <c r="AN332" s="307"/>
    </row>
    <row r="333">
      <c r="A333" s="389"/>
      <c r="B333" s="372"/>
      <c r="C333" s="392"/>
      <c r="D333" s="307"/>
      <c r="E333" s="389"/>
      <c r="F333" s="390"/>
      <c r="G333" s="392"/>
      <c r="H333" s="307"/>
      <c r="I333" s="389"/>
      <c r="J333" s="390"/>
      <c r="K333" s="392"/>
      <c r="L333" s="4"/>
      <c r="M333" s="389"/>
      <c r="N333" s="390"/>
      <c r="O333" s="392"/>
      <c r="P333" s="4"/>
      <c r="Q333" s="389"/>
      <c r="R333" s="390"/>
      <c r="S333" s="392"/>
      <c r="T333" s="4"/>
      <c r="U333" s="389"/>
      <c r="V333" s="390"/>
      <c r="W333" s="392"/>
      <c r="X333" s="4"/>
      <c r="Y333" s="406"/>
      <c r="Z333" s="36"/>
      <c r="AA333" s="360"/>
      <c r="AB333" s="4"/>
      <c r="AC333" s="36"/>
      <c r="AD333" s="36"/>
      <c r="AE333" s="36"/>
      <c r="AF333" s="4"/>
      <c r="AG333" s="380"/>
      <c r="AH333" s="380"/>
      <c r="AI333" s="381"/>
      <c r="AJ333" s="4"/>
      <c r="AK333" s="36"/>
      <c r="AL333" s="36"/>
      <c r="AM333" s="36"/>
      <c r="AN333" s="307"/>
    </row>
    <row r="334">
      <c r="A334" s="389"/>
      <c r="B334" s="372"/>
      <c r="C334" s="392"/>
      <c r="D334" s="307"/>
      <c r="E334" s="389"/>
      <c r="F334" s="390"/>
      <c r="G334" s="392"/>
      <c r="H334" s="307"/>
      <c r="I334" s="389"/>
      <c r="J334" s="390"/>
      <c r="K334" s="392"/>
      <c r="L334" s="4"/>
      <c r="M334" s="389"/>
      <c r="N334" s="390"/>
      <c r="O334" s="392"/>
      <c r="P334" s="4"/>
      <c r="Q334" s="389"/>
      <c r="R334" s="390"/>
      <c r="S334" s="392"/>
      <c r="T334" s="4"/>
      <c r="U334" s="389"/>
      <c r="V334" s="390"/>
      <c r="W334" s="392"/>
      <c r="X334" s="4"/>
      <c r="Y334" s="406"/>
      <c r="Z334" s="36"/>
      <c r="AA334" s="360"/>
      <c r="AB334" s="4"/>
      <c r="AC334" s="36"/>
      <c r="AD334" s="36"/>
      <c r="AE334" s="36"/>
      <c r="AF334" s="4"/>
      <c r="AG334" s="380"/>
      <c r="AH334" s="380"/>
      <c r="AI334" s="381"/>
      <c r="AJ334" s="4"/>
      <c r="AK334" s="36"/>
      <c r="AL334" s="36"/>
      <c r="AM334" s="36"/>
      <c r="AN334" s="307"/>
    </row>
    <row r="335">
      <c r="A335" s="389"/>
      <c r="B335" s="372"/>
      <c r="C335" s="392"/>
      <c r="D335" s="307"/>
      <c r="E335" s="389"/>
      <c r="F335" s="390"/>
      <c r="G335" s="392"/>
      <c r="H335" s="307"/>
      <c r="I335" s="389"/>
      <c r="J335" s="390"/>
      <c r="K335" s="392"/>
      <c r="L335" s="4"/>
      <c r="M335" s="389"/>
      <c r="N335" s="390"/>
      <c r="O335" s="392"/>
      <c r="P335" s="4"/>
      <c r="Q335" s="389"/>
      <c r="R335" s="390"/>
      <c r="S335" s="392"/>
      <c r="T335" s="4"/>
      <c r="U335" s="389"/>
      <c r="V335" s="390"/>
      <c r="W335" s="392"/>
      <c r="X335" s="4"/>
      <c r="Y335" s="406"/>
      <c r="Z335" s="36"/>
      <c r="AA335" s="360"/>
      <c r="AB335" s="4"/>
      <c r="AC335" s="36"/>
      <c r="AD335" s="36"/>
      <c r="AE335" s="36"/>
      <c r="AF335" s="4"/>
      <c r="AG335" s="380"/>
      <c r="AH335" s="380"/>
      <c r="AI335" s="381"/>
      <c r="AJ335" s="4"/>
      <c r="AK335" s="36"/>
      <c r="AL335" s="36"/>
      <c r="AM335" s="36"/>
      <c r="AN335" s="307"/>
    </row>
    <row r="336">
      <c r="A336" s="389"/>
      <c r="B336" s="372"/>
      <c r="C336" s="392"/>
      <c r="D336" s="307"/>
      <c r="E336" s="389"/>
      <c r="F336" s="390"/>
      <c r="G336" s="392"/>
      <c r="H336" s="307"/>
      <c r="I336" s="389"/>
      <c r="J336" s="390"/>
      <c r="K336" s="392"/>
      <c r="L336" s="4"/>
      <c r="M336" s="389"/>
      <c r="N336" s="390"/>
      <c r="O336" s="392"/>
      <c r="P336" s="4"/>
      <c r="Q336" s="389"/>
      <c r="R336" s="390"/>
      <c r="S336" s="392"/>
      <c r="T336" s="4"/>
      <c r="U336" s="389"/>
      <c r="V336" s="390"/>
      <c r="W336" s="392"/>
      <c r="X336" s="4"/>
      <c r="Y336" s="406"/>
      <c r="Z336" s="36"/>
      <c r="AA336" s="360"/>
      <c r="AB336" s="4"/>
      <c r="AC336" s="36"/>
      <c r="AD336" s="36"/>
      <c r="AE336" s="36"/>
      <c r="AF336" s="4"/>
      <c r="AG336" s="380"/>
      <c r="AH336" s="380"/>
      <c r="AI336" s="381"/>
      <c r="AJ336" s="4"/>
      <c r="AK336" s="36"/>
      <c r="AL336" s="36"/>
      <c r="AM336" s="36"/>
      <c r="AN336" s="307"/>
    </row>
    <row r="337">
      <c r="A337" s="389"/>
      <c r="B337" s="372"/>
      <c r="C337" s="392"/>
      <c r="D337" s="307"/>
      <c r="E337" s="389"/>
      <c r="F337" s="390"/>
      <c r="G337" s="392"/>
      <c r="H337" s="307"/>
      <c r="I337" s="389"/>
      <c r="J337" s="390"/>
      <c r="K337" s="392"/>
      <c r="L337" s="4"/>
      <c r="M337" s="389"/>
      <c r="N337" s="390"/>
      <c r="O337" s="392"/>
      <c r="P337" s="4"/>
      <c r="Q337" s="389"/>
      <c r="R337" s="390"/>
      <c r="S337" s="392"/>
      <c r="T337" s="4"/>
      <c r="U337" s="389"/>
      <c r="V337" s="390"/>
      <c r="W337" s="392"/>
      <c r="X337" s="4"/>
      <c r="Y337" s="406"/>
      <c r="Z337" s="36"/>
      <c r="AA337" s="360"/>
      <c r="AB337" s="4"/>
      <c r="AC337" s="36"/>
      <c r="AD337" s="36"/>
      <c r="AE337" s="36"/>
      <c r="AF337" s="4"/>
      <c r="AG337" s="380"/>
      <c r="AH337" s="380"/>
      <c r="AI337" s="381"/>
      <c r="AJ337" s="4"/>
      <c r="AK337" s="36"/>
      <c r="AL337" s="36"/>
      <c r="AM337" s="36"/>
      <c r="AN337" s="307"/>
    </row>
    <row r="338">
      <c r="A338" s="389"/>
      <c r="B338" s="372"/>
      <c r="C338" s="392"/>
      <c r="D338" s="307"/>
      <c r="E338" s="389"/>
      <c r="F338" s="390"/>
      <c r="G338" s="392"/>
      <c r="H338" s="307"/>
      <c r="I338" s="389"/>
      <c r="J338" s="390"/>
      <c r="K338" s="392"/>
      <c r="L338" s="4"/>
      <c r="M338" s="389"/>
      <c r="N338" s="390"/>
      <c r="O338" s="392"/>
      <c r="P338" s="4"/>
      <c r="Q338" s="389"/>
      <c r="R338" s="390"/>
      <c r="S338" s="392"/>
      <c r="T338" s="4"/>
      <c r="U338" s="389"/>
      <c r="V338" s="390"/>
      <c r="W338" s="392"/>
      <c r="X338" s="4"/>
      <c r="Y338" s="406"/>
      <c r="Z338" s="36"/>
      <c r="AA338" s="360"/>
      <c r="AB338" s="4"/>
      <c r="AC338" s="36"/>
      <c r="AD338" s="36"/>
      <c r="AE338" s="36"/>
      <c r="AF338" s="4"/>
      <c r="AG338" s="380"/>
      <c r="AH338" s="380"/>
      <c r="AI338" s="381"/>
      <c r="AJ338" s="4"/>
      <c r="AK338" s="36"/>
      <c r="AL338" s="36"/>
      <c r="AM338" s="36"/>
      <c r="AN338" s="307"/>
    </row>
    <row r="339">
      <c r="A339" s="389"/>
      <c r="B339" s="372"/>
      <c r="C339" s="392"/>
      <c r="D339" s="307"/>
      <c r="E339" s="389"/>
      <c r="F339" s="390"/>
      <c r="G339" s="392"/>
      <c r="H339" s="307"/>
      <c r="I339" s="389"/>
      <c r="J339" s="390"/>
      <c r="K339" s="392"/>
      <c r="L339" s="4"/>
      <c r="M339" s="389"/>
      <c r="N339" s="390"/>
      <c r="O339" s="392"/>
      <c r="P339" s="4"/>
      <c r="Q339" s="389"/>
      <c r="R339" s="390"/>
      <c r="S339" s="392"/>
      <c r="T339" s="4"/>
      <c r="U339" s="389"/>
      <c r="V339" s="390"/>
      <c r="W339" s="392"/>
      <c r="X339" s="4"/>
      <c r="Y339" s="406"/>
      <c r="Z339" s="36"/>
      <c r="AA339" s="360"/>
      <c r="AB339" s="4"/>
      <c r="AC339" s="36"/>
      <c r="AD339" s="36"/>
      <c r="AE339" s="36"/>
      <c r="AF339" s="4"/>
      <c r="AG339" s="380"/>
      <c r="AH339" s="380"/>
      <c r="AI339" s="381"/>
      <c r="AJ339" s="4"/>
      <c r="AK339" s="36"/>
      <c r="AL339" s="36"/>
      <c r="AM339" s="363"/>
      <c r="AN339" s="307"/>
    </row>
    <row r="340">
      <c r="A340" s="389"/>
      <c r="B340" s="372"/>
      <c r="C340" s="392"/>
      <c r="D340" s="307"/>
      <c r="E340" s="389"/>
      <c r="F340" s="390"/>
      <c r="G340" s="392"/>
      <c r="H340" s="307"/>
      <c r="I340" s="389"/>
      <c r="J340" s="390"/>
      <c r="K340" s="392"/>
      <c r="L340" s="4"/>
      <c r="M340" s="389"/>
      <c r="N340" s="390"/>
      <c r="O340" s="392"/>
      <c r="P340" s="4"/>
      <c r="Q340" s="389"/>
      <c r="R340" s="390"/>
      <c r="S340" s="392"/>
      <c r="T340" s="4"/>
      <c r="U340" s="389"/>
      <c r="V340" s="390"/>
      <c r="W340" s="392"/>
      <c r="X340" s="4"/>
      <c r="Y340" s="406"/>
      <c r="Z340" s="36"/>
      <c r="AA340" s="360"/>
      <c r="AB340" s="4"/>
      <c r="AC340" s="36"/>
      <c r="AD340" s="36"/>
      <c r="AE340" s="36"/>
      <c r="AF340" s="4"/>
      <c r="AG340" s="380"/>
      <c r="AH340" s="380"/>
      <c r="AI340" s="381"/>
      <c r="AJ340" s="4"/>
      <c r="AK340" s="36"/>
      <c r="AL340" s="36"/>
      <c r="AM340" s="363"/>
      <c r="AN340" s="307"/>
    </row>
    <row r="341">
      <c r="A341" s="389"/>
      <c r="B341" s="372"/>
      <c r="C341" s="392"/>
      <c r="D341" s="307"/>
      <c r="E341" s="389"/>
      <c r="F341" s="390"/>
      <c r="G341" s="392"/>
      <c r="H341" s="307"/>
      <c r="I341" s="389"/>
      <c r="J341" s="390"/>
      <c r="K341" s="392"/>
      <c r="L341" s="4"/>
      <c r="M341" s="389"/>
      <c r="N341" s="390"/>
      <c r="O341" s="392"/>
      <c r="P341" s="4"/>
      <c r="Q341" s="389"/>
      <c r="R341" s="390"/>
      <c r="S341" s="392"/>
      <c r="T341" s="4"/>
      <c r="U341" s="389"/>
      <c r="V341" s="390"/>
      <c r="W341" s="392"/>
      <c r="X341" s="4"/>
      <c r="Y341" s="406"/>
      <c r="Z341" s="36"/>
      <c r="AA341" s="360"/>
      <c r="AB341" s="4"/>
      <c r="AC341" s="36"/>
      <c r="AD341" s="36"/>
      <c r="AE341" s="36"/>
      <c r="AF341" s="4"/>
      <c r="AG341" s="380"/>
      <c r="AH341" s="380"/>
      <c r="AI341" s="381"/>
      <c r="AJ341" s="4"/>
      <c r="AK341" s="36"/>
      <c r="AL341" s="36"/>
      <c r="AM341" s="36"/>
      <c r="AN341" s="307"/>
    </row>
    <row r="342">
      <c r="A342" s="389"/>
      <c r="B342" s="372"/>
      <c r="C342" s="392"/>
      <c r="D342" s="307"/>
      <c r="E342" s="389"/>
      <c r="F342" s="390"/>
      <c r="G342" s="392"/>
      <c r="H342" s="307"/>
      <c r="I342" s="389"/>
      <c r="J342" s="390"/>
      <c r="K342" s="392"/>
      <c r="L342" s="4"/>
      <c r="M342" s="389"/>
      <c r="N342" s="390"/>
      <c r="O342" s="392"/>
      <c r="P342" s="4"/>
      <c r="Q342" s="389"/>
      <c r="R342" s="390"/>
      <c r="S342" s="392"/>
      <c r="T342" s="4"/>
      <c r="U342" s="389"/>
      <c r="V342" s="390"/>
      <c r="W342" s="392"/>
      <c r="X342" s="4"/>
      <c r="Y342" s="406"/>
      <c r="Z342" s="36"/>
      <c r="AA342" s="360"/>
      <c r="AB342" s="4"/>
      <c r="AC342" s="36"/>
      <c r="AD342" s="36"/>
      <c r="AE342" s="36"/>
      <c r="AF342" s="4"/>
      <c r="AG342" s="380"/>
      <c r="AH342" s="380"/>
      <c r="AI342" s="381"/>
      <c r="AJ342" s="4"/>
      <c r="AK342" s="36"/>
      <c r="AL342" s="36"/>
      <c r="AM342" s="363"/>
      <c r="AN342" s="307"/>
    </row>
    <row r="343">
      <c r="A343" s="389"/>
      <c r="B343" s="372"/>
      <c r="C343" s="392"/>
      <c r="D343" s="307"/>
      <c r="E343" s="389"/>
      <c r="F343" s="390"/>
      <c r="G343" s="392"/>
      <c r="H343" s="307"/>
      <c r="I343" s="389"/>
      <c r="J343" s="390"/>
      <c r="K343" s="392"/>
      <c r="L343" s="4"/>
      <c r="M343" s="389"/>
      <c r="N343" s="390"/>
      <c r="O343" s="392"/>
      <c r="P343" s="4"/>
      <c r="Q343" s="389"/>
      <c r="R343" s="390"/>
      <c r="S343" s="392"/>
      <c r="T343" s="4"/>
      <c r="U343" s="389"/>
      <c r="V343" s="390"/>
      <c r="W343" s="392"/>
      <c r="X343" s="4"/>
      <c r="Y343" s="406"/>
      <c r="Z343" s="36"/>
      <c r="AA343" s="360"/>
      <c r="AB343" s="4"/>
      <c r="AC343" s="36"/>
      <c r="AD343" s="36"/>
      <c r="AE343" s="36"/>
      <c r="AF343" s="4"/>
      <c r="AG343" s="380"/>
      <c r="AH343" s="380"/>
      <c r="AI343" s="381"/>
      <c r="AJ343" s="4"/>
      <c r="AK343" s="36"/>
      <c r="AL343" s="36"/>
      <c r="AM343" s="363"/>
      <c r="AN343" s="307"/>
    </row>
    <row r="344">
      <c r="A344" s="389"/>
      <c r="B344" s="372"/>
      <c r="C344" s="392"/>
      <c r="D344" s="307"/>
      <c r="E344" s="389"/>
      <c r="F344" s="390"/>
      <c r="G344" s="392"/>
      <c r="H344" s="307"/>
      <c r="I344" s="389"/>
      <c r="J344" s="390"/>
      <c r="K344" s="392"/>
      <c r="L344" s="4"/>
      <c r="M344" s="389"/>
      <c r="N344" s="390"/>
      <c r="O344" s="392"/>
      <c r="P344" s="4"/>
      <c r="Q344" s="389"/>
      <c r="R344" s="390"/>
      <c r="S344" s="392"/>
      <c r="T344" s="4"/>
      <c r="U344" s="389"/>
      <c r="V344" s="390"/>
      <c r="W344" s="392"/>
      <c r="X344" s="4"/>
      <c r="Y344" s="406"/>
      <c r="Z344" s="36"/>
      <c r="AA344" s="360"/>
      <c r="AB344" s="4"/>
      <c r="AC344" s="36"/>
      <c r="AD344" s="36"/>
      <c r="AE344" s="36"/>
      <c r="AF344" s="4"/>
      <c r="AG344" s="380"/>
      <c r="AH344" s="380"/>
      <c r="AI344" s="381"/>
      <c r="AJ344" s="4"/>
      <c r="AK344" s="36"/>
      <c r="AL344" s="36"/>
      <c r="AM344" s="36"/>
      <c r="AN344" s="307"/>
    </row>
    <row r="345">
      <c r="A345" s="389"/>
      <c r="B345" s="372"/>
      <c r="C345" s="392"/>
      <c r="D345" s="307"/>
      <c r="E345" s="389"/>
      <c r="F345" s="390"/>
      <c r="G345" s="392"/>
      <c r="H345" s="307"/>
      <c r="I345" s="389"/>
      <c r="J345" s="390"/>
      <c r="K345" s="392"/>
      <c r="L345" s="4"/>
      <c r="M345" s="389"/>
      <c r="N345" s="390"/>
      <c r="O345" s="392"/>
      <c r="P345" s="4"/>
      <c r="Q345" s="389"/>
      <c r="R345" s="390"/>
      <c r="S345" s="392"/>
      <c r="T345" s="4"/>
      <c r="U345" s="389"/>
      <c r="V345" s="390"/>
      <c r="W345" s="392"/>
      <c r="X345" s="4"/>
      <c r="Y345" s="406"/>
      <c r="Z345" s="36"/>
      <c r="AA345" s="360"/>
      <c r="AB345" s="4"/>
      <c r="AC345" s="36"/>
      <c r="AD345" s="36"/>
      <c r="AE345" s="36"/>
      <c r="AF345" s="4"/>
      <c r="AG345" s="380"/>
      <c r="AH345" s="380"/>
      <c r="AI345" s="381"/>
      <c r="AJ345" s="4"/>
      <c r="AK345" s="36"/>
      <c r="AL345" s="36"/>
      <c r="AM345" s="363"/>
      <c r="AN345" s="307"/>
    </row>
    <row r="346">
      <c r="A346" s="389"/>
      <c r="B346" s="372"/>
      <c r="C346" s="392"/>
      <c r="D346" s="307"/>
      <c r="E346" s="389"/>
      <c r="F346" s="390"/>
      <c r="G346" s="392"/>
      <c r="H346" s="307"/>
      <c r="I346" s="389"/>
      <c r="J346" s="390"/>
      <c r="K346" s="392"/>
      <c r="L346" s="4"/>
      <c r="M346" s="389"/>
      <c r="N346" s="390"/>
      <c r="O346" s="392"/>
      <c r="P346" s="4"/>
      <c r="Q346" s="389"/>
      <c r="R346" s="390"/>
      <c r="S346" s="392"/>
      <c r="T346" s="4"/>
      <c r="U346" s="389"/>
      <c r="V346" s="390"/>
      <c r="W346" s="392"/>
      <c r="X346" s="4"/>
      <c r="Y346" s="406"/>
      <c r="Z346" s="36"/>
      <c r="AA346" s="360"/>
      <c r="AB346" s="4"/>
      <c r="AC346" s="36"/>
      <c r="AD346" s="36"/>
      <c r="AE346" s="36"/>
      <c r="AF346" s="4"/>
      <c r="AG346" s="380"/>
      <c r="AH346" s="380"/>
      <c r="AI346" s="381"/>
      <c r="AJ346" s="4"/>
      <c r="AK346" s="36"/>
      <c r="AL346" s="36"/>
      <c r="AM346" s="363"/>
      <c r="AN346" s="307"/>
    </row>
    <row r="347">
      <c r="A347" s="389"/>
      <c r="B347" s="372"/>
      <c r="C347" s="392"/>
      <c r="D347" s="307"/>
      <c r="E347" s="389"/>
      <c r="F347" s="390"/>
      <c r="G347" s="392"/>
      <c r="H347" s="307"/>
      <c r="I347" s="389"/>
      <c r="J347" s="390"/>
      <c r="K347" s="392"/>
      <c r="L347" s="4"/>
      <c r="M347" s="389"/>
      <c r="N347" s="390"/>
      <c r="O347" s="392"/>
      <c r="P347" s="4"/>
      <c r="Q347" s="389"/>
      <c r="R347" s="390"/>
      <c r="S347" s="392"/>
      <c r="T347" s="4"/>
      <c r="U347" s="389"/>
      <c r="V347" s="390"/>
      <c r="W347" s="392"/>
      <c r="X347" s="4"/>
      <c r="Y347" s="406"/>
      <c r="Z347" s="36"/>
      <c r="AA347" s="360"/>
      <c r="AB347" s="4"/>
      <c r="AC347" s="36"/>
      <c r="AD347" s="36"/>
      <c r="AE347" s="36"/>
      <c r="AF347" s="4"/>
      <c r="AG347" s="380"/>
      <c r="AH347" s="380"/>
      <c r="AI347" s="381"/>
      <c r="AJ347" s="4"/>
      <c r="AK347" s="36"/>
      <c r="AL347" s="36"/>
      <c r="AM347" s="36"/>
      <c r="AN347" s="307"/>
    </row>
    <row r="348">
      <c r="A348" s="389"/>
      <c r="B348" s="372"/>
      <c r="C348" s="392"/>
      <c r="D348" s="307"/>
      <c r="E348" s="389"/>
      <c r="F348" s="390"/>
      <c r="G348" s="392"/>
      <c r="H348" s="307"/>
      <c r="I348" s="389"/>
      <c r="J348" s="390"/>
      <c r="K348" s="392"/>
      <c r="L348" s="4"/>
      <c r="M348" s="389"/>
      <c r="N348" s="390"/>
      <c r="O348" s="392"/>
      <c r="P348" s="4"/>
      <c r="Q348" s="389"/>
      <c r="R348" s="390"/>
      <c r="S348" s="392"/>
      <c r="T348" s="4"/>
      <c r="U348" s="389"/>
      <c r="V348" s="390"/>
      <c r="W348" s="392"/>
      <c r="X348" s="4"/>
      <c r="Y348" s="406"/>
      <c r="Z348" s="36"/>
      <c r="AA348" s="360"/>
      <c r="AB348" s="4"/>
      <c r="AC348" s="36"/>
      <c r="AD348" s="36"/>
      <c r="AE348" s="36"/>
      <c r="AF348" s="4"/>
      <c r="AG348" s="380"/>
      <c r="AH348" s="380"/>
      <c r="AI348" s="381"/>
      <c r="AJ348" s="4"/>
      <c r="AK348" s="36"/>
      <c r="AL348" s="36"/>
      <c r="AM348" s="363"/>
      <c r="AN348" s="307"/>
    </row>
    <row r="349">
      <c r="A349" s="389"/>
      <c r="B349" s="372"/>
      <c r="C349" s="392"/>
      <c r="D349" s="307"/>
      <c r="E349" s="389"/>
      <c r="F349" s="390"/>
      <c r="G349" s="392"/>
      <c r="H349" s="307"/>
      <c r="I349" s="389"/>
      <c r="J349" s="390"/>
      <c r="K349" s="392"/>
      <c r="L349" s="4"/>
      <c r="M349" s="389"/>
      <c r="N349" s="390"/>
      <c r="O349" s="392"/>
      <c r="P349" s="4"/>
      <c r="Q349" s="389"/>
      <c r="R349" s="390"/>
      <c r="S349" s="392"/>
      <c r="T349" s="4"/>
      <c r="U349" s="389"/>
      <c r="V349" s="390"/>
      <c r="W349" s="392"/>
      <c r="X349" s="4"/>
      <c r="Y349" s="406"/>
      <c r="Z349" s="36"/>
      <c r="AA349" s="360"/>
      <c r="AB349" s="4"/>
      <c r="AC349" s="36"/>
      <c r="AD349" s="36"/>
      <c r="AE349" s="36"/>
      <c r="AF349" s="4"/>
      <c r="AG349" s="380"/>
      <c r="AH349" s="380"/>
      <c r="AI349" s="381"/>
      <c r="AJ349" s="4"/>
      <c r="AK349" s="36"/>
      <c r="AL349" s="36"/>
      <c r="AM349" s="363"/>
      <c r="AN349" s="307"/>
    </row>
    <row r="350">
      <c r="A350" s="389"/>
      <c r="B350" s="372"/>
      <c r="C350" s="392"/>
      <c r="D350" s="307"/>
      <c r="E350" s="389"/>
      <c r="F350" s="390"/>
      <c r="G350" s="392"/>
      <c r="H350" s="307"/>
      <c r="I350" s="389"/>
      <c r="J350" s="390"/>
      <c r="K350" s="392"/>
      <c r="L350" s="4"/>
      <c r="M350" s="389"/>
      <c r="N350" s="390"/>
      <c r="O350" s="392"/>
      <c r="P350" s="4"/>
      <c r="Q350" s="389"/>
      <c r="R350" s="390"/>
      <c r="S350" s="392"/>
      <c r="T350" s="4"/>
      <c r="U350" s="389"/>
      <c r="V350" s="390"/>
      <c r="W350" s="392"/>
      <c r="X350" s="4"/>
      <c r="Y350" s="406"/>
      <c r="Z350" s="36"/>
      <c r="AA350" s="360"/>
      <c r="AB350" s="4"/>
      <c r="AC350" s="36"/>
      <c r="AD350" s="36"/>
      <c r="AE350" s="36"/>
      <c r="AF350" s="4"/>
      <c r="AG350" s="380"/>
      <c r="AH350" s="380"/>
      <c r="AI350" s="381"/>
      <c r="AJ350" s="4"/>
      <c r="AK350" s="36"/>
      <c r="AL350" s="36"/>
      <c r="AM350" s="36"/>
      <c r="AN350" s="307"/>
    </row>
    <row r="351">
      <c r="A351" s="389"/>
      <c r="B351" s="372"/>
      <c r="C351" s="392"/>
      <c r="D351" s="307"/>
      <c r="E351" s="389"/>
      <c r="F351" s="390"/>
      <c r="G351" s="392"/>
      <c r="H351" s="307"/>
      <c r="I351" s="389"/>
      <c r="J351" s="390"/>
      <c r="K351" s="392"/>
      <c r="L351" s="4"/>
      <c r="M351" s="389"/>
      <c r="N351" s="390"/>
      <c r="O351" s="392"/>
      <c r="P351" s="4"/>
      <c r="Q351" s="389"/>
      <c r="R351" s="390"/>
      <c r="S351" s="392"/>
      <c r="T351" s="4"/>
      <c r="U351" s="389"/>
      <c r="V351" s="390"/>
      <c r="W351" s="392"/>
      <c r="X351" s="4"/>
      <c r="Y351" s="406"/>
      <c r="Z351" s="36"/>
      <c r="AA351" s="360"/>
      <c r="AB351" s="4"/>
      <c r="AC351" s="36"/>
      <c r="AD351" s="36"/>
      <c r="AE351" s="36"/>
      <c r="AF351" s="4"/>
      <c r="AG351" s="380"/>
      <c r="AH351" s="380"/>
      <c r="AI351" s="381"/>
      <c r="AJ351" s="4"/>
      <c r="AK351" s="36"/>
      <c r="AL351" s="36"/>
      <c r="AM351" s="363"/>
      <c r="AN351" s="307"/>
    </row>
    <row r="352">
      <c r="A352" s="389"/>
      <c r="B352" s="372"/>
      <c r="C352" s="392"/>
      <c r="D352" s="307"/>
      <c r="E352" s="389"/>
      <c r="F352" s="390"/>
      <c r="G352" s="392"/>
      <c r="H352" s="307"/>
      <c r="I352" s="389"/>
      <c r="J352" s="390"/>
      <c r="K352" s="392"/>
      <c r="L352" s="4"/>
      <c r="M352" s="389"/>
      <c r="N352" s="390"/>
      <c r="O352" s="392"/>
      <c r="P352" s="4"/>
      <c r="Q352" s="389"/>
      <c r="R352" s="390"/>
      <c r="S352" s="392"/>
      <c r="T352" s="4"/>
      <c r="U352" s="389"/>
      <c r="V352" s="390"/>
      <c r="W352" s="392"/>
      <c r="X352" s="4"/>
      <c r="Y352" s="406"/>
      <c r="Z352" s="36"/>
      <c r="AA352" s="360"/>
      <c r="AB352" s="4"/>
      <c r="AC352" s="36"/>
      <c r="AD352" s="36"/>
      <c r="AE352" s="36"/>
      <c r="AF352" s="4"/>
      <c r="AG352" s="380"/>
      <c r="AH352" s="380"/>
      <c r="AI352" s="381"/>
      <c r="AJ352" s="4"/>
      <c r="AK352" s="36"/>
      <c r="AL352" s="36"/>
      <c r="AM352" s="363"/>
      <c r="AN352" s="307"/>
    </row>
    <row r="353">
      <c r="A353" s="389"/>
      <c r="B353" s="372"/>
      <c r="C353" s="392"/>
      <c r="D353" s="307"/>
      <c r="E353" s="389"/>
      <c r="F353" s="390"/>
      <c r="G353" s="392"/>
      <c r="H353" s="307"/>
      <c r="I353" s="389"/>
      <c r="J353" s="390"/>
      <c r="K353" s="392"/>
      <c r="L353" s="4"/>
      <c r="M353" s="389"/>
      <c r="N353" s="390"/>
      <c r="O353" s="392"/>
      <c r="P353" s="4"/>
      <c r="Q353" s="389"/>
      <c r="R353" s="390"/>
      <c r="S353" s="392"/>
      <c r="T353" s="4"/>
      <c r="U353" s="389"/>
      <c r="V353" s="390"/>
      <c r="W353" s="392"/>
      <c r="X353" s="4"/>
      <c r="Y353" s="406"/>
      <c r="Z353" s="36"/>
      <c r="AA353" s="360"/>
      <c r="AB353" s="4"/>
      <c r="AC353" s="36"/>
      <c r="AD353" s="36"/>
      <c r="AE353" s="36"/>
      <c r="AF353" s="4"/>
      <c r="AG353" s="380"/>
      <c r="AH353" s="380"/>
      <c r="AI353" s="381"/>
      <c r="AJ353" s="4"/>
      <c r="AK353" s="36"/>
      <c r="AL353" s="36"/>
      <c r="AM353" s="36"/>
      <c r="AN353" s="307"/>
    </row>
    <row r="354">
      <c r="A354" s="389"/>
      <c r="B354" s="372"/>
      <c r="C354" s="392"/>
      <c r="D354" s="307"/>
      <c r="E354" s="389"/>
      <c r="F354" s="390"/>
      <c r="G354" s="392"/>
      <c r="H354" s="307"/>
      <c r="I354" s="389"/>
      <c r="J354" s="390"/>
      <c r="K354" s="392"/>
      <c r="L354" s="4"/>
      <c r="M354" s="389"/>
      <c r="N354" s="390"/>
      <c r="O354" s="392"/>
      <c r="P354" s="4"/>
      <c r="Q354" s="389"/>
      <c r="R354" s="390"/>
      <c r="S354" s="392"/>
      <c r="T354" s="4"/>
      <c r="U354" s="389"/>
      <c r="V354" s="390"/>
      <c r="W354" s="392"/>
      <c r="X354" s="4"/>
      <c r="Y354" s="406"/>
      <c r="Z354" s="36"/>
      <c r="AA354" s="360"/>
      <c r="AB354" s="4"/>
      <c r="AC354" s="36"/>
      <c r="AD354" s="36"/>
      <c r="AE354" s="36"/>
      <c r="AF354" s="4"/>
      <c r="AG354" s="380"/>
      <c r="AH354" s="380"/>
      <c r="AI354" s="381"/>
      <c r="AJ354" s="4"/>
      <c r="AK354" s="36"/>
      <c r="AL354" s="36"/>
      <c r="AM354" s="363"/>
      <c r="AN354" s="307"/>
    </row>
    <row r="355">
      <c r="A355" s="389"/>
      <c r="B355" s="372"/>
      <c r="C355" s="392"/>
      <c r="D355" s="307"/>
      <c r="E355" s="389"/>
      <c r="F355" s="390"/>
      <c r="G355" s="392"/>
      <c r="H355" s="307"/>
      <c r="I355" s="389"/>
      <c r="J355" s="390"/>
      <c r="K355" s="392"/>
      <c r="L355" s="4"/>
      <c r="M355" s="389"/>
      <c r="N355" s="390"/>
      <c r="O355" s="392"/>
      <c r="P355" s="4"/>
      <c r="Q355" s="389"/>
      <c r="R355" s="390"/>
      <c r="S355" s="392"/>
      <c r="T355" s="4"/>
      <c r="U355" s="389"/>
      <c r="V355" s="390"/>
      <c r="W355" s="392"/>
      <c r="X355" s="4"/>
      <c r="Y355" s="406"/>
      <c r="Z355" s="36"/>
      <c r="AA355" s="360"/>
      <c r="AB355" s="4"/>
      <c r="AC355" s="36"/>
      <c r="AD355" s="36"/>
      <c r="AE355" s="36"/>
      <c r="AF355" s="4"/>
      <c r="AG355" s="380"/>
      <c r="AH355" s="380"/>
      <c r="AI355" s="381"/>
      <c r="AJ355" s="4"/>
      <c r="AK355" s="36"/>
      <c r="AL355" s="36"/>
      <c r="AM355" s="363"/>
      <c r="AN355" s="307"/>
    </row>
    <row r="356">
      <c r="A356" s="423"/>
      <c r="B356" s="424"/>
      <c r="C356" s="425"/>
      <c r="D356" s="307"/>
      <c r="E356" s="423"/>
      <c r="F356" s="424"/>
      <c r="G356" s="425"/>
      <c r="H356" s="307"/>
      <c r="I356" s="423"/>
      <c r="J356" s="424"/>
      <c r="K356" s="425"/>
      <c r="L356" s="4"/>
      <c r="M356" s="423"/>
      <c r="N356" s="424"/>
      <c r="O356" s="425"/>
      <c r="P356" s="4"/>
      <c r="Q356" s="423"/>
      <c r="R356" s="424"/>
      <c r="S356" s="425"/>
      <c r="T356" s="4"/>
      <c r="U356" s="423"/>
      <c r="V356" s="424"/>
      <c r="W356" s="425"/>
      <c r="X356" s="4"/>
      <c r="Y356" s="406"/>
      <c r="Z356" s="36"/>
      <c r="AA356" s="360"/>
      <c r="AB356" s="4"/>
      <c r="AC356" s="36"/>
      <c r="AD356" s="36"/>
      <c r="AE356" s="36"/>
      <c r="AF356" s="4"/>
      <c r="AG356" s="380"/>
      <c r="AH356" s="380"/>
      <c r="AI356" s="381"/>
      <c r="AJ356" s="4"/>
      <c r="AK356" s="36"/>
      <c r="AL356" s="36"/>
      <c r="AM356" s="36"/>
      <c r="AN356" s="307"/>
    </row>
    <row r="357">
      <c r="A357" s="4"/>
      <c r="B357" s="4"/>
      <c r="C357" s="426"/>
      <c r="D357" s="307"/>
      <c r="E357" s="4"/>
      <c r="F357" s="4"/>
      <c r="G357" s="426"/>
      <c r="H357" s="307"/>
      <c r="I357" s="4"/>
      <c r="J357" s="4"/>
      <c r="K357" s="426"/>
      <c r="L357" s="4"/>
      <c r="M357" s="4"/>
      <c r="N357" s="4"/>
      <c r="O357" s="426"/>
      <c r="P357" s="4"/>
      <c r="Q357" s="4"/>
      <c r="R357" s="4"/>
      <c r="S357" s="426"/>
      <c r="T357" s="4"/>
      <c r="U357" s="4"/>
      <c r="V357" s="4"/>
      <c r="W357" s="426"/>
      <c r="X357" s="4"/>
      <c r="Y357" s="427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307"/>
    </row>
    <row r="358">
      <c r="A358" s="4">
        <f>SUM(A2:A356)</f>
        <v>124555</v>
      </c>
      <c r="B358" s="4"/>
      <c r="C358" s="426"/>
      <c r="D358" s="307"/>
      <c r="E358" s="4">
        <f>SUM(E2:E356)</f>
        <v>13370</v>
      </c>
      <c r="F358" s="4"/>
      <c r="G358" s="426"/>
      <c r="H358" s="307"/>
      <c r="I358" s="4">
        <f>SUM(I2:I356)</f>
        <v>12710</v>
      </c>
      <c r="J358" s="4"/>
      <c r="K358" s="426"/>
      <c r="L358" s="4"/>
      <c r="M358" s="4">
        <f>SUM(M2:M356)</f>
        <v>5600</v>
      </c>
      <c r="N358" s="4"/>
      <c r="O358" s="426"/>
      <c r="Q358" s="4">
        <f>SUM(Q2:Q356)</f>
        <v>20400</v>
      </c>
      <c r="R358" s="4"/>
      <c r="S358" s="426"/>
      <c r="U358" s="4">
        <f>SUM(U2:U356)</f>
        <v>33230</v>
      </c>
      <c r="V358" s="4"/>
      <c r="W358" s="426"/>
      <c r="Y358" s="428">
        <f>SUM(Y3:Y356)</f>
        <v>131683.6</v>
      </c>
      <c r="Z358" s="321"/>
      <c r="AA358" s="321"/>
      <c r="AB358" s="321"/>
      <c r="AC358" s="321">
        <f>SUM(AC3:AC356)</f>
        <v>10508</v>
      </c>
      <c r="AD358" s="4"/>
      <c r="AE358" s="4"/>
      <c r="AF358" s="4"/>
      <c r="AG358" s="321">
        <f>SUM(AG3:AG356)</f>
        <v>27335</v>
      </c>
      <c r="AH358" s="4"/>
      <c r="AI358" s="4"/>
      <c r="AJ358" s="4"/>
      <c r="AK358" s="321">
        <f>SUM(AK3:AK356)</f>
        <v>5350</v>
      </c>
      <c r="AL358" s="4"/>
      <c r="AM358" s="4"/>
      <c r="AN358" s="307"/>
    </row>
    <row r="359">
      <c r="A359" s="4"/>
      <c r="B359" s="4"/>
      <c r="C359" s="426"/>
      <c r="D359" s="307"/>
      <c r="E359" s="4"/>
      <c r="F359" s="4"/>
      <c r="G359" s="426"/>
      <c r="H359" s="307"/>
      <c r="I359" s="4"/>
      <c r="J359" s="4"/>
      <c r="K359" s="426"/>
      <c r="L359" s="4"/>
      <c r="M359" s="4"/>
      <c r="N359" s="4"/>
      <c r="O359" s="426"/>
      <c r="P359" s="4"/>
      <c r="Q359" s="4"/>
      <c r="R359" s="4"/>
      <c r="S359" s="426"/>
      <c r="T359" s="4"/>
      <c r="U359" s="4"/>
      <c r="V359" s="4"/>
      <c r="W359" s="426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307"/>
    </row>
    <row r="360">
      <c r="A360" s="4"/>
      <c r="B360" s="4"/>
      <c r="C360" s="426"/>
      <c r="D360" s="307"/>
      <c r="E360" s="4"/>
      <c r="F360" s="4"/>
      <c r="G360" s="426"/>
      <c r="H360" s="307"/>
      <c r="I360" s="4"/>
      <c r="J360" s="4"/>
      <c r="K360" s="426"/>
      <c r="L360" s="4"/>
      <c r="M360" s="4"/>
      <c r="N360" s="4"/>
      <c r="O360" s="426"/>
      <c r="P360" s="4"/>
      <c r="Q360" s="4"/>
      <c r="R360" s="4"/>
      <c r="S360" s="426"/>
      <c r="T360" s="4"/>
      <c r="U360" s="4"/>
      <c r="V360" s="4"/>
      <c r="W360" s="426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307"/>
    </row>
    <row r="361">
      <c r="A361" s="4"/>
      <c r="B361" s="4"/>
      <c r="C361" s="426"/>
      <c r="D361" s="307"/>
      <c r="E361" s="4"/>
      <c r="F361" s="4"/>
      <c r="G361" s="426"/>
      <c r="H361" s="307"/>
      <c r="I361" s="4"/>
      <c r="J361" s="4"/>
      <c r="K361" s="426"/>
      <c r="L361" s="4"/>
      <c r="M361" s="4"/>
      <c r="N361" s="4"/>
      <c r="O361" s="426"/>
      <c r="P361" s="4"/>
      <c r="Q361" s="4"/>
      <c r="R361" s="4"/>
      <c r="S361" s="426"/>
      <c r="T361" s="4"/>
      <c r="U361" s="4"/>
      <c r="V361" s="4"/>
      <c r="W361" s="432">
        <f>A358+E358+I358+M358+Q358+U358</f>
        <v>209865</v>
      </c>
      <c r="X361" s="433"/>
      <c r="Y361" s="434">
        <f>sum(Y358:AM358)</f>
        <v>174876.6</v>
      </c>
      <c r="Z361" s="435">
        <f>Private!N10</f>
        <v>36000</v>
      </c>
      <c r="AA361" s="436">
        <f>W361-Y361-Z361</f>
        <v>-1011.6</v>
      </c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307"/>
    </row>
    <row r="362">
      <c r="A362" s="4"/>
      <c r="B362" s="4"/>
      <c r="C362" s="426"/>
      <c r="D362" s="307"/>
      <c r="E362" s="4"/>
      <c r="F362" s="4"/>
      <c r="G362" s="426"/>
      <c r="H362" s="4"/>
      <c r="I362" s="4"/>
      <c r="J362" s="4"/>
      <c r="K362" s="426"/>
      <c r="L362" s="4"/>
      <c r="M362" s="4"/>
      <c r="N362" s="4"/>
      <c r="O362" s="426"/>
      <c r="P362" s="4"/>
      <c r="Q362" s="4"/>
      <c r="R362" s="4"/>
      <c r="S362" s="426"/>
      <c r="T362" s="4"/>
      <c r="U362" s="4"/>
      <c r="V362" s="4"/>
      <c r="W362" s="438" t="s">
        <v>1224</v>
      </c>
      <c r="X362" s="433"/>
      <c r="Y362" s="439" t="s">
        <v>1225</v>
      </c>
      <c r="Z362" s="441" t="s">
        <v>1226</v>
      </c>
      <c r="AA362" s="442" t="s">
        <v>1227</v>
      </c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307"/>
    </row>
    <row r="363">
      <c r="A363" s="4"/>
      <c r="B363" s="4"/>
      <c r="C363" s="426"/>
      <c r="D363" s="4"/>
      <c r="E363" s="4"/>
      <c r="F363" s="4"/>
      <c r="G363" s="426"/>
      <c r="H363" s="4"/>
      <c r="I363" s="4"/>
      <c r="J363" s="4"/>
      <c r="K363" s="426"/>
      <c r="L363" s="4"/>
      <c r="M363" s="4"/>
      <c r="N363" s="4"/>
      <c r="O363" s="426"/>
      <c r="P363" s="4"/>
      <c r="Q363" s="4"/>
      <c r="R363" s="4"/>
      <c r="S363" s="426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307"/>
    </row>
    <row r="364">
      <c r="A364" s="4"/>
      <c r="B364" s="4"/>
      <c r="C364" s="426"/>
      <c r="D364" s="4"/>
      <c r="E364" s="4"/>
      <c r="F364" s="4"/>
      <c r="G364" s="426"/>
      <c r="H364" s="443"/>
      <c r="I364" s="4"/>
      <c r="J364" s="4"/>
      <c r="K364" s="426"/>
      <c r="L364" s="4"/>
      <c r="M364" s="4"/>
      <c r="N364" s="4"/>
      <c r="O364" s="426"/>
      <c r="P364" s="4"/>
      <c r="Q364" s="4"/>
      <c r="R364" s="4"/>
      <c r="S364" s="426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307"/>
    </row>
    <row r="365">
      <c r="A365" s="4"/>
      <c r="B365" s="4"/>
      <c r="C365" s="426"/>
      <c r="D365" s="4"/>
      <c r="E365" s="4"/>
      <c r="F365" s="4"/>
      <c r="G365" s="426"/>
      <c r="H365" s="4"/>
      <c r="I365" s="4"/>
      <c r="J365" s="4"/>
      <c r="K365" s="426"/>
      <c r="L365" s="4"/>
      <c r="M365" s="4"/>
      <c r="N365" s="4"/>
      <c r="O365" s="426"/>
      <c r="P365" s="4"/>
      <c r="Q365" s="4"/>
      <c r="R365" s="4"/>
      <c r="S365" s="426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307"/>
    </row>
    <row r="366">
      <c r="A366" s="4"/>
      <c r="C366" s="444"/>
      <c r="G366" s="444"/>
      <c r="K366" s="444"/>
      <c r="O366" s="444"/>
      <c r="S366" s="444"/>
      <c r="AA366" s="4"/>
      <c r="AB366" s="4"/>
      <c r="AC366" s="4"/>
      <c r="AD366" s="445"/>
      <c r="AE366" s="445"/>
      <c r="AF366" s="4"/>
      <c r="AG366" s="445"/>
      <c r="AH366" s="445"/>
      <c r="AI366" s="4"/>
      <c r="AJ366" s="4"/>
      <c r="AK366" s="4"/>
      <c r="AL366" s="4"/>
      <c r="AM366" s="4"/>
      <c r="AN366" s="307"/>
    </row>
    <row r="367">
      <c r="A367" s="4"/>
      <c r="C367" s="444"/>
      <c r="G367" s="444"/>
      <c r="K367" s="444"/>
      <c r="O367" s="444"/>
      <c r="S367" s="444"/>
      <c r="AA367" s="4"/>
      <c r="AB367" s="4"/>
      <c r="AC367" s="4"/>
      <c r="AD367" s="446"/>
      <c r="AE367" s="20"/>
      <c r="AF367" s="4"/>
      <c r="AG367" s="446"/>
      <c r="AH367" s="20"/>
      <c r="AI367" s="4"/>
      <c r="AJ367" s="4"/>
      <c r="AK367" s="4"/>
      <c r="AL367" s="4"/>
      <c r="AM367" s="4"/>
      <c r="AN367" s="307"/>
    </row>
    <row r="368">
      <c r="A368" s="4"/>
      <c r="C368" s="444"/>
      <c r="G368" s="444"/>
      <c r="K368" s="444"/>
      <c r="O368" s="444"/>
      <c r="S368" s="444"/>
      <c r="AA368" s="4"/>
      <c r="AB368" s="4"/>
      <c r="AC368" s="4"/>
      <c r="AD368" s="446"/>
      <c r="AE368" s="20"/>
      <c r="AF368" s="4"/>
      <c r="AG368" s="446"/>
      <c r="AH368" s="20"/>
      <c r="AI368" s="4"/>
      <c r="AJ368" s="4"/>
      <c r="AK368" s="4"/>
      <c r="AL368" s="4"/>
      <c r="AM368" s="4"/>
      <c r="AN368" s="307"/>
    </row>
    <row r="369">
      <c r="A369" s="4"/>
      <c r="C369" s="444"/>
      <c r="G369" s="444"/>
      <c r="K369" s="444"/>
      <c r="O369" s="444"/>
      <c r="S369" s="444"/>
      <c r="AA369" s="4"/>
      <c r="AB369" s="4"/>
      <c r="AC369" s="4"/>
      <c r="AD369" s="446"/>
      <c r="AE369" s="20"/>
      <c r="AF369" s="4"/>
      <c r="AG369" s="446"/>
      <c r="AH369" s="20"/>
      <c r="AI369" s="4"/>
      <c r="AJ369" s="4"/>
      <c r="AK369" s="4"/>
      <c r="AL369" s="4"/>
      <c r="AM369" s="4"/>
      <c r="AN369" s="307"/>
    </row>
    <row r="370">
      <c r="A370" s="4"/>
      <c r="C370" s="444"/>
      <c r="G370" s="444"/>
      <c r="K370" s="444"/>
      <c r="O370" s="444"/>
      <c r="S370" s="444"/>
      <c r="AA370" s="4"/>
      <c r="AB370" s="4"/>
      <c r="AC370" s="4"/>
      <c r="AD370" s="446"/>
      <c r="AE370" s="20"/>
      <c r="AF370" s="4"/>
      <c r="AG370" s="446"/>
      <c r="AH370" s="20"/>
      <c r="AI370" s="4"/>
      <c r="AJ370" s="4"/>
      <c r="AK370" s="4"/>
      <c r="AL370" s="4"/>
      <c r="AM370" s="4"/>
      <c r="AN370" s="307"/>
    </row>
    <row r="371">
      <c r="A371" s="4"/>
      <c r="C371" s="444"/>
      <c r="G371" s="444"/>
      <c r="K371" s="444"/>
      <c r="O371" s="444"/>
      <c r="S371" s="444"/>
      <c r="AA371" s="4"/>
      <c r="AB371" s="4"/>
      <c r="AC371" s="4"/>
      <c r="AD371" s="446"/>
      <c r="AE371" s="20"/>
      <c r="AF371" s="4"/>
      <c r="AG371" s="446"/>
      <c r="AH371" s="20"/>
      <c r="AI371" s="4"/>
      <c r="AJ371" s="4"/>
      <c r="AK371" s="4"/>
      <c r="AL371" s="4"/>
      <c r="AM371" s="4"/>
      <c r="AN371" s="307"/>
    </row>
    <row r="372">
      <c r="A372" s="4"/>
      <c r="C372" s="444"/>
      <c r="G372" s="444"/>
      <c r="K372" s="444"/>
      <c r="O372" s="444"/>
      <c r="S372" s="444"/>
      <c r="AA372" s="4"/>
      <c r="AB372" s="4"/>
      <c r="AC372" s="4"/>
      <c r="AD372" s="446"/>
      <c r="AE372" s="20"/>
      <c r="AF372" s="4"/>
      <c r="AG372" s="446"/>
      <c r="AH372" s="20"/>
      <c r="AI372" s="4"/>
      <c r="AJ372" s="4"/>
      <c r="AK372" s="4"/>
      <c r="AL372" s="4"/>
      <c r="AM372" s="4"/>
      <c r="AN372" s="307"/>
    </row>
    <row r="373">
      <c r="A373" s="4"/>
      <c r="C373" s="444"/>
      <c r="G373" s="444"/>
      <c r="K373" s="444"/>
      <c r="O373" s="444"/>
      <c r="S373" s="444"/>
      <c r="AA373" s="4"/>
      <c r="AB373" s="4"/>
      <c r="AC373" s="4"/>
      <c r="AD373" s="446"/>
      <c r="AE373" s="20"/>
      <c r="AF373" s="4"/>
      <c r="AG373" s="446"/>
      <c r="AH373" s="20"/>
      <c r="AI373" s="4"/>
      <c r="AJ373" s="4"/>
      <c r="AK373" s="4"/>
      <c r="AL373" s="4"/>
      <c r="AM373" s="4"/>
      <c r="AN373" s="307"/>
    </row>
    <row r="374">
      <c r="A374" s="4"/>
      <c r="C374" s="444"/>
      <c r="G374" s="444"/>
      <c r="K374" s="444"/>
      <c r="O374" s="444"/>
      <c r="S374" s="444"/>
      <c r="AA374" s="4"/>
      <c r="AB374" s="4"/>
      <c r="AC374" s="4"/>
      <c r="AD374" s="447"/>
      <c r="AE374" s="20"/>
      <c r="AF374" s="4"/>
      <c r="AG374" s="4"/>
      <c r="AH374" s="4"/>
      <c r="AI374" s="4"/>
      <c r="AJ374" s="4"/>
      <c r="AK374" s="4"/>
      <c r="AL374" s="4"/>
      <c r="AM374" s="4"/>
      <c r="AN374" s="307"/>
    </row>
    <row r="375">
      <c r="A375" s="4"/>
      <c r="C375" s="444"/>
      <c r="G375" s="444"/>
      <c r="K375" s="444"/>
      <c r="O375" s="444"/>
      <c r="S375" s="444"/>
      <c r="AA375" s="4"/>
      <c r="AB375" s="4"/>
      <c r="AC375" s="4"/>
      <c r="AD375" s="446"/>
      <c r="AE375" s="20"/>
      <c r="AF375" s="4"/>
      <c r="AG375" s="4"/>
      <c r="AH375" s="4"/>
      <c r="AI375" s="4"/>
      <c r="AJ375" s="4"/>
      <c r="AK375" s="4"/>
      <c r="AL375" s="4"/>
      <c r="AM375" s="4"/>
      <c r="AN375" s="307"/>
    </row>
    <row r="376">
      <c r="A376" s="4"/>
      <c r="C376" s="444"/>
      <c r="G376" s="444"/>
      <c r="K376" s="444"/>
      <c r="O376" s="444"/>
      <c r="S376" s="444"/>
      <c r="AA376" s="4"/>
      <c r="AB376" s="4"/>
      <c r="AC376" s="4"/>
      <c r="AD376" s="447"/>
      <c r="AE376" s="20"/>
      <c r="AF376" s="4"/>
      <c r="AG376" s="4"/>
      <c r="AH376" s="4"/>
      <c r="AI376" s="4"/>
      <c r="AJ376" s="4"/>
      <c r="AK376" s="4"/>
      <c r="AL376" s="4"/>
      <c r="AM376" s="4"/>
      <c r="AN376" s="307"/>
    </row>
    <row r="377">
      <c r="A377" s="4"/>
      <c r="C377" s="444"/>
      <c r="G377" s="444"/>
      <c r="K377" s="444"/>
      <c r="O377" s="444"/>
      <c r="S377" s="444"/>
      <c r="AA377" s="4"/>
      <c r="AB377" s="4"/>
      <c r="AC377" s="4"/>
      <c r="AD377" s="447"/>
      <c r="AE377" s="20"/>
      <c r="AF377" s="4"/>
      <c r="AG377" s="4"/>
      <c r="AH377" s="4"/>
      <c r="AI377" s="4"/>
      <c r="AJ377" s="4"/>
      <c r="AK377" s="4"/>
      <c r="AL377" s="4"/>
      <c r="AM377" s="4"/>
      <c r="AN377" s="307"/>
    </row>
    <row r="378">
      <c r="A378" s="4"/>
      <c r="C378" s="444"/>
      <c r="G378" s="444"/>
      <c r="K378" s="444"/>
      <c r="O378" s="444"/>
      <c r="S378" s="444"/>
      <c r="AA378" s="4"/>
      <c r="AB378" s="4"/>
      <c r="AC378" s="4"/>
      <c r="AD378" s="447"/>
      <c r="AE378" s="20"/>
      <c r="AF378" s="4"/>
      <c r="AG378" s="4"/>
      <c r="AH378" s="4"/>
      <c r="AI378" s="4"/>
      <c r="AJ378" s="4"/>
      <c r="AK378" s="4"/>
      <c r="AL378" s="4"/>
      <c r="AM378" s="4"/>
      <c r="AN378" s="307"/>
    </row>
    <row r="379">
      <c r="A379" s="4"/>
      <c r="C379" s="444"/>
      <c r="G379" s="444"/>
      <c r="K379" s="444"/>
      <c r="O379" s="444"/>
      <c r="S379" s="444"/>
      <c r="AA379" s="4"/>
      <c r="AB379" s="4"/>
      <c r="AC379" s="4"/>
      <c r="AD379" s="447"/>
      <c r="AE379" s="20"/>
      <c r="AF379" s="4"/>
      <c r="AG379" s="4"/>
      <c r="AH379" s="4"/>
      <c r="AI379" s="4"/>
      <c r="AJ379" s="4"/>
      <c r="AK379" s="4"/>
      <c r="AL379" s="4"/>
      <c r="AM379" s="4"/>
      <c r="AN379" s="307"/>
    </row>
    <row r="380">
      <c r="A380" s="4"/>
      <c r="C380" s="444"/>
      <c r="G380" s="444"/>
      <c r="K380" s="444"/>
      <c r="O380" s="444"/>
      <c r="S380" s="444"/>
      <c r="AA380" s="4"/>
      <c r="AB380" s="4"/>
      <c r="AC380" s="4"/>
      <c r="AD380" s="447"/>
      <c r="AE380" s="20"/>
      <c r="AF380" s="4"/>
      <c r="AG380" s="4"/>
      <c r="AH380" s="4"/>
      <c r="AI380" s="4"/>
      <c r="AJ380" s="4"/>
      <c r="AK380" s="4"/>
      <c r="AL380" s="4"/>
      <c r="AM380" s="4"/>
      <c r="AN380" s="307"/>
    </row>
    <row r="381">
      <c r="A381" s="4"/>
      <c r="C381" s="444"/>
      <c r="G381" s="444"/>
      <c r="K381" s="444"/>
      <c r="O381" s="444"/>
      <c r="S381" s="444"/>
      <c r="AA381" s="4"/>
      <c r="AB381" s="4"/>
      <c r="AC381" s="4"/>
      <c r="AD381" s="447"/>
      <c r="AE381" s="20"/>
      <c r="AF381" s="4"/>
      <c r="AG381" s="4"/>
      <c r="AH381" s="4"/>
      <c r="AI381" s="4"/>
      <c r="AJ381" s="4"/>
      <c r="AK381" s="4"/>
      <c r="AL381" s="4"/>
      <c r="AM381" s="4"/>
      <c r="AN381" s="307"/>
    </row>
    <row r="382">
      <c r="A382" s="4"/>
      <c r="C382" s="444"/>
      <c r="G382" s="444"/>
      <c r="K382" s="444"/>
      <c r="O382" s="444"/>
      <c r="S382" s="444"/>
      <c r="AA382" s="4"/>
      <c r="AB382" s="4"/>
      <c r="AC382" s="4"/>
      <c r="AD382" s="446"/>
      <c r="AE382" s="20"/>
      <c r="AF382" s="4"/>
      <c r="AG382" s="4"/>
      <c r="AH382" s="4"/>
      <c r="AI382" s="4"/>
      <c r="AJ382" s="4"/>
      <c r="AK382" s="4"/>
      <c r="AL382" s="4"/>
      <c r="AM382" s="4"/>
      <c r="AN382" s="307"/>
    </row>
    <row r="383">
      <c r="A383" s="4"/>
      <c r="C383" s="444"/>
      <c r="G383" s="444"/>
      <c r="K383" s="444"/>
      <c r="O383" s="444"/>
      <c r="S383" s="444"/>
      <c r="AA383" s="4"/>
      <c r="AB383" s="4"/>
      <c r="AC383" s="4"/>
      <c r="AD383" s="447"/>
      <c r="AE383" s="20"/>
      <c r="AF383" s="4"/>
      <c r="AG383" s="4"/>
      <c r="AH383" s="4"/>
      <c r="AI383" s="4"/>
      <c r="AJ383" s="4"/>
      <c r="AK383" s="4"/>
      <c r="AL383" s="4"/>
      <c r="AM383" s="4"/>
      <c r="AN383" s="307"/>
    </row>
    <row r="384">
      <c r="A384" s="4"/>
      <c r="C384" s="444"/>
      <c r="G384" s="444"/>
      <c r="K384" s="444"/>
      <c r="O384" s="444"/>
      <c r="S384" s="44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307"/>
    </row>
    <row r="385">
      <c r="A385" s="4"/>
      <c r="C385" s="444"/>
      <c r="G385" s="444"/>
      <c r="K385" s="444"/>
      <c r="O385" s="444"/>
      <c r="S385" s="44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307"/>
    </row>
    <row r="386">
      <c r="A386" s="4"/>
      <c r="C386" s="444"/>
      <c r="G386" s="444"/>
      <c r="K386" s="444"/>
      <c r="O386" s="444"/>
      <c r="S386" s="44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307"/>
    </row>
    <row r="387">
      <c r="A387" s="4"/>
      <c r="C387" s="444"/>
      <c r="G387" s="444"/>
      <c r="K387" s="444"/>
      <c r="O387" s="444"/>
      <c r="S387" s="44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307"/>
    </row>
    <row r="388">
      <c r="A388" s="4"/>
      <c r="B388" s="4"/>
      <c r="C388" s="426"/>
      <c r="D388" s="307"/>
      <c r="E388" s="4"/>
      <c r="F388" s="4"/>
      <c r="G388" s="426"/>
      <c r="H388" s="4"/>
      <c r="I388" s="4"/>
      <c r="J388" s="4"/>
      <c r="K388" s="426"/>
      <c r="L388" s="4"/>
      <c r="M388" s="4"/>
      <c r="N388" s="4"/>
      <c r="O388" s="426"/>
      <c r="P388" s="4"/>
      <c r="Q388" s="4"/>
      <c r="R388" s="4"/>
      <c r="S388" s="426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307"/>
    </row>
    <row r="389">
      <c r="A389" s="4"/>
      <c r="B389" s="4"/>
      <c r="C389" s="426"/>
      <c r="D389" s="307"/>
      <c r="E389" s="4"/>
      <c r="F389" s="4"/>
      <c r="G389" s="426"/>
      <c r="H389" s="4"/>
      <c r="I389" s="4"/>
      <c r="J389" s="4"/>
      <c r="K389" s="426"/>
      <c r="L389" s="4"/>
      <c r="M389" s="4"/>
      <c r="N389" s="4"/>
      <c r="O389" s="426"/>
      <c r="P389" s="4"/>
      <c r="Q389" s="4"/>
      <c r="R389" s="4"/>
      <c r="S389" s="426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307"/>
    </row>
    <row r="390">
      <c r="A390" s="4"/>
      <c r="B390" s="4"/>
      <c r="C390" s="426"/>
      <c r="D390" s="307"/>
      <c r="E390" s="4"/>
      <c r="F390" s="4"/>
      <c r="G390" s="426"/>
      <c r="H390" s="4"/>
      <c r="I390" s="4"/>
      <c r="J390" s="4"/>
      <c r="K390" s="426"/>
      <c r="L390" s="4"/>
      <c r="M390" s="4"/>
      <c r="N390" s="4"/>
      <c r="O390" s="426"/>
      <c r="P390" s="4"/>
      <c r="Q390" s="4"/>
      <c r="R390" s="4"/>
      <c r="S390" s="426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307"/>
    </row>
    <row r="391">
      <c r="A391" s="4"/>
      <c r="B391" s="4"/>
      <c r="C391" s="426"/>
      <c r="D391" s="307"/>
      <c r="E391" s="4"/>
      <c r="F391" s="4"/>
      <c r="G391" s="426"/>
      <c r="H391" s="4"/>
      <c r="I391" s="4"/>
      <c r="J391" s="4"/>
      <c r="K391" s="426"/>
      <c r="L391" s="4"/>
      <c r="M391" s="4"/>
      <c r="N391" s="4"/>
      <c r="O391" s="426"/>
      <c r="P391" s="4"/>
      <c r="Q391" s="4"/>
      <c r="R391" s="4"/>
      <c r="S391" s="426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307"/>
    </row>
    <row r="392">
      <c r="A392" s="4"/>
      <c r="B392" s="4"/>
      <c r="C392" s="426"/>
      <c r="D392" s="307"/>
      <c r="E392" s="4"/>
      <c r="F392" s="4"/>
      <c r="G392" s="426"/>
      <c r="H392" s="307"/>
      <c r="I392" s="4"/>
      <c r="J392" s="4"/>
      <c r="K392" s="426"/>
      <c r="L392" s="4"/>
      <c r="M392" s="4"/>
      <c r="N392" s="4"/>
      <c r="O392" s="426"/>
      <c r="P392" s="4"/>
      <c r="Q392" s="4"/>
      <c r="R392" s="4"/>
      <c r="S392" s="426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307"/>
    </row>
    <row r="393">
      <c r="A393" s="4"/>
      <c r="B393" s="4"/>
      <c r="C393" s="426"/>
      <c r="D393" s="307"/>
      <c r="E393" s="4"/>
      <c r="F393" s="4"/>
      <c r="G393" s="426"/>
      <c r="H393" s="307"/>
      <c r="I393" s="4"/>
      <c r="J393" s="4"/>
      <c r="K393" s="426"/>
      <c r="L393" s="4"/>
      <c r="M393" s="4"/>
      <c r="N393" s="4"/>
      <c r="O393" s="426"/>
      <c r="P393" s="4"/>
      <c r="Q393" s="4"/>
      <c r="R393" s="4"/>
      <c r="S393" s="426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307"/>
    </row>
    <row r="394">
      <c r="A394" s="4"/>
      <c r="B394" s="4"/>
      <c r="C394" s="426"/>
      <c r="D394" s="307"/>
      <c r="E394" s="4"/>
      <c r="F394" s="4"/>
      <c r="G394" s="426"/>
      <c r="H394" s="307"/>
      <c r="I394" s="4"/>
      <c r="J394" s="4"/>
      <c r="K394" s="426"/>
      <c r="L394" s="4"/>
      <c r="M394" s="4"/>
      <c r="N394" s="4"/>
      <c r="O394" s="426"/>
      <c r="P394" s="4"/>
      <c r="Q394" s="4"/>
      <c r="R394" s="4"/>
      <c r="S394" s="426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307"/>
    </row>
    <row r="395">
      <c r="A395" s="4"/>
      <c r="B395" s="4"/>
      <c r="C395" s="426"/>
      <c r="D395" s="307"/>
      <c r="E395" s="4"/>
      <c r="F395" s="4"/>
      <c r="G395" s="426"/>
      <c r="H395" s="307"/>
      <c r="I395" s="4"/>
      <c r="J395" s="4"/>
      <c r="K395" s="426"/>
      <c r="L395" s="4"/>
      <c r="M395" s="4"/>
      <c r="N395" s="4"/>
      <c r="O395" s="426"/>
      <c r="P395" s="4"/>
      <c r="Q395" s="4"/>
      <c r="R395" s="4"/>
      <c r="S395" s="426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307"/>
    </row>
    <row r="396">
      <c r="A396" s="4"/>
      <c r="B396" s="4"/>
      <c r="C396" s="426"/>
      <c r="D396" s="307"/>
      <c r="E396" s="4"/>
      <c r="F396" s="4"/>
      <c r="G396" s="426"/>
      <c r="H396" s="307"/>
      <c r="I396" s="4"/>
      <c r="J396" s="4"/>
      <c r="K396" s="426"/>
      <c r="L396" s="4"/>
      <c r="M396" s="4"/>
      <c r="N396" s="4"/>
      <c r="O396" s="426"/>
      <c r="P396" s="4"/>
      <c r="Q396" s="4"/>
      <c r="R396" s="4"/>
      <c r="S396" s="426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307"/>
    </row>
    <row r="397">
      <c r="A397" s="4"/>
      <c r="B397" s="4"/>
      <c r="C397" s="426"/>
      <c r="D397" s="307"/>
      <c r="E397" s="4"/>
      <c r="F397" s="4"/>
      <c r="G397" s="426"/>
      <c r="H397" s="307"/>
      <c r="I397" s="4"/>
      <c r="J397" s="4"/>
      <c r="K397" s="426"/>
      <c r="L397" s="4"/>
      <c r="M397" s="4"/>
      <c r="N397" s="4"/>
      <c r="O397" s="426"/>
      <c r="P397" s="4"/>
      <c r="Q397" s="4"/>
      <c r="R397" s="4"/>
      <c r="S397" s="426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307"/>
    </row>
    <row r="398">
      <c r="A398" s="4"/>
      <c r="B398" s="4"/>
      <c r="C398" s="426"/>
      <c r="D398" s="307"/>
      <c r="E398" s="4"/>
      <c r="F398" s="4"/>
      <c r="G398" s="426"/>
      <c r="H398" s="307"/>
      <c r="I398" s="4"/>
      <c r="J398" s="4"/>
      <c r="K398" s="426"/>
      <c r="L398" s="4"/>
      <c r="M398" s="4"/>
      <c r="N398" s="4"/>
      <c r="O398" s="426"/>
      <c r="P398" s="4"/>
      <c r="Q398" s="4"/>
      <c r="R398" s="4"/>
      <c r="S398" s="426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307"/>
    </row>
    <row r="399">
      <c r="A399" s="4"/>
      <c r="B399" s="4"/>
      <c r="C399" s="426"/>
      <c r="D399" s="307"/>
      <c r="E399" s="4"/>
      <c r="F399" s="4"/>
      <c r="G399" s="426"/>
      <c r="H399" s="307"/>
      <c r="I399" s="4"/>
      <c r="J399" s="4"/>
      <c r="K399" s="426"/>
      <c r="L399" s="4"/>
      <c r="M399" s="4"/>
      <c r="N399" s="4"/>
      <c r="O399" s="426"/>
      <c r="P399" s="4"/>
      <c r="Q399" s="4"/>
      <c r="R399" s="4"/>
      <c r="S399" s="426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307"/>
    </row>
    <row r="400">
      <c r="A400" s="4"/>
      <c r="B400" s="4"/>
      <c r="C400" s="426"/>
      <c r="D400" s="307"/>
      <c r="E400" s="4"/>
      <c r="F400" s="4"/>
      <c r="G400" s="426"/>
      <c r="H400" s="307"/>
      <c r="I400" s="4"/>
      <c r="J400" s="4"/>
      <c r="K400" s="426"/>
      <c r="L400" s="4"/>
      <c r="M400" s="4"/>
      <c r="N400" s="4"/>
      <c r="O400" s="426"/>
      <c r="P400" s="4"/>
      <c r="Q400" s="4"/>
      <c r="R400" s="4"/>
      <c r="S400" s="426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307"/>
    </row>
    <row r="401">
      <c r="A401" s="4"/>
      <c r="B401" s="4"/>
      <c r="C401" s="426"/>
      <c r="D401" s="307"/>
      <c r="E401" s="4"/>
      <c r="F401" s="4"/>
      <c r="G401" s="426"/>
      <c r="H401" s="307"/>
      <c r="I401" s="4"/>
      <c r="J401" s="4"/>
      <c r="K401" s="426"/>
      <c r="L401" s="4"/>
      <c r="M401" s="4"/>
      <c r="N401" s="4"/>
      <c r="O401" s="426"/>
      <c r="P401" s="4"/>
      <c r="Q401" s="4"/>
      <c r="R401" s="4"/>
      <c r="S401" s="426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307"/>
    </row>
  </sheetData>
  <mergeCells count="10">
    <mergeCell ref="Y2:AA2"/>
    <mergeCell ref="AC2:AE2"/>
    <mergeCell ref="AG2:AI2"/>
    <mergeCell ref="A1:C1"/>
    <mergeCell ref="E1:G1"/>
    <mergeCell ref="I1:K1"/>
    <mergeCell ref="M1:O1"/>
    <mergeCell ref="Q1:S1"/>
    <mergeCell ref="U1:W1"/>
    <mergeCell ref="Y1:AE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7"/>
      <c r="B1" s="407"/>
      <c r="C1" s="407"/>
      <c r="D1" s="407"/>
      <c r="E1" s="407"/>
      <c r="F1" s="407"/>
    </row>
    <row r="2">
      <c r="A2" s="408" t="s">
        <v>1166</v>
      </c>
    </row>
    <row r="3">
      <c r="A3" s="407"/>
      <c r="B3" s="407"/>
      <c r="C3" s="407"/>
      <c r="D3" s="407"/>
      <c r="E3" s="407"/>
      <c r="F3" s="407"/>
    </row>
    <row r="4">
      <c r="A4" s="409" t="s">
        <v>1167</v>
      </c>
      <c r="B4" s="409" t="s">
        <v>1168</v>
      </c>
      <c r="C4" s="409" t="s">
        <v>542</v>
      </c>
      <c r="D4" s="409" t="s">
        <v>1169</v>
      </c>
      <c r="E4" s="407"/>
      <c r="F4" s="407"/>
    </row>
    <row r="5">
      <c r="A5" s="410">
        <f>IFERROR(__xludf.DUMMYFUNCTION("COUNTUNIQUE(Clients!A2:A1000)"),1.0)</f>
        <v>1</v>
      </c>
      <c r="B5" s="410">
        <f>COUNTA(#REF!)</f>
        <v>1</v>
      </c>
      <c r="C5" s="410">
        <f t="array" ref="C5">SUM(IFERROR(Orders!K2:K1000, 0))</f>
        <v>250102</v>
      </c>
      <c r="D5" s="410">
        <f t="array" ref="D5">SUM(IFERROR(Orders!S2:S1000, 0))</f>
        <v>35798</v>
      </c>
      <c r="E5" s="407"/>
      <c r="F5" s="407"/>
    </row>
    <row r="6">
      <c r="A6" s="407"/>
      <c r="B6" s="407"/>
      <c r="C6" s="407"/>
      <c r="D6" s="407"/>
      <c r="E6" s="407"/>
      <c r="F6" s="407"/>
    </row>
    <row r="7">
      <c r="A7" s="409" t="s">
        <v>1171</v>
      </c>
      <c r="B7" s="409" t="s">
        <v>1172</v>
      </c>
      <c r="C7" s="409" t="s">
        <v>1173</v>
      </c>
      <c r="D7" s="407"/>
      <c r="E7" s="407"/>
      <c r="F7" s="407"/>
    </row>
    <row r="8">
      <c r="A8" s="410">
        <f t="array" ref="A8">SUM(SUMIF(TRIM(Orders!G2:G1000), TRIM(#REF!), Orders!K2:K1000))</f>
        <v>0</v>
      </c>
      <c r="B8" s="410">
        <f t="array" ref="B8">SUM(SUMIF(TRIM(Orders!G2:G1000), TRIM(#REF!), Orders!K2:K1000))</f>
        <v>0</v>
      </c>
      <c r="C8" s="410">
        <f>SUM(Orders!K2:K1000) - A8 - B8</f>
        <v>250102</v>
      </c>
      <c r="D8" s="407"/>
      <c r="E8" s="407"/>
      <c r="F8" s="407"/>
    </row>
    <row r="9">
      <c r="A9" s="407"/>
      <c r="B9" s="407"/>
      <c r="C9" s="407"/>
      <c r="D9" s="407"/>
      <c r="E9" s="407"/>
      <c r="F9" s="407"/>
    </row>
    <row r="10">
      <c r="A10" s="407"/>
      <c r="B10" s="407"/>
      <c r="C10" s="407"/>
      <c r="D10" s="407"/>
      <c r="E10" s="407"/>
      <c r="F10" s="407"/>
    </row>
    <row r="11">
      <c r="A11" s="412" t="s">
        <v>1174</v>
      </c>
    </row>
    <row r="12">
      <c r="A12" s="413" t="s">
        <v>1176</v>
      </c>
      <c r="B12" s="414" t="s">
        <v>189</v>
      </c>
      <c r="C12" s="407"/>
      <c r="D12" s="407"/>
      <c r="E12" s="407"/>
      <c r="F12" s="407"/>
    </row>
    <row r="13">
      <c r="A13" s="415" t="s">
        <v>1177</v>
      </c>
      <c r="B13" s="415" t="s">
        <v>1178</v>
      </c>
      <c r="C13" s="415" t="s">
        <v>1179</v>
      </c>
      <c r="D13" s="415" t="s">
        <v>1180</v>
      </c>
      <c r="E13" s="415" t="s">
        <v>1181</v>
      </c>
      <c r="F13" s="415" t="s">
        <v>1182</v>
      </c>
    </row>
    <row r="14">
      <c r="A14" s="416" t="str">
        <f>IF(B12="", "", B12)</f>
        <v>الفريد كمال</v>
      </c>
      <c r="B14" s="417" t="str">
        <f t="array" ref="B14">IF(B12="", "", XLOOKUP(B12, Clients!A3:A1000, Clients!B3:B1000, "غير موجود"))</f>
        <v/>
      </c>
      <c r="C14" s="416" t="str">
        <f t="array" ref="C14">IF(B12="", "", XLOOKUP(B12, Clients!A3:A1000, Clients!C3:C1000, "غير موجود"))</f>
        <v>أسيوط</v>
      </c>
      <c r="D14" s="416">
        <f>IF(B12="", "", COUNTIF(Orders!A2:A1000, B12))</f>
        <v>1</v>
      </c>
      <c r="E14" s="416">
        <f>IF(B12="", "", SUMIF(Orders!A2:A1000, B12, Orders!K2:K1000))</f>
        <v>160</v>
      </c>
      <c r="F14" s="416">
        <f>IF(B12="", "", SUMIF(Orders!A2:A1000, B12, Orders!N2:N1000))</f>
        <v>0</v>
      </c>
    </row>
    <row r="15">
      <c r="A15" s="407"/>
      <c r="B15" s="407"/>
      <c r="C15" s="407"/>
      <c r="D15" s="407"/>
      <c r="E15" s="407"/>
      <c r="F15" s="407"/>
    </row>
    <row r="16">
      <c r="A16" s="412" t="s">
        <v>1183</v>
      </c>
    </row>
    <row r="17">
      <c r="A17" s="409" t="s">
        <v>1184</v>
      </c>
      <c r="B17" s="409" t="s">
        <v>1185</v>
      </c>
      <c r="C17" s="409" t="s">
        <v>1186</v>
      </c>
      <c r="D17" s="409" t="s">
        <v>1187</v>
      </c>
      <c r="E17" s="409" t="s">
        <v>1188</v>
      </c>
      <c r="F17" s="409" t="s">
        <v>1189</v>
      </c>
    </row>
    <row r="18">
      <c r="A18" s="416" t="str">
        <f>IFERROR(__xludf.DUMMYFUNCTION("IF(B12="""", """", IFERROR(QUERY(Orders!B2:N1000, ""select A, B, G, H, J, M where D = '"" &amp; B12 &amp; ""' order by B desc limit 5"", 0), ""لا توجد طلبات""))"),"لا توجد طلبات")</f>
        <v>لا توجد طلبات</v>
      </c>
      <c r="B18" s="418"/>
      <c r="C18" s="416"/>
      <c r="D18" s="416"/>
      <c r="E18" s="416"/>
      <c r="F18" s="416"/>
    </row>
    <row r="19">
      <c r="A19" s="416"/>
      <c r="B19" s="418"/>
      <c r="C19" s="416"/>
      <c r="D19" s="416"/>
      <c r="E19" s="416"/>
      <c r="F19" s="416"/>
    </row>
    <row r="20">
      <c r="A20" s="416"/>
      <c r="B20" s="418"/>
      <c r="C20" s="416"/>
      <c r="D20" s="416"/>
      <c r="E20" s="416"/>
      <c r="F20" s="416"/>
    </row>
    <row r="21">
      <c r="A21" s="416"/>
      <c r="B21" s="418"/>
      <c r="C21" s="416"/>
      <c r="D21" s="416"/>
      <c r="E21" s="416"/>
      <c r="F21" s="416"/>
    </row>
    <row r="22">
      <c r="A22" s="416"/>
      <c r="B22" s="418"/>
      <c r="C22" s="416"/>
      <c r="D22" s="416"/>
      <c r="E22" s="416"/>
      <c r="F22" s="416"/>
    </row>
    <row r="23">
      <c r="A23" s="407"/>
      <c r="B23" s="407"/>
      <c r="C23" s="407"/>
      <c r="D23" s="407"/>
      <c r="E23" s="407"/>
      <c r="F23" s="407"/>
    </row>
    <row r="24">
      <c r="A24" s="407"/>
      <c r="B24" s="407"/>
      <c r="C24" s="407"/>
      <c r="D24" s="407"/>
      <c r="E24" s="407"/>
      <c r="F24" s="407"/>
    </row>
    <row r="25">
      <c r="A25" s="407"/>
      <c r="B25" s="407"/>
      <c r="C25" s="407"/>
      <c r="D25" s="407"/>
      <c r="E25" s="407"/>
      <c r="F25" s="407"/>
    </row>
    <row r="26">
      <c r="A26" s="407"/>
      <c r="B26" s="407"/>
      <c r="C26" s="407"/>
      <c r="D26" s="407"/>
      <c r="E26" s="407"/>
      <c r="F26" s="407"/>
      <c r="H26" s="419">
        <f>IFERROR(__xludf.DUMMYFUNCTION("ARRAYFORMULA(SUM(SUMIF(Orders!G2:G1000, FILTER(#REF!, #REF! &lt;&gt; """"), Orders!K2:K1000)))"),0.0)</f>
        <v>0</v>
      </c>
    </row>
    <row r="27">
      <c r="A27" s="407"/>
      <c r="B27" s="407"/>
      <c r="C27" s="407"/>
      <c r="D27" s="407"/>
      <c r="E27" s="407"/>
      <c r="F27" s="407"/>
    </row>
    <row r="28">
      <c r="A28" s="407"/>
      <c r="B28" s="407"/>
      <c r="C28" s="407"/>
      <c r="D28" s="407"/>
      <c r="E28" s="407"/>
      <c r="F28" s="407"/>
    </row>
    <row r="29">
      <c r="A29" s="407"/>
      <c r="B29" s="407"/>
      <c r="C29" s="407"/>
      <c r="D29" s="407"/>
      <c r="E29" s="407"/>
      <c r="F29" s="407"/>
    </row>
    <row r="30">
      <c r="A30" s="407"/>
      <c r="B30" s="407"/>
      <c r="C30" s="407"/>
      <c r="D30" s="407"/>
      <c r="E30" s="407"/>
      <c r="F30" s="407"/>
    </row>
  </sheetData>
  <mergeCells count="3">
    <mergeCell ref="A2:F2"/>
    <mergeCell ref="A11:F11"/>
    <mergeCell ref="A16:F16"/>
  </mergeCells>
  <dataValidations>
    <dataValidation type="list" allowBlank="1" showErrorMessage="1" sqref="B12">
      <formula1>Clients!$A$2:$A1000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9" t="str">
        <f t="array" ref="A1:C414">UNIQUE(Clients!A:C)</f>
        <v>العمود 1</v>
      </c>
      <c r="B1" s="419" t="s">
        <v>55</v>
      </c>
      <c r="C1" s="419" t="s">
        <v>56</v>
      </c>
    </row>
    <row r="2">
      <c r="A2" s="419" t="s">
        <v>65</v>
      </c>
      <c r="B2" s="421">
        <v>0.0</v>
      </c>
      <c r="C2" s="419" t="s">
        <v>68</v>
      </c>
    </row>
    <row r="3">
      <c r="A3" s="419" t="s">
        <v>76</v>
      </c>
      <c r="B3" s="421" t="s">
        <v>68</v>
      </c>
      <c r="C3" s="419" t="s">
        <v>78</v>
      </c>
    </row>
    <row r="4">
      <c r="A4" s="419" t="s">
        <v>49</v>
      </c>
      <c r="B4" s="421" t="s">
        <v>68</v>
      </c>
      <c r="C4" s="419" t="s">
        <v>53</v>
      </c>
    </row>
    <row r="5">
      <c r="A5" s="419" t="s">
        <v>91</v>
      </c>
      <c r="B5" s="421" t="s">
        <v>68</v>
      </c>
      <c r="C5" s="419" t="s">
        <v>93</v>
      </c>
    </row>
    <row r="6">
      <c r="A6" s="419" t="s">
        <v>98</v>
      </c>
      <c r="B6" s="421" t="s">
        <v>68</v>
      </c>
      <c r="C6" s="419" t="s">
        <v>93</v>
      </c>
    </row>
    <row r="7">
      <c r="A7" s="419" t="s">
        <v>107</v>
      </c>
      <c r="B7" s="421" t="s">
        <v>68</v>
      </c>
      <c r="C7" s="419" t="s">
        <v>109</v>
      </c>
    </row>
    <row r="8">
      <c r="A8" s="419" t="s">
        <v>97</v>
      </c>
      <c r="B8" s="421" t="s">
        <v>68</v>
      </c>
      <c r="C8" s="419" t="s">
        <v>93</v>
      </c>
    </row>
    <row r="9">
      <c r="A9" s="419" t="s">
        <v>119</v>
      </c>
      <c r="B9" s="421" t="s">
        <v>68</v>
      </c>
      <c r="C9" s="419" t="s">
        <v>120</v>
      </c>
    </row>
    <row r="10">
      <c r="A10" s="419" t="s">
        <v>123</v>
      </c>
      <c r="B10" s="421" t="s">
        <v>68</v>
      </c>
      <c r="C10" s="419" t="s">
        <v>78</v>
      </c>
    </row>
    <row r="11">
      <c r="A11" s="419" t="s">
        <v>127</v>
      </c>
      <c r="B11" s="421" t="s">
        <v>68</v>
      </c>
      <c r="C11" s="419" t="s">
        <v>120</v>
      </c>
    </row>
    <row r="12">
      <c r="A12" s="419" t="s">
        <v>129</v>
      </c>
      <c r="B12" s="421" t="s">
        <v>68</v>
      </c>
      <c r="C12" s="419" t="s">
        <v>93</v>
      </c>
    </row>
    <row r="13">
      <c r="A13" s="419" t="s">
        <v>132</v>
      </c>
      <c r="B13" s="421" t="s">
        <v>68</v>
      </c>
      <c r="C13" s="419" t="s">
        <v>134</v>
      </c>
    </row>
    <row r="14">
      <c r="A14" s="419" t="s">
        <v>135</v>
      </c>
      <c r="B14" s="421" t="s">
        <v>68</v>
      </c>
      <c r="C14" s="419" t="s">
        <v>93</v>
      </c>
    </row>
    <row r="15">
      <c r="A15" s="419" t="s">
        <v>139</v>
      </c>
      <c r="B15" s="421" t="s">
        <v>68</v>
      </c>
      <c r="C15" s="419" t="s">
        <v>140</v>
      </c>
    </row>
    <row r="16">
      <c r="A16" s="419" t="s">
        <v>142</v>
      </c>
      <c r="B16" s="421" t="s">
        <v>68</v>
      </c>
      <c r="C16" s="419" t="s">
        <v>93</v>
      </c>
    </row>
    <row r="17">
      <c r="A17" s="419" t="s">
        <v>147</v>
      </c>
      <c r="B17" s="421" t="s">
        <v>68</v>
      </c>
      <c r="C17" s="419" t="s">
        <v>93</v>
      </c>
    </row>
    <row r="18">
      <c r="A18" s="419" t="s">
        <v>149</v>
      </c>
      <c r="B18" s="421" t="s">
        <v>68</v>
      </c>
      <c r="C18" s="419" t="s">
        <v>78</v>
      </c>
    </row>
    <row r="19">
      <c r="A19" s="419" t="s">
        <v>152</v>
      </c>
      <c r="B19" s="421" t="s">
        <v>68</v>
      </c>
      <c r="C19" s="419" t="s">
        <v>93</v>
      </c>
    </row>
    <row r="20">
      <c r="A20" s="419" t="s">
        <v>155</v>
      </c>
      <c r="B20" s="421" t="s">
        <v>68</v>
      </c>
      <c r="C20" s="419" t="s">
        <v>93</v>
      </c>
    </row>
    <row r="21">
      <c r="A21" s="419" t="s">
        <v>157</v>
      </c>
      <c r="B21" s="421" t="s">
        <v>68</v>
      </c>
      <c r="C21" s="419" t="s">
        <v>78</v>
      </c>
    </row>
    <row r="22">
      <c r="A22" s="419" t="s">
        <v>160</v>
      </c>
      <c r="B22" s="421" t="s">
        <v>68</v>
      </c>
      <c r="C22" s="419" t="s">
        <v>93</v>
      </c>
    </row>
    <row r="23">
      <c r="A23" s="419" t="s">
        <v>163</v>
      </c>
      <c r="B23" s="421" t="s">
        <v>68</v>
      </c>
      <c r="C23" s="419" t="s">
        <v>164</v>
      </c>
    </row>
    <row r="24">
      <c r="A24" s="419" t="s">
        <v>166</v>
      </c>
      <c r="B24" s="421" t="s">
        <v>68</v>
      </c>
      <c r="C24" s="419" t="s">
        <v>120</v>
      </c>
    </row>
    <row r="25">
      <c r="A25" s="419" t="s">
        <v>169</v>
      </c>
      <c r="B25" s="421" t="s">
        <v>68</v>
      </c>
      <c r="C25" s="419" t="s">
        <v>78</v>
      </c>
    </row>
    <row r="26">
      <c r="A26" s="419" t="s">
        <v>171</v>
      </c>
      <c r="B26" s="421" t="s">
        <v>68</v>
      </c>
      <c r="C26" s="419" t="s">
        <v>78</v>
      </c>
    </row>
    <row r="27">
      <c r="A27" s="419" t="s">
        <v>175</v>
      </c>
      <c r="B27" s="421" t="s">
        <v>68</v>
      </c>
      <c r="C27" s="419" t="s">
        <v>93</v>
      </c>
    </row>
    <row r="28">
      <c r="A28" s="419" t="s">
        <v>178</v>
      </c>
      <c r="B28" s="421" t="s">
        <v>68</v>
      </c>
      <c r="C28" s="419" t="s">
        <v>93</v>
      </c>
    </row>
    <row r="29">
      <c r="A29" s="419" t="s">
        <v>180</v>
      </c>
      <c r="B29" s="421" t="s">
        <v>68</v>
      </c>
      <c r="C29" s="419" t="s">
        <v>93</v>
      </c>
    </row>
    <row r="30">
      <c r="A30" s="419" t="s">
        <v>181</v>
      </c>
      <c r="B30" s="421" t="s">
        <v>68</v>
      </c>
      <c r="C30" s="419" t="s">
        <v>93</v>
      </c>
    </row>
    <row r="31">
      <c r="A31" s="419" t="s">
        <v>182</v>
      </c>
      <c r="B31" s="421" t="s">
        <v>68</v>
      </c>
      <c r="C31" s="419" t="s">
        <v>183</v>
      </c>
    </row>
    <row r="32">
      <c r="A32" s="419" t="s">
        <v>184</v>
      </c>
      <c r="B32" s="421" t="s">
        <v>68</v>
      </c>
      <c r="C32" s="419" t="s">
        <v>93</v>
      </c>
    </row>
    <row r="33">
      <c r="A33" s="419" t="s">
        <v>186</v>
      </c>
      <c r="B33" s="421" t="s">
        <v>68</v>
      </c>
      <c r="C33" s="419" t="s">
        <v>183</v>
      </c>
    </row>
    <row r="34">
      <c r="A34" s="419" t="s">
        <v>189</v>
      </c>
      <c r="B34" s="421" t="s">
        <v>68</v>
      </c>
      <c r="C34" s="419" t="s">
        <v>120</v>
      </c>
    </row>
    <row r="35">
      <c r="A35" s="419" t="s">
        <v>191</v>
      </c>
      <c r="B35" s="421" t="s">
        <v>68</v>
      </c>
      <c r="C35" s="419" t="s">
        <v>164</v>
      </c>
    </row>
    <row r="36">
      <c r="A36" s="419" t="s">
        <v>193</v>
      </c>
      <c r="B36" s="421" t="s">
        <v>68</v>
      </c>
      <c r="C36" s="419" t="s">
        <v>53</v>
      </c>
    </row>
    <row r="37">
      <c r="A37" s="419" t="s">
        <v>196</v>
      </c>
      <c r="B37" s="421" t="s">
        <v>68</v>
      </c>
      <c r="C37" s="419" t="s">
        <v>197</v>
      </c>
    </row>
    <row r="38">
      <c r="A38" s="419" t="s">
        <v>199</v>
      </c>
      <c r="B38" s="421" t="s">
        <v>68</v>
      </c>
      <c r="C38" s="419" t="s">
        <v>197</v>
      </c>
    </row>
    <row r="39">
      <c r="A39" s="419" t="s">
        <v>200</v>
      </c>
      <c r="B39" s="421" t="s">
        <v>68</v>
      </c>
      <c r="C39" s="419" t="s">
        <v>202</v>
      </c>
    </row>
    <row r="40">
      <c r="A40" s="419" t="s">
        <v>203</v>
      </c>
      <c r="B40" s="421" t="s">
        <v>68</v>
      </c>
      <c r="C40" s="419" t="s">
        <v>204</v>
      </c>
    </row>
    <row r="41">
      <c r="A41" s="419" t="s">
        <v>206</v>
      </c>
      <c r="B41" s="421" t="s">
        <v>68</v>
      </c>
      <c r="C41" s="419" t="s">
        <v>93</v>
      </c>
    </row>
    <row r="42">
      <c r="A42" s="419" t="s">
        <v>208</v>
      </c>
      <c r="B42" s="421" t="s">
        <v>68</v>
      </c>
      <c r="C42" s="419" t="s">
        <v>93</v>
      </c>
    </row>
    <row r="43">
      <c r="A43" s="419" t="s">
        <v>211</v>
      </c>
      <c r="B43" s="421" t="s">
        <v>68</v>
      </c>
      <c r="C43" s="419" t="s">
        <v>183</v>
      </c>
    </row>
    <row r="44">
      <c r="A44" s="419" t="s">
        <v>215</v>
      </c>
      <c r="B44" s="421" t="s">
        <v>68</v>
      </c>
      <c r="C44" s="419" t="s">
        <v>93</v>
      </c>
    </row>
    <row r="45">
      <c r="A45" s="419" t="s">
        <v>216</v>
      </c>
      <c r="B45" s="421" t="s">
        <v>68</v>
      </c>
      <c r="C45" s="419" t="s">
        <v>53</v>
      </c>
    </row>
    <row r="46">
      <c r="A46" s="419" t="s">
        <v>219</v>
      </c>
      <c r="B46" s="421" t="s">
        <v>68</v>
      </c>
      <c r="C46" s="419" t="s">
        <v>53</v>
      </c>
    </row>
    <row r="47">
      <c r="A47" s="419" t="s">
        <v>223</v>
      </c>
      <c r="B47" s="421" t="s">
        <v>68</v>
      </c>
      <c r="C47" s="419" t="s">
        <v>93</v>
      </c>
    </row>
    <row r="48">
      <c r="A48" s="419" t="s">
        <v>225</v>
      </c>
      <c r="B48" s="421" t="s">
        <v>68</v>
      </c>
      <c r="C48" s="419" t="s">
        <v>120</v>
      </c>
    </row>
    <row r="49">
      <c r="A49" s="419" t="s">
        <v>227</v>
      </c>
      <c r="B49" s="421" t="s">
        <v>68</v>
      </c>
      <c r="C49" s="419" t="s">
        <v>228</v>
      </c>
    </row>
    <row r="50">
      <c r="A50" s="419" t="s">
        <v>229</v>
      </c>
      <c r="B50" s="421" t="s">
        <v>68</v>
      </c>
      <c r="C50" s="419" t="s">
        <v>68</v>
      </c>
    </row>
    <row r="51">
      <c r="A51" s="419" t="s">
        <v>234</v>
      </c>
      <c r="B51" s="421" t="s">
        <v>68</v>
      </c>
      <c r="C51" s="419" t="s">
        <v>93</v>
      </c>
    </row>
    <row r="52">
      <c r="A52" s="419" t="s">
        <v>236</v>
      </c>
      <c r="B52" s="421" t="s">
        <v>68</v>
      </c>
      <c r="C52" s="419" t="s">
        <v>120</v>
      </c>
    </row>
    <row r="53">
      <c r="A53" s="419" t="s">
        <v>238</v>
      </c>
      <c r="B53" s="421" t="s">
        <v>68</v>
      </c>
      <c r="C53" s="419" t="s">
        <v>93</v>
      </c>
    </row>
    <row r="54">
      <c r="A54" s="419" t="s">
        <v>242</v>
      </c>
      <c r="B54" s="421" t="s">
        <v>68</v>
      </c>
      <c r="C54" s="419" t="s">
        <v>243</v>
      </c>
    </row>
    <row r="55">
      <c r="A55" s="419" t="s">
        <v>245</v>
      </c>
      <c r="B55" s="421" t="s">
        <v>68</v>
      </c>
      <c r="C55" s="419" t="s">
        <v>183</v>
      </c>
    </row>
    <row r="56">
      <c r="A56" s="419" t="s">
        <v>247</v>
      </c>
      <c r="B56" s="421" t="s">
        <v>68</v>
      </c>
      <c r="C56" s="419" t="s">
        <v>120</v>
      </c>
    </row>
    <row r="57">
      <c r="A57" s="419" t="s">
        <v>249</v>
      </c>
      <c r="B57" s="421" t="s">
        <v>68</v>
      </c>
      <c r="C57" s="419" t="s">
        <v>93</v>
      </c>
    </row>
    <row r="58">
      <c r="A58" s="419" t="s">
        <v>252</v>
      </c>
      <c r="B58" s="421" t="s">
        <v>68</v>
      </c>
      <c r="C58" s="419" t="s">
        <v>243</v>
      </c>
    </row>
    <row r="59">
      <c r="A59" s="419" t="s">
        <v>254</v>
      </c>
      <c r="B59" s="421" t="s">
        <v>68</v>
      </c>
      <c r="C59" s="419" t="s">
        <v>78</v>
      </c>
    </row>
    <row r="60">
      <c r="A60" s="419" t="s">
        <v>255</v>
      </c>
      <c r="B60" s="421" t="s">
        <v>68</v>
      </c>
      <c r="C60" s="419" t="s">
        <v>93</v>
      </c>
    </row>
    <row r="61">
      <c r="A61" s="419" t="s">
        <v>257</v>
      </c>
      <c r="B61" s="421" t="s">
        <v>68</v>
      </c>
      <c r="C61" s="419" t="s">
        <v>93</v>
      </c>
    </row>
    <row r="62">
      <c r="A62" s="419" t="s">
        <v>259</v>
      </c>
      <c r="B62" s="421" t="s">
        <v>68</v>
      </c>
      <c r="C62" s="419" t="s">
        <v>93</v>
      </c>
    </row>
    <row r="63">
      <c r="A63" s="419" t="s">
        <v>262</v>
      </c>
      <c r="B63" s="421" t="s">
        <v>68</v>
      </c>
      <c r="C63" s="419" t="s">
        <v>78</v>
      </c>
    </row>
    <row r="64">
      <c r="A64" s="419" t="s">
        <v>264</v>
      </c>
      <c r="B64" s="421" t="s">
        <v>68</v>
      </c>
      <c r="C64" s="419" t="s">
        <v>183</v>
      </c>
    </row>
    <row r="65">
      <c r="A65" s="419" t="s">
        <v>265</v>
      </c>
      <c r="B65" s="421" t="s">
        <v>68</v>
      </c>
      <c r="C65" s="419" t="s">
        <v>243</v>
      </c>
    </row>
    <row r="66">
      <c r="A66" s="419" t="s">
        <v>266</v>
      </c>
      <c r="B66" s="421" t="s">
        <v>68</v>
      </c>
      <c r="C66" s="419" t="s">
        <v>267</v>
      </c>
    </row>
    <row r="67">
      <c r="A67" s="419" t="s">
        <v>268</v>
      </c>
      <c r="B67" s="421" t="s">
        <v>68</v>
      </c>
      <c r="C67" s="419" t="s">
        <v>93</v>
      </c>
    </row>
    <row r="68">
      <c r="A68" s="419" t="s">
        <v>269</v>
      </c>
      <c r="B68" s="421" t="s">
        <v>68</v>
      </c>
      <c r="C68" s="419" t="s">
        <v>93</v>
      </c>
    </row>
    <row r="69">
      <c r="A69" s="419" t="s">
        <v>270</v>
      </c>
      <c r="B69" s="421" t="s">
        <v>68</v>
      </c>
      <c r="C69" s="419" t="s">
        <v>93</v>
      </c>
    </row>
    <row r="70">
      <c r="A70" s="419" t="s">
        <v>273</v>
      </c>
      <c r="B70" s="421" t="s">
        <v>68</v>
      </c>
      <c r="C70" s="419" t="s">
        <v>93</v>
      </c>
    </row>
    <row r="71">
      <c r="A71" s="419" t="s">
        <v>276</v>
      </c>
      <c r="B71" s="421" t="s">
        <v>68</v>
      </c>
      <c r="C71" s="419" t="s">
        <v>53</v>
      </c>
    </row>
    <row r="72">
      <c r="A72" s="419" t="s">
        <v>280</v>
      </c>
      <c r="B72" s="421" t="s">
        <v>68</v>
      </c>
      <c r="C72" s="419" t="s">
        <v>93</v>
      </c>
    </row>
    <row r="73">
      <c r="A73" s="419" t="s">
        <v>282</v>
      </c>
      <c r="B73" s="421" t="s">
        <v>68</v>
      </c>
      <c r="C73" s="419" t="s">
        <v>53</v>
      </c>
    </row>
    <row r="74">
      <c r="A74" s="419" t="s">
        <v>283</v>
      </c>
      <c r="B74" s="421" t="s">
        <v>68</v>
      </c>
      <c r="C74" s="419" t="s">
        <v>93</v>
      </c>
    </row>
    <row r="75">
      <c r="A75" s="419" t="s">
        <v>284</v>
      </c>
      <c r="B75" s="421" t="s">
        <v>68</v>
      </c>
      <c r="C75" s="419" t="s">
        <v>78</v>
      </c>
    </row>
    <row r="76">
      <c r="A76" s="419" t="s">
        <v>285</v>
      </c>
      <c r="B76" s="421" t="s">
        <v>68</v>
      </c>
      <c r="C76" s="419" t="s">
        <v>93</v>
      </c>
    </row>
    <row r="77">
      <c r="A77" s="419" t="s">
        <v>286</v>
      </c>
      <c r="B77" s="421" t="s">
        <v>68</v>
      </c>
      <c r="C77" s="419" t="s">
        <v>287</v>
      </c>
    </row>
    <row r="78">
      <c r="A78" s="419" t="s">
        <v>288</v>
      </c>
      <c r="B78" s="421" t="s">
        <v>68</v>
      </c>
      <c r="C78" s="419" t="s">
        <v>93</v>
      </c>
    </row>
    <row r="79">
      <c r="A79" s="419" t="s">
        <v>290</v>
      </c>
      <c r="B79" s="421" t="s">
        <v>68</v>
      </c>
      <c r="C79" s="419" t="s">
        <v>93</v>
      </c>
    </row>
    <row r="80">
      <c r="A80" s="419" t="s">
        <v>291</v>
      </c>
      <c r="B80" s="421" t="s">
        <v>68</v>
      </c>
      <c r="C80" s="419" t="s">
        <v>93</v>
      </c>
    </row>
    <row r="81">
      <c r="A81" s="419" t="s">
        <v>292</v>
      </c>
      <c r="B81" s="421" t="s">
        <v>68</v>
      </c>
      <c r="C81" s="419" t="s">
        <v>93</v>
      </c>
    </row>
    <row r="82">
      <c r="A82" s="419" t="s">
        <v>293</v>
      </c>
      <c r="B82" s="421" t="s">
        <v>68</v>
      </c>
      <c r="C82" s="419" t="s">
        <v>78</v>
      </c>
    </row>
    <row r="83">
      <c r="A83" s="419" t="s">
        <v>295</v>
      </c>
      <c r="B83" s="421" t="s">
        <v>68</v>
      </c>
      <c r="C83" s="419" t="s">
        <v>93</v>
      </c>
    </row>
    <row r="84">
      <c r="A84" s="419" t="s">
        <v>296</v>
      </c>
      <c r="B84" s="421" t="s">
        <v>68</v>
      </c>
      <c r="C84" s="419" t="s">
        <v>93</v>
      </c>
    </row>
    <row r="85">
      <c r="A85" s="419" t="s">
        <v>297</v>
      </c>
      <c r="B85" s="421" t="s">
        <v>68</v>
      </c>
      <c r="C85" s="419" t="s">
        <v>93</v>
      </c>
    </row>
    <row r="86">
      <c r="A86" s="419" t="s">
        <v>298</v>
      </c>
      <c r="B86" s="421" t="s">
        <v>68</v>
      </c>
      <c r="C86" s="419" t="s">
        <v>78</v>
      </c>
    </row>
    <row r="87">
      <c r="A87" s="419" t="s">
        <v>300</v>
      </c>
      <c r="B87" s="421">
        <v>1.20080444E9</v>
      </c>
      <c r="C87" s="419" t="s">
        <v>243</v>
      </c>
    </row>
    <row r="88">
      <c r="A88" s="419" t="s">
        <v>306</v>
      </c>
      <c r="B88" s="421" t="s">
        <v>68</v>
      </c>
      <c r="C88" s="419" t="s">
        <v>93</v>
      </c>
    </row>
    <row r="89">
      <c r="A89" s="419" t="s">
        <v>307</v>
      </c>
      <c r="B89" s="421" t="s">
        <v>68</v>
      </c>
      <c r="C89" s="419" t="s">
        <v>93</v>
      </c>
    </row>
    <row r="90">
      <c r="A90" s="419" t="s">
        <v>308</v>
      </c>
      <c r="B90" s="421">
        <v>1.207708844E9</v>
      </c>
      <c r="C90" s="419" t="s">
        <v>93</v>
      </c>
    </row>
    <row r="91">
      <c r="A91" s="419" t="s">
        <v>310</v>
      </c>
      <c r="B91" s="421">
        <v>1.225238343E9</v>
      </c>
      <c r="C91" s="419" t="s">
        <v>93</v>
      </c>
    </row>
    <row r="92">
      <c r="A92" s="419" t="s">
        <v>311</v>
      </c>
      <c r="B92" s="421">
        <v>1.281274086E9</v>
      </c>
      <c r="C92" s="419" t="s">
        <v>78</v>
      </c>
    </row>
    <row r="93">
      <c r="A93" s="419" t="s">
        <v>312</v>
      </c>
      <c r="B93" s="421" t="s">
        <v>68</v>
      </c>
      <c r="C93" s="419" t="s">
        <v>93</v>
      </c>
    </row>
    <row r="94">
      <c r="A94" s="419" t="s">
        <v>313</v>
      </c>
      <c r="B94" s="421" t="s">
        <v>68</v>
      </c>
      <c r="C94" s="419" t="s">
        <v>68</v>
      </c>
    </row>
    <row r="95">
      <c r="A95" s="419" t="s">
        <v>314</v>
      </c>
      <c r="B95" s="421">
        <v>1.275822147E9</v>
      </c>
      <c r="C95" s="419" t="s">
        <v>53</v>
      </c>
    </row>
    <row r="96">
      <c r="A96" s="419" t="s">
        <v>316</v>
      </c>
      <c r="B96" s="421">
        <v>1.289239777E9</v>
      </c>
      <c r="C96" s="419" t="s">
        <v>93</v>
      </c>
    </row>
    <row r="97">
      <c r="A97" s="419" t="s">
        <v>317</v>
      </c>
      <c r="B97" s="421">
        <v>1.223760341E9</v>
      </c>
      <c r="C97" s="419" t="s">
        <v>243</v>
      </c>
    </row>
    <row r="98">
      <c r="A98" s="419" t="s">
        <v>318</v>
      </c>
      <c r="B98" s="421">
        <v>1.280754754E9</v>
      </c>
      <c r="C98" s="419" t="s">
        <v>319</v>
      </c>
    </row>
    <row r="99">
      <c r="A99" s="419" t="s">
        <v>320</v>
      </c>
      <c r="B99" s="421">
        <v>1.227655783E9</v>
      </c>
      <c r="C99" s="419" t="s">
        <v>183</v>
      </c>
    </row>
    <row r="100">
      <c r="A100" s="419" t="s">
        <v>321</v>
      </c>
      <c r="B100" s="421">
        <v>1.227620985E9</v>
      </c>
      <c r="C100" s="419" t="s">
        <v>93</v>
      </c>
    </row>
    <row r="101">
      <c r="A101" s="419" t="s">
        <v>322</v>
      </c>
      <c r="B101" s="421">
        <v>1.226706207E9</v>
      </c>
      <c r="C101" s="419" t="s">
        <v>93</v>
      </c>
    </row>
    <row r="102">
      <c r="A102" s="419" t="s">
        <v>324</v>
      </c>
      <c r="B102" s="421">
        <v>1.091587701E9</v>
      </c>
      <c r="C102" s="419" t="s">
        <v>53</v>
      </c>
    </row>
    <row r="103">
      <c r="A103" s="419" t="s">
        <v>331</v>
      </c>
      <c r="B103" s="421">
        <v>1.226194522E9</v>
      </c>
      <c r="C103" s="419" t="s">
        <v>164</v>
      </c>
    </row>
    <row r="104">
      <c r="A104" s="419" t="s">
        <v>332</v>
      </c>
      <c r="B104" s="421">
        <v>1.276684599E9</v>
      </c>
      <c r="C104" s="419" t="s">
        <v>93</v>
      </c>
    </row>
    <row r="105">
      <c r="A105" s="419" t="s">
        <v>335</v>
      </c>
      <c r="B105" s="421">
        <v>1.228048884E9</v>
      </c>
      <c r="C105" s="419" t="s">
        <v>93</v>
      </c>
    </row>
    <row r="106">
      <c r="A106" s="419" t="s">
        <v>336</v>
      </c>
      <c r="B106" s="421">
        <v>1.281079785E9</v>
      </c>
      <c r="C106" s="419" t="s">
        <v>53</v>
      </c>
    </row>
    <row r="107">
      <c r="A107" s="419" t="s">
        <v>337</v>
      </c>
      <c r="B107" s="421">
        <v>1.285165676E9</v>
      </c>
      <c r="C107" s="419" t="s">
        <v>338</v>
      </c>
    </row>
    <row r="108">
      <c r="A108" s="419" t="s">
        <v>339</v>
      </c>
      <c r="B108" s="421">
        <v>1.221568644E9</v>
      </c>
      <c r="C108" s="419" t="s">
        <v>93</v>
      </c>
    </row>
    <row r="109">
      <c r="A109" s="419" t="s">
        <v>340</v>
      </c>
      <c r="B109" s="421">
        <v>1.281213583E9</v>
      </c>
      <c r="C109" s="419" t="s">
        <v>53</v>
      </c>
    </row>
    <row r="110">
      <c r="A110" s="419" t="s">
        <v>341</v>
      </c>
      <c r="B110" s="421">
        <v>1.201685116E9</v>
      </c>
      <c r="C110" s="419" t="s">
        <v>93</v>
      </c>
    </row>
    <row r="111">
      <c r="A111" s="419" t="s">
        <v>342</v>
      </c>
      <c r="B111" s="421">
        <v>1.277114313E9</v>
      </c>
      <c r="C111" s="419" t="s">
        <v>68</v>
      </c>
    </row>
    <row r="112">
      <c r="A112" s="419" t="s">
        <v>343</v>
      </c>
      <c r="B112" s="421">
        <v>1.274743727E9</v>
      </c>
      <c r="C112" s="419" t="s">
        <v>93</v>
      </c>
    </row>
    <row r="113">
      <c r="A113" s="419" t="s">
        <v>344</v>
      </c>
      <c r="B113" s="421">
        <v>1.22661495E9</v>
      </c>
      <c r="C113" s="419" t="s">
        <v>228</v>
      </c>
    </row>
    <row r="114">
      <c r="A114" s="419" t="s">
        <v>345</v>
      </c>
      <c r="B114" s="421">
        <v>1.205644171E9</v>
      </c>
      <c r="C114" s="419" t="s">
        <v>53</v>
      </c>
    </row>
    <row r="115">
      <c r="A115" s="419" t="s">
        <v>346</v>
      </c>
      <c r="B115" s="421">
        <v>1.006035757E9</v>
      </c>
      <c r="C115" s="419" t="s">
        <v>93</v>
      </c>
    </row>
    <row r="116">
      <c r="A116" s="419" t="s">
        <v>348</v>
      </c>
      <c r="B116" s="421">
        <v>1.22757093E9</v>
      </c>
      <c r="C116" s="419" t="s">
        <v>93</v>
      </c>
    </row>
    <row r="117">
      <c r="A117" s="419" t="s">
        <v>349</v>
      </c>
      <c r="B117" s="421">
        <v>1.225492366E9</v>
      </c>
      <c r="C117" s="419" t="s">
        <v>78</v>
      </c>
    </row>
    <row r="118">
      <c r="A118" s="419" t="s">
        <v>352</v>
      </c>
      <c r="B118" s="421">
        <v>1.227030663E9</v>
      </c>
      <c r="C118" s="419" t="s">
        <v>93</v>
      </c>
    </row>
    <row r="119">
      <c r="A119" s="419" t="s">
        <v>356</v>
      </c>
      <c r="B119" s="421">
        <v>1.210013384E9</v>
      </c>
      <c r="C119" s="419" t="s">
        <v>93</v>
      </c>
    </row>
    <row r="120">
      <c r="A120" s="419" t="s">
        <v>359</v>
      </c>
      <c r="B120" s="421" t="s">
        <v>68</v>
      </c>
      <c r="C120" s="419" t="s">
        <v>53</v>
      </c>
    </row>
    <row r="121">
      <c r="A121" s="419" t="s">
        <v>361</v>
      </c>
      <c r="B121" s="421">
        <v>1.001134092E9</v>
      </c>
      <c r="C121" s="419" t="s">
        <v>93</v>
      </c>
    </row>
    <row r="122">
      <c r="A122" s="419" t="s">
        <v>363</v>
      </c>
      <c r="B122" s="421">
        <v>1.221252594E9</v>
      </c>
      <c r="C122" s="419" t="s">
        <v>183</v>
      </c>
    </row>
    <row r="123">
      <c r="A123" s="419" t="s">
        <v>364</v>
      </c>
      <c r="B123" s="421">
        <v>1.273952562E9</v>
      </c>
      <c r="C123" s="419" t="s">
        <v>93</v>
      </c>
    </row>
    <row r="124">
      <c r="A124" s="419" t="s">
        <v>365</v>
      </c>
      <c r="B124" s="421">
        <v>1.228871067E9</v>
      </c>
      <c r="C124" s="419" t="s">
        <v>366</v>
      </c>
    </row>
    <row r="125">
      <c r="A125" s="419" t="s">
        <v>367</v>
      </c>
      <c r="B125" s="421">
        <v>1.228780841E9</v>
      </c>
      <c r="C125" s="419" t="s">
        <v>368</v>
      </c>
    </row>
    <row r="126">
      <c r="A126" s="419" t="s">
        <v>370</v>
      </c>
      <c r="B126" s="421">
        <v>1.229541796E9</v>
      </c>
      <c r="C126" s="419" t="s">
        <v>93</v>
      </c>
    </row>
    <row r="127">
      <c r="A127" s="419" t="s">
        <v>371</v>
      </c>
      <c r="B127" s="421">
        <v>1.283577574E9</v>
      </c>
      <c r="C127" s="419" t="s">
        <v>109</v>
      </c>
    </row>
    <row r="128">
      <c r="A128" s="419" t="s">
        <v>372</v>
      </c>
      <c r="B128" s="421">
        <v>1.221252594E9</v>
      </c>
      <c r="C128" s="419" t="s">
        <v>183</v>
      </c>
    </row>
    <row r="129">
      <c r="A129" s="419" t="s">
        <v>373</v>
      </c>
      <c r="B129" s="421">
        <v>1.271994748E9</v>
      </c>
      <c r="C129" s="419" t="s">
        <v>93</v>
      </c>
    </row>
    <row r="130">
      <c r="A130" s="419" t="s">
        <v>374</v>
      </c>
      <c r="B130" s="421">
        <v>1.278219701E9</v>
      </c>
      <c r="C130" s="419" t="s">
        <v>109</v>
      </c>
    </row>
    <row r="131">
      <c r="A131" s="419" t="s">
        <v>375</v>
      </c>
      <c r="B131" s="421">
        <v>1.202400501E9</v>
      </c>
      <c r="C131" s="419" t="s">
        <v>68</v>
      </c>
    </row>
    <row r="132">
      <c r="A132" s="419" t="s">
        <v>377</v>
      </c>
      <c r="B132" s="421">
        <v>1.210665337E9</v>
      </c>
      <c r="C132" s="419" t="s">
        <v>93</v>
      </c>
    </row>
    <row r="133">
      <c r="A133" s="419" t="s">
        <v>378</v>
      </c>
      <c r="B133" s="421">
        <v>1.281114059E9</v>
      </c>
      <c r="C133" s="419" t="s">
        <v>53</v>
      </c>
    </row>
    <row r="134">
      <c r="A134" s="419" t="s">
        <v>380</v>
      </c>
      <c r="B134" s="421">
        <v>1.289307869E9</v>
      </c>
      <c r="C134" s="419" t="s">
        <v>68</v>
      </c>
    </row>
    <row r="135">
      <c r="A135" s="419" t="s">
        <v>384</v>
      </c>
      <c r="B135" s="421">
        <v>1.559032118E9</v>
      </c>
      <c r="C135" s="419" t="s">
        <v>134</v>
      </c>
    </row>
    <row r="136">
      <c r="A136" s="419" t="s">
        <v>389</v>
      </c>
      <c r="B136" s="421">
        <v>1.225568706E9</v>
      </c>
      <c r="C136" s="419" t="s">
        <v>183</v>
      </c>
    </row>
    <row r="137">
      <c r="A137" s="419" t="s">
        <v>390</v>
      </c>
      <c r="B137" s="421">
        <v>1.22040446E9</v>
      </c>
      <c r="C137" s="419" t="s">
        <v>120</v>
      </c>
    </row>
    <row r="138">
      <c r="A138" s="419" t="s">
        <v>391</v>
      </c>
      <c r="B138" s="421">
        <v>1.211099136E9</v>
      </c>
      <c r="C138" s="419" t="s">
        <v>78</v>
      </c>
    </row>
    <row r="139">
      <c r="A139" s="419" t="s">
        <v>392</v>
      </c>
      <c r="B139" s="421">
        <v>1.278338577E9</v>
      </c>
      <c r="C139" s="419" t="s">
        <v>183</v>
      </c>
    </row>
    <row r="140">
      <c r="A140" s="419" t="s">
        <v>393</v>
      </c>
      <c r="B140" s="421">
        <v>1.201385598E9</v>
      </c>
      <c r="C140" s="419" t="s">
        <v>93</v>
      </c>
    </row>
    <row r="141">
      <c r="A141" s="419" t="s">
        <v>394</v>
      </c>
      <c r="B141" s="421">
        <v>1.272397677E9</v>
      </c>
      <c r="C141" s="419" t="s">
        <v>93</v>
      </c>
    </row>
    <row r="142">
      <c r="A142" s="419" t="s">
        <v>395</v>
      </c>
      <c r="B142" s="421">
        <v>1.554450769E9</v>
      </c>
      <c r="C142" s="419" t="s">
        <v>109</v>
      </c>
    </row>
    <row r="143">
      <c r="A143" s="419" t="s">
        <v>396</v>
      </c>
      <c r="B143" s="421">
        <v>1.000550089E9</v>
      </c>
      <c r="C143" s="419" t="s">
        <v>93</v>
      </c>
    </row>
    <row r="144">
      <c r="A144" s="419" t="s">
        <v>397</v>
      </c>
      <c r="B144" s="421">
        <v>1.20079939E9</v>
      </c>
      <c r="C144" s="419" t="s">
        <v>93</v>
      </c>
    </row>
    <row r="145">
      <c r="A145" s="419" t="s">
        <v>398</v>
      </c>
      <c r="B145" s="421">
        <v>1.208360169E9</v>
      </c>
      <c r="C145" s="419" t="s">
        <v>120</v>
      </c>
    </row>
    <row r="146">
      <c r="A146" s="419" t="s">
        <v>399</v>
      </c>
      <c r="B146" s="421">
        <v>1.22660317E9</v>
      </c>
      <c r="C146" s="419" t="s">
        <v>93</v>
      </c>
    </row>
    <row r="147">
      <c r="A147" s="419" t="s">
        <v>400</v>
      </c>
      <c r="B147" s="421">
        <v>1.224233512E9</v>
      </c>
      <c r="C147" s="419" t="s">
        <v>183</v>
      </c>
    </row>
    <row r="148">
      <c r="A148" s="419" t="s">
        <v>401</v>
      </c>
      <c r="B148" s="421">
        <v>1.282897816E9</v>
      </c>
      <c r="C148" s="419" t="s">
        <v>204</v>
      </c>
    </row>
    <row r="149">
      <c r="A149" s="419" t="s">
        <v>402</v>
      </c>
      <c r="B149" s="421">
        <v>1.274752927E9</v>
      </c>
      <c r="C149" s="419" t="s">
        <v>183</v>
      </c>
    </row>
    <row r="150">
      <c r="A150" s="419" t="s">
        <v>404</v>
      </c>
      <c r="B150" s="421">
        <v>1.222836492E9</v>
      </c>
      <c r="C150" s="419" t="s">
        <v>183</v>
      </c>
    </row>
    <row r="151">
      <c r="A151" s="419" t="s">
        <v>406</v>
      </c>
      <c r="B151" s="421">
        <v>1.553197595E9</v>
      </c>
      <c r="C151" s="419" t="s">
        <v>120</v>
      </c>
    </row>
    <row r="152">
      <c r="A152" s="419" t="s">
        <v>407</v>
      </c>
      <c r="B152" s="421">
        <v>1.270170345E9</v>
      </c>
      <c r="C152" s="419" t="s">
        <v>93</v>
      </c>
    </row>
    <row r="153">
      <c r="A153" s="419" t="s">
        <v>408</v>
      </c>
      <c r="B153" s="421">
        <v>1.285879384E9</v>
      </c>
      <c r="C153" s="419" t="s">
        <v>243</v>
      </c>
    </row>
    <row r="154">
      <c r="A154" s="419" t="s">
        <v>410</v>
      </c>
      <c r="B154" s="421">
        <v>1.228000206E9</v>
      </c>
      <c r="C154" s="419" t="s">
        <v>93</v>
      </c>
    </row>
    <row r="155">
      <c r="A155" s="419" t="s">
        <v>412</v>
      </c>
      <c r="B155" s="421">
        <v>1.210909235E9</v>
      </c>
      <c r="C155" s="419" t="s">
        <v>243</v>
      </c>
    </row>
    <row r="156">
      <c r="A156" s="419" t="s">
        <v>413</v>
      </c>
      <c r="B156" s="421">
        <v>1.222212804E9</v>
      </c>
      <c r="C156" s="419" t="s">
        <v>93</v>
      </c>
    </row>
    <row r="157">
      <c r="A157" s="419" t="s">
        <v>414</v>
      </c>
      <c r="B157" s="421">
        <v>1.227231701E9</v>
      </c>
      <c r="C157" s="419" t="s">
        <v>78</v>
      </c>
    </row>
    <row r="158">
      <c r="A158" s="419" t="s">
        <v>415</v>
      </c>
      <c r="B158" s="421">
        <v>1.224327593E9</v>
      </c>
      <c r="C158" s="419" t="s">
        <v>202</v>
      </c>
    </row>
    <row r="159">
      <c r="A159" s="419" t="s">
        <v>417</v>
      </c>
      <c r="B159" s="421">
        <v>1.146826891E9</v>
      </c>
      <c r="C159" s="419" t="s">
        <v>78</v>
      </c>
    </row>
    <row r="160">
      <c r="A160" s="419" t="s">
        <v>418</v>
      </c>
      <c r="B160" s="421">
        <v>1.22004749E9</v>
      </c>
      <c r="C160" s="419" t="s">
        <v>93</v>
      </c>
    </row>
    <row r="161">
      <c r="A161" s="419" t="s">
        <v>419</v>
      </c>
      <c r="B161" s="421">
        <v>1.277336697E9</v>
      </c>
      <c r="C161" s="419" t="s">
        <v>78</v>
      </c>
    </row>
    <row r="162">
      <c r="A162" s="419" t="s">
        <v>420</v>
      </c>
      <c r="B162" s="421">
        <v>1.287289231E9</v>
      </c>
      <c r="C162" s="419" t="s">
        <v>164</v>
      </c>
    </row>
    <row r="163">
      <c r="A163" s="419" t="s">
        <v>421</v>
      </c>
      <c r="B163" s="421">
        <v>1.222386635E9</v>
      </c>
      <c r="C163" s="419" t="s">
        <v>140</v>
      </c>
    </row>
    <row r="164">
      <c r="A164" s="419" t="s">
        <v>422</v>
      </c>
      <c r="B164" s="421">
        <v>1.287356549E9</v>
      </c>
      <c r="C164" s="419" t="s">
        <v>93</v>
      </c>
    </row>
    <row r="165">
      <c r="A165" s="419" t="s">
        <v>423</v>
      </c>
      <c r="B165" s="421">
        <v>1.225380901E9</v>
      </c>
      <c r="C165" s="419" t="s">
        <v>228</v>
      </c>
    </row>
    <row r="166">
      <c r="A166" s="419" t="s">
        <v>424</v>
      </c>
      <c r="B166" s="421">
        <v>1.206954776E9</v>
      </c>
      <c r="C166" s="419" t="s">
        <v>425</v>
      </c>
    </row>
    <row r="167">
      <c r="A167" s="419" t="s">
        <v>427</v>
      </c>
      <c r="B167" s="421">
        <v>1.275566961E9</v>
      </c>
      <c r="C167" s="419" t="s">
        <v>140</v>
      </c>
    </row>
    <row r="168">
      <c r="A168" s="419" t="s">
        <v>429</v>
      </c>
      <c r="B168" s="421">
        <v>1.276039193E9</v>
      </c>
      <c r="C168" s="419" t="s">
        <v>78</v>
      </c>
    </row>
    <row r="169">
      <c r="A169" s="419" t="s">
        <v>432</v>
      </c>
      <c r="B169" s="421">
        <v>1.225577036E9</v>
      </c>
      <c r="C169" s="419" t="s">
        <v>93</v>
      </c>
    </row>
    <row r="170">
      <c r="A170" s="419" t="s">
        <v>433</v>
      </c>
      <c r="B170" s="421">
        <v>1.221835605E9</v>
      </c>
      <c r="C170" s="419" t="s">
        <v>93</v>
      </c>
    </row>
    <row r="171">
      <c r="A171" s="419" t="s">
        <v>434</v>
      </c>
      <c r="B171" s="421">
        <v>1.283068152E9</v>
      </c>
      <c r="C171" s="419" t="s">
        <v>78</v>
      </c>
    </row>
    <row r="172">
      <c r="A172" s="419" t="s">
        <v>435</v>
      </c>
      <c r="B172" s="421">
        <v>1.225395359E9</v>
      </c>
      <c r="C172" s="419" t="s">
        <v>93</v>
      </c>
    </row>
    <row r="173">
      <c r="A173" s="419" t="s">
        <v>436</v>
      </c>
      <c r="B173" s="421">
        <v>1.278638302E9</v>
      </c>
      <c r="C173" s="419" t="s">
        <v>93</v>
      </c>
    </row>
    <row r="174">
      <c r="A174" s="419" t="s">
        <v>438</v>
      </c>
      <c r="B174" s="421" t="s">
        <v>68</v>
      </c>
      <c r="C174" s="419" t="s">
        <v>93</v>
      </c>
    </row>
    <row r="175">
      <c r="A175" s="419" t="s">
        <v>439</v>
      </c>
      <c r="B175" s="421" t="s">
        <v>68</v>
      </c>
      <c r="C175" s="419" t="s">
        <v>93</v>
      </c>
    </row>
    <row r="176">
      <c r="A176" s="419" t="s">
        <v>440</v>
      </c>
      <c r="B176" s="421" t="s">
        <v>68</v>
      </c>
      <c r="C176" s="419" t="s">
        <v>441</v>
      </c>
    </row>
    <row r="177">
      <c r="A177" s="419" t="s">
        <v>443</v>
      </c>
      <c r="B177" s="421" t="s">
        <v>68</v>
      </c>
      <c r="C177" s="419" t="s">
        <v>183</v>
      </c>
    </row>
    <row r="178">
      <c r="A178" s="419" t="s">
        <v>444</v>
      </c>
      <c r="B178" s="421" t="s">
        <v>68</v>
      </c>
      <c r="C178" s="419" t="s">
        <v>53</v>
      </c>
    </row>
    <row r="179">
      <c r="A179" s="419" t="s">
        <v>445</v>
      </c>
      <c r="B179" s="421" t="s">
        <v>68</v>
      </c>
      <c r="C179" s="419" t="s">
        <v>93</v>
      </c>
    </row>
    <row r="180">
      <c r="A180" s="419" t="s">
        <v>446</v>
      </c>
      <c r="B180" s="421" t="s">
        <v>68</v>
      </c>
      <c r="C180" s="419" t="s">
        <v>93</v>
      </c>
    </row>
    <row r="181">
      <c r="A181" s="419" t="s">
        <v>447</v>
      </c>
      <c r="B181" s="421" t="s">
        <v>68</v>
      </c>
      <c r="C181" s="419" t="s">
        <v>78</v>
      </c>
    </row>
    <row r="182">
      <c r="A182" s="419" t="s">
        <v>448</v>
      </c>
      <c r="B182" s="421" t="s">
        <v>68</v>
      </c>
      <c r="C182" s="419" t="s">
        <v>53</v>
      </c>
    </row>
    <row r="183">
      <c r="A183" s="419" t="s">
        <v>449</v>
      </c>
      <c r="B183" s="421" t="s">
        <v>68</v>
      </c>
      <c r="C183" s="419" t="s">
        <v>78</v>
      </c>
    </row>
    <row r="184">
      <c r="A184" s="419" t="s">
        <v>450</v>
      </c>
      <c r="B184" s="421" t="s">
        <v>68</v>
      </c>
      <c r="C184" s="419" t="s">
        <v>78</v>
      </c>
    </row>
    <row r="185">
      <c r="A185" s="419" t="s">
        <v>451</v>
      </c>
      <c r="B185" s="421" t="s">
        <v>68</v>
      </c>
      <c r="C185" s="419" t="s">
        <v>53</v>
      </c>
    </row>
    <row r="186">
      <c r="A186" s="419" t="s">
        <v>453</v>
      </c>
      <c r="B186" s="421" t="s">
        <v>68</v>
      </c>
      <c r="C186" s="419" t="s">
        <v>454</v>
      </c>
    </row>
    <row r="187">
      <c r="A187" s="419" t="s">
        <v>455</v>
      </c>
      <c r="B187" s="421" t="s">
        <v>68</v>
      </c>
      <c r="C187" s="419" t="s">
        <v>183</v>
      </c>
    </row>
    <row r="188">
      <c r="A188" s="419" t="s">
        <v>456</v>
      </c>
      <c r="B188" s="421" t="s">
        <v>68</v>
      </c>
      <c r="C188" s="419" t="s">
        <v>93</v>
      </c>
    </row>
    <row r="189">
      <c r="A189" s="419" t="s">
        <v>458</v>
      </c>
      <c r="B189" s="421" t="s">
        <v>68</v>
      </c>
      <c r="C189" s="419" t="s">
        <v>93</v>
      </c>
    </row>
    <row r="190">
      <c r="A190" s="419" t="s">
        <v>460</v>
      </c>
      <c r="B190" s="421" t="s">
        <v>68</v>
      </c>
      <c r="C190" s="419" t="s">
        <v>197</v>
      </c>
    </row>
    <row r="191">
      <c r="A191" s="419" t="s">
        <v>462</v>
      </c>
      <c r="B191" s="421" t="s">
        <v>68</v>
      </c>
      <c r="C191" s="419" t="s">
        <v>243</v>
      </c>
    </row>
    <row r="192">
      <c r="A192" s="419" t="s">
        <v>463</v>
      </c>
      <c r="B192" s="421" t="s">
        <v>68</v>
      </c>
      <c r="C192" s="419" t="s">
        <v>78</v>
      </c>
    </row>
    <row r="193">
      <c r="A193" s="419" t="s">
        <v>464</v>
      </c>
      <c r="B193" s="421" t="s">
        <v>68</v>
      </c>
      <c r="C193" s="419" t="s">
        <v>243</v>
      </c>
    </row>
    <row r="194">
      <c r="A194" s="419" t="s">
        <v>465</v>
      </c>
      <c r="B194" s="421" t="s">
        <v>68</v>
      </c>
      <c r="C194" s="419" t="s">
        <v>204</v>
      </c>
    </row>
    <row r="195">
      <c r="A195" s="419" t="s">
        <v>466</v>
      </c>
      <c r="B195" s="421" t="s">
        <v>68</v>
      </c>
      <c r="C195" s="419" t="s">
        <v>78</v>
      </c>
    </row>
    <row r="196">
      <c r="A196" s="419" t="s">
        <v>468</v>
      </c>
      <c r="B196" s="421" t="s">
        <v>68</v>
      </c>
      <c r="C196" s="419" t="s">
        <v>93</v>
      </c>
    </row>
    <row r="197">
      <c r="A197" s="419" t="s">
        <v>469</v>
      </c>
      <c r="B197" s="421" t="s">
        <v>68</v>
      </c>
      <c r="C197" s="419" t="s">
        <v>93</v>
      </c>
    </row>
    <row r="198">
      <c r="A198" s="419" t="s">
        <v>472</v>
      </c>
      <c r="B198" s="421" t="s">
        <v>68</v>
      </c>
      <c r="C198" s="419" t="s">
        <v>140</v>
      </c>
    </row>
    <row r="199">
      <c r="A199" s="419" t="s">
        <v>483</v>
      </c>
      <c r="B199" s="421" t="s">
        <v>68</v>
      </c>
      <c r="C199" s="419" t="s">
        <v>120</v>
      </c>
    </row>
    <row r="200">
      <c r="A200" s="419" t="s">
        <v>485</v>
      </c>
      <c r="B200" s="421" t="s">
        <v>68</v>
      </c>
      <c r="C200" s="419" t="s">
        <v>243</v>
      </c>
    </row>
    <row r="201">
      <c r="A201" s="419" t="s">
        <v>487</v>
      </c>
      <c r="B201" s="421" t="s">
        <v>68</v>
      </c>
      <c r="C201" s="419" t="s">
        <v>120</v>
      </c>
    </row>
    <row r="202">
      <c r="A202" s="419" t="s">
        <v>490</v>
      </c>
      <c r="B202" s="421" t="s">
        <v>68</v>
      </c>
      <c r="C202" s="419" t="s">
        <v>134</v>
      </c>
    </row>
    <row r="203">
      <c r="A203" s="419" t="s">
        <v>492</v>
      </c>
      <c r="B203" s="421" t="s">
        <v>68</v>
      </c>
      <c r="C203" s="419" t="s">
        <v>93</v>
      </c>
    </row>
    <row r="204">
      <c r="A204" s="419" t="s">
        <v>494</v>
      </c>
      <c r="B204" s="421" t="s">
        <v>68</v>
      </c>
      <c r="C204" s="419" t="s">
        <v>93</v>
      </c>
    </row>
    <row r="205">
      <c r="A205" s="419" t="s">
        <v>495</v>
      </c>
      <c r="B205" s="421" t="s">
        <v>68</v>
      </c>
      <c r="C205" s="419" t="s">
        <v>53</v>
      </c>
    </row>
    <row r="206">
      <c r="A206" s="419" t="s">
        <v>496</v>
      </c>
      <c r="B206" s="421">
        <v>1.277192123E9</v>
      </c>
      <c r="C206" s="419" t="s">
        <v>53</v>
      </c>
    </row>
    <row r="207">
      <c r="A207" s="419" t="s">
        <v>499</v>
      </c>
      <c r="B207" s="421" t="s">
        <v>68</v>
      </c>
      <c r="C207" s="419" t="s">
        <v>93</v>
      </c>
    </row>
    <row r="208">
      <c r="A208" s="419" t="s">
        <v>502</v>
      </c>
      <c r="B208" s="421">
        <v>1.100030657E9</v>
      </c>
      <c r="C208" s="419" t="s">
        <v>93</v>
      </c>
    </row>
    <row r="209">
      <c r="A209" s="419" t="s">
        <v>505</v>
      </c>
      <c r="B209" s="421" t="s">
        <v>68</v>
      </c>
      <c r="C209" s="419" t="s">
        <v>93</v>
      </c>
    </row>
    <row r="210">
      <c r="A210" s="419" t="s">
        <v>506</v>
      </c>
      <c r="B210" s="421" t="s">
        <v>68</v>
      </c>
      <c r="C210" s="419" t="s">
        <v>164</v>
      </c>
    </row>
    <row r="211">
      <c r="A211" s="419" t="s">
        <v>507</v>
      </c>
      <c r="B211" s="421" t="s">
        <v>68</v>
      </c>
      <c r="C211" s="419" t="s">
        <v>78</v>
      </c>
    </row>
    <row r="212">
      <c r="A212" s="419" t="s">
        <v>511</v>
      </c>
      <c r="B212" s="421" t="s">
        <v>68</v>
      </c>
      <c r="C212" s="419" t="s">
        <v>68</v>
      </c>
    </row>
    <row r="213">
      <c r="A213" s="419" t="s">
        <v>513</v>
      </c>
      <c r="B213" s="421">
        <v>1.001917805E9</v>
      </c>
      <c r="C213" s="419" t="s">
        <v>93</v>
      </c>
    </row>
    <row r="214">
      <c r="A214" s="419" t="s">
        <v>515</v>
      </c>
      <c r="B214" s="421" t="s">
        <v>68</v>
      </c>
      <c r="C214" s="419" t="s">
        <v>183</v>
      </c>
    </row>
    <row r="215">
      <c r="A215" s="419" t="s">
        <v>516</v>
      </c>
      <c r="B215" s="421" t="s">
        <v>68</v>
      </c>
      <c r="C215" s="419" t="s">
        <v>93</v>
      </c>
    </row>
    <row r="216">
      <c r="A216" s="419" t="s">
        <v>517</v>
      </c>
      <c r="B216" s="421" t="s">
        <v>68</v>
      </c>
      <c r="C216" s="419" t="s">
        <v>93</v>
      </c>
    </row>
    <row r="217">
      <c r="A217" s="419" t="s">
        <v>518</v>
      </c>
      <c r="B217" s="421" t="s">
        <v>68</v>
      </c>
      <c r="C217" s="419" t="s">
        <v>120</v>
      </c>
    </row>
    <row r="218">
      <c r="A218" s="419" t="s">
        <v>519</v>
      </c>
      <c r="B218" s="421" t="s">
        <v>68</v>
      </c>
      <c r="C218" s="419" t="s">
        <v>243</v>
      </c>
    </row>
    <row r="219">
      <c r="A219" s="419" t="s">
        <v>520</v>
      </c>
      <c r="B219" s="421" t="s">
        <v>68</v>
      </c>
      <c r="C219" s="419" t="s">
        <v>93</v>
      </c>
    </row>
    <row r="220">
      <c r="A220" s="419" t="s">
        <v>521</v>
      </c>
      <c r="B220" s="421" t="s">
        <v>68</v>
      </c>
      <c r="C220" s="419" t="s">
        <v>78</v>
      </c>
    </row>
    <row r="221">
      <c r="A221" s="419" t="s">
        <v>522</v>
      </c>
      <c r="B221" s="421" t="s">
        <v>68</v>
      </c>
      <c r="C221" s="419" t="s">
        <v>243</v>
      </c>
    </row>
    <row r="222">
      <c r="A222" s="419" t="s">
        <v>523</v>
      </c>
      <c r="B222" s="421" t="s">
        <v>68</v>
      </c>
      <c r="C222" s="419" t="s">
        <v>93</v>
      </c>
    </row>
    <row r="223">
      <c r="A223" s="419" t="s">
        <v>527</v>
      </c>
      <c r="B223" s="421" t="s">
        <v>68</v>
      </c>
      <c r="C223" s="419" t="s">
        <v>183</v>
      </c>
    </row>
    <row r="224">
      <c r="A224" s="419" t="s">
        <v>530</v>
      </c>
      <c r="B224" s="421" t="s">
        <v>68</v>
      </c>
      <c r="C224" s="419" t="s">
        <v>531</v>
      </c>
    </row>
    <row r="225">
      <c r="A225" s="419" t="s">
        <v>532</v>
      </c>
      <c r="B225" s="421" t="s">
        <v>68</v>
      </c>
      <c r="C225" s="419" t="s">
        <v>183</v>
      </c>
    </row>
    <row r="226">
      <c r="A226" s="419" t="s">
        <v>533</v>
      </c>
      <c r="B226" s="421" t="s">
        <v>68</v>
      </c>
      <c r="C226" s="419" t="s">
        <v>93</v>
      </c>
    </row>
    <row r="227">
      <c r="A227" s="419" t="s">
        <v>534</v>
      </c>
      <c r="B227" s="421" t="s">
        <v>68</v>
      </c>
      <c r="C227" s="419" t="s">
        <v>120</v>
      </c>
    </row>
    <row r="228">
      <c r="A228" s="419" t="s">
        <v>535</v>
      </c>
      <c r="B228" s="421" t="s">
        <v>68</v>
      </c>
      <c r="C228" s="419" t="s">
        <v>120</v>
      </c>
    </row>
    <row r="229">
      <c r="A229" s="419" t="s">
        <v>536</v>
      </c>
      <c r="B229" s="421" t="s">
        <v>68</v>
      </c>
      <c r="C229" s="419" t="s">
        <v>93</v>
      </c>
    </row>
    <row r="230">
      <c r="A230" s="419" t="s">
        <v>543</v>
      </c>
      <c r="B230" s="421" t="s">
        <v>68</v>
      </c>
      <c r="C230" s="419" t="s">
        <v>204</v>
      </c>
    </row>
    <row r="231">
      <c r="A231" s="419" t="s">
        <v>544</v>
      </c>
      <c r="B231" s="421" t="s">
        <v>68</v>
      </c>
      <c r="C231" s="419" t="s">
        <v>243</v>
      </c>
    </row>
    <row r="232">
      <c r="A232" s="419" t="s">
        <v>545</v>
      </c>
      <c r="B232" s="421" t="s">
        <v>68</v>
      </c>
      <c r="C232" s="419" t="s">
        <v>53</v>
      </c>
    </row>
    <row r="233">
      <c r="A233" s="419" t="s">
        <v>547</v>
      </c>
      <c r="B233" s="421" t="s">
        <v>68</v>
      </c>
      <c r="C233" s="419" t="s">
        <v>93</v>
      </c>
    </row>
    <row r="234">
      <c r="A234" s="419" t="s">
        <v>550</v>
      </c>
      <c r="B234" s="421" t="s">
        <v>68</v>
      </c>
      <c r="C234" s="419" t="s">
        <v>93</v>
      </c>
    </row>
    <row r="235">
      <c r="A235" s="419" t="s">
        <v>552</v>
      </c>
      <c r="B235" s="421">
        <v>1.01505725E9</v>
      </c>
      <c r="C235" s="419" t="s">
        <v>68</v>
      </c>
    </row>
    <row r="236">
      <c r="A236" s="419" t="s">
        <v>555</v>
      </c>
      <c r="B236" s="421" t="s">
        <v>68</v>
      </c>
      <c r="C236" s="419" t="s">
        <v>243</v>
      </c>
    </row>
    <row r="237">
      <c r="A237" s="419" t="s">
        <v>556</v>
      </c>
      <c r="B237" s="421">
        <v>1.270668892E9</v>
      </c>
      <c r="C237" s="419" t="s">
        <v>183</v>
      </c>
    </row>
    <row r="238">
      <c r="A238" s="419" t="s">
        <v>560</v>
      </c>
      <c r="B238" s="421">
        <v>1.228048884E9</v>
      </c>
      <c r="C238" s="419" t="s">
        <v>93</v>
      </c>
    </row>
    <row r="239">
      <c r="A239" s="419" t="s">
        <v>563</v>
      </c>
      <c r="B239" s="421">
        <v>1.281213583E9</v>
      </c>
      <c r="C239" s="419" t="s">
        <v>243</v>
      </c>
    </row>
    <row r="240">
      <c r="A240" s="419" t="s">
        <v>566</v>
      </c>
      <c r="B240" s="421">
        <v>1.228780841E9</v>
      </c>
      <c r="C240" s="419" t="s">
        <v>368</v>
      </c>
    </row>
    <row r="241">
      <c r="A241" s="419" t="s">
        <v>569</v>
      </c>
      <c r="B241" s="421">
        <v>1.210665338E9</v>
      </c>
      <c r="C241" s="419" t="s">
        <v>93</v>
      </c>
    </row>
    <row r="242">
      <c r="A242" s="419" t="s">
        <v>575</v>
      </c>
      <c r="B242" s="421">
        <v>1.225568706E9</v>
      </c>
      <c r="C242" s="419" t="s">
        <v>183</v>
      </c>
    </row>
    <row r="243">
      <c r="A243" s="419" t="s">
        <v>577</v>
      </c>
      <c r="B243" s="421">
        <v>1.208360169E9</v>
      </c>
      <c r="C243" s="419" t="s">
        <v>120</v>
      </c>
    </row>
    <row r="244">
      <c r="A244" s="419" t="s">
        <v>581</v>
      </c>
      <c r="B244" s="421">
        <v>1.224327593E9</v>
      </c>
      <c r="C244" s="419" t="s">
        <v>202</v>
      </c>
    </row>
    <row r="245">
      <c r="A245" s="419" t="s">
        <v>584</v>
      </c>
      <c r="B245" s="421">
        <v>1.22004749E9</v>
      </c>
      <c r="C245" s="419" t="s">
        <v>93</v>
      </c>
    </row>
    <row r="246">
      <c r="A246" s="419" t="s">
        <v>587</v>
      </c>
      <c r="B246" s="421">
        <v>1.206954776E9</v>
      </c>
      <c r="C246" s="419" t="s">
        <v>425</v>
      </c>
    </row>
    <row r="247">
      <c r="A247" s="419" t="s">
        <v>592</v>
      </c>
      <c r="B247" s="421">
        <v>1.275566961E9</v>
      </c>
      <c r="C247" s="419" t="s">
        <v>68</v>
      </c>
    </row>
    <row r="248">
      <c r="A248" s="419" t="s">
        <v>595</v>
      </c>
      <c r="B248" s="421">
        <v>1.007076232E9</v>
      </c>
      <c r="C248" s="419" t="s">
        <v>183</v>
      </c>
    </row>
    <row r="249">
      <c r="A249" s="419" t="s">
        <v>597</v>
      </c>
      <c r="B249" s="421">
        <v>1.222865561E9</v>
      </c>
      <c r="C249" s="419" t="s">
        <v>93</v>
      </c>
    </row>
    <row r="250">
      <c r="A250" s="419" t="s">
        <v>600</v>
      </c>
      <c r="B250" s="421">
        <v>1.225059966E9</v>
      </c>
      <c r="C250" s="419" t="s">
        <v>93</v>
      </c>
    </row>
    <row r="251">
      <c r="A251" s="419" t="s">
        <v>603</v>
      </c>
      <c r="B251" s="421">
        <v>1.285117747E9</v>
      </c>
      <c r="C251" s="419" t="s">
        <v>183</v>
      </c>
    </row>
    <row r="252">
      <c r="A252" s="419" t="s">
        <v>609</v>
      </c>
      <c r="B252" s="421">
        <v>1.227049459E9</v>
      </c>
      <c r="C252" s="419" t="s">
        <v>93</v>
      </c>
    </row>
    <row r="253">
      <c r="A253" s="419" t="s">
        <v>611</v>
      </c>
      <c r="B253" s="421">
        <v>1.066542381E9</v>
      </c>
      <c r="C253" s="419" t="s">
        <v>93</v>
      </c>
    </row>
    <row r="254">
      <c r="A254" s="419" t="s">
        <v>615</v>
      </c>
      <c r="B254" s="421">
        <v>1.283946493E9</v>
      </c>
      <c r="C254" s="419" t="s">
        <v>183</v>
      </c>
    </row>
    <row r="255">
      <c r="A255" s="419" t="s">
        <v>623</v>
      </c>
      <c r="B255" s="421">
        <v>1.226304875E9</v>
      </c>
      <c r="C255" s="419" t="s">
        <v>68</v>
      </c>
    </row>
    <row r="256">
      <c r="A256" s="419" t="s">
        <v>629</v>
      </c>
      <c r="B256" s="421">
        <v>1.283388199E9</v>
      </c>
      <c r="C256" s="419" t="s">
        <v>93</v>
      </c>
    </row>
    <row r="257">
      <c r="A257" s="419" t="s">
        <v>635</v>
      </c>
      <c r="B257" s="421">
        <v>1.061823414E9</v>
      </c>
      <c r="C257" s="419" t="s">
        <v>454</v>
      </c>
    </row>
    <row r="258">
      <c r="A258" s="419" t="s">
        <v>637</v>
      </c>
      <c r="B258" s="421">
        <v>1.011568562E9</v>
      </c>
      <c r="C258" s="419" t="s">
        <v>93</v>
      </c>
    </row>
    <row r="259">
      <c r="A259" s="419" t="s">
        <v>642</v>
      </c>
      <c r="B259" s="421">
        <v>1.013785972E9</v>
      </c>
      <c r="C259" s="419" t="s">
        <v>93</v>
      </c>
    </row>
    <row r="260">
      <c r="A260" s="419" t="s">
        <v>647</v>
      </c>
      <c r="B260" s="421">
        <v>1.224213009E9</v>
      </c>
      <c r="C260" s="419" t="s">
        <v>183</v>
      </c>
    </row>
    <row r="261">
      <c r="A261" s="419" t="s">
        <v>652</v>
      </c>
      <c r="B261" s="421">
        <v>1.271089006E9</v>
      </c>
      <c r="C261" s="419" t="s">
        <v>93</v>
      </c>
    </row>
    <row r="262">
      <c r="A262" s="419" t="s">
        <v>656</v>
      </c>
      <c r="B262" s="421">
        <v>1.002474525E9</v>
      </c>
      <c r="C262" s="419" t="s">
        <v>93</v>
      </c>
    </row>
    <row r="263">
      <c r="A263" s="419" t="s">
        <v>659</v>
      </c>
      <c r="B263" s="421">
        <v>1.224911235E9</v>
      </c>
      <c r="C263" s="419" t="s">
        <v>93</v>
      </c>
    </row>
    <row r="264">
      <c r="A264" s="419" t="s">
        <v>661</v>
      </c>
      <c r="B264" s="421">
        <v>1.222213881E9</v>
      </c>
      <c r="C264" s="419" t="s">
        <v>78</v>
      </c>
    </row>
    <row r="265">
      <c r="A265" s="419" t="s">
        <v>663</v>
      </c>
      <c r="B265" s="421">
        <v>1.008175944E9</v>
      </c>
      <c r="C265" s="419" t="s">
        <v>120</v>
      </c>
    </row>
    <row r="266">
      <c r="A266" s="419" t="s">
        <v>664</v>
      </c>
      <c r="B266" s="421">
        <v>1.278443951E9</v>
      </c>
      <c r="C266" s="419" t="s">
        <v>78</v>
      </c>
    </row>
    <row r="267">
      <c r="A267" s="419" t="s">
        <v>667</v>
      </c>
      <c r="B267" s="421">
        <v>1.22319171E9</v>
      </c>
      <c r="C267" s="419" t="s">
        <v>93</v>
      </c>
    </row>
    <row r="268">
      <c r="A268" s="419" t="s">
        <v>669</v>
      </c>
      <c r="B268" s="421">
        <v>1.285130625E9</v>
      </c>
      <c r="C268" s="419" t="s">
        <v>68</v>
      </c>
    </row>
    <row r="269">
      <c r="A269" s="419" t="s">
        <v>670</v>
      </c>
      <c r="B269" s="421">
        <v>1.007076232E9</v>
      </c>
      <c r="C269" s="419" t="s">
        <v>68</v>
      </c>
    </row>
    <row r="270">
      <c r="A270" s="419" t="s">
        <v>672</v>
      </c>
      <c r="B270" s="421">
        <v>1.225276756E9</v>
      </c>
      <c r="C270" s="419" t="s">
        <v>68</v>
      </c>
    </row>
    <row r="271">
      <c r="A271" s="419" t="s">
        <v>597</v>
      </c>
      <c r="B271" s="421">
        <v>1.222865561E9</v>
      </c>
      <c r="C271" s="419" t="s">
        <v>68</v>
      </c>
    </row>
    <row r="272">
      <c r="A272" s="419" t="s">
        <v>673</v>
      </c>
      <c r="B272" s="421">
        <v>1.227620985E9</v>
      </c>
      <c r="C272" s="419" t="s">
        <v>68</v>
      </c>
    </row>
    <row r="273">
      <c r="A273" s="419" t="s">
        <v>677</v>
      </c>
      <c r="B273" s="421">
        <v>1.225059966E9</v>
      </c>
      <c r="C273" s="419" t="s">
        <v>68</v>
      </c>
    </row>
    <row r="274">
      <c r="A274" s="419" t="s">
        <v>679</v>
      </c>
      <c r="B274" s="421">
        <v>1.225238343E9</v>
      </c>
      <c r="C274" s="419" t="s">
        <v>68</v>
      </c>
    </row>
    <row r="275">
      <c r="A275" s="419" t="s">
        <v>680</v>
      </c>
      <c r="B275" s="421">
        <v>1.228744173E9</v>
      </c>
      <c r="C275" s="419" t="s">
        <v>68</v>
      </c>
    </row>
    <row r="276">
      <c r="A276" s="419" t="s">
        <v>683</v>
      </c>
      <c r="B276" s="421">
        <v>1.066542381E9</v>
      </c>
      <c r="C276" s="419" t="s">
        <v>68</v>
      </c>
    </row>
    <row r="277">
      <c r="A277" s="419" t="s">
        <v>685</v>
      </c>
      <c r="B277" s="421">
        <v>1.280182868E9</v>
      </c>
      <c r="C277" s="419" t="s">
        <v>68</v>
      </c>
    </row>
    <row r="278">
      <c r="A278" s="419" t="s">
        <v>688</v>
      </c>
      <c r="B278" s="421">
        <v>1.274541584E9</v>
      </c>
      <c r="C278" s="419" t="s">
        <v>68</v>
      </c>
    </row>
    <row r="279">
      <c r="A279" s="419" t="s">
        <v>689</v>
      </c>
      <c r="B279" s="421">
        <v>1.285175611E9</v>
      </c>
      <c r="C279" s="419" t="s">
        <v>68</v>
      </c>
    </row>
    <row r="280">
      <c r="A280" s="419" t="s">
        <v>690</v>
      </c>
      <c r="B280" s="421">
        <v>1.276487681E9</v>
      </c>
      <c r="C280" s="419" t="s">
        <v>68</v>
      </c>
    </row>
    <row r="281">
      <c r="A281" s="419" t="s">
        <v>700</v>
      </c>
      <c r="B281" s="421">
        <v>1.285809383E9</v>
      </c>
      <c r="C281" s="419" t="s">
        <v>68</v>
      </c>
    </row>
    <row r="282">
      <c r="A282" s="419" t="s">
        <v>701</v>
      </c>
      <c r="B282" s="421">
        <v>1.223610513E9</v>
      </c>
      <c r="C282" s="419" t="s">
        <v>68</v>
      </c>
    </row>
    <row r="283">
      <c r="A283" s="419" t="s">
        <v>704</v>
      </c>
      <c r="B283" s="421">
        <v>1.288835563E9</v>
      </c>
      <c r="C283" s="419" t="s">
        <v>68</v>
      </c>
    </row>
    <row r="284">
      <c r="A284" s="419" t="s">
        <v>706</v>
      </c>
      <c r="B284" s="421">
        <v>1.022637568E9</v>
      </c>
      <c r="C284" s="419" t="s">
        <v>68</v>
      </c>
    </row>
    <row r="285">
      <c r="A285" s="419" t="s">
        <v>709</v>
      </c>
      <c r="B285" s="421">
        <v>1.285251725E9</v>
      </c>
      <c r="C285" s="419" t="s">
        <v>68</v>
      </c>
    </row>
    <row r="286">
      <c r="A286" s="419" t="s">
        <v>715</v>
      </c>
      <c r="B286" s="421" t="s">
        <v>68</v>
      </c>
      <c r="C286" s="419" t="s">
        <v>68</v>
      </c>
    </row>
    <row r="287">
      <c r="A287" s="419" t="s">
        <v>721</v>
      </c>
      <c r="B287" s="421" t="s">
        <v>68</v>
      </c>
      <c r="C287" s="419" t="s">
        <v>68</v>
      </c>
    </row>
    <row r="288">
      <c r="A288" s="419" t="s">
        <v>728</v>
      </c>
      <c r="B288" s="421" t="s">
        <v>68</v>
      </c>
      <c r="C288" s="419" t="s">
        <v>68</v>
      </c>
    </row>
    <row r="289">
      <c r="A289" s="419" t="s">
        <v>734</v>
      </c>
      <c r="B289" s="421" t="s">
        <v>68</v>
      </c>
      <c r="C289" s="419" t="s">
        <v>68</v>
      </c>
    </row>
    <row r="290">
      <c r="A290" s="419" t="s">
        <v>739</v>
      </c>
      <c r="B290" s="421" t="s">
        <v>68</v>
      </c>
      <c r="C290" s="419" t="s">
        <v>68</v>
      </c>
    </row>
    <row r="291">
      <c r="A291" s="419" t="s">
        <v>746</v>
      </c>
      <c r="B291" s="421" t="s">
        <v>68</v>
      </c>
      <c r="C291" s="419" t="s">
        <v>68</v>
      </c>
    </row>
    <row r="292">
      <c r="A292" s="419" t="s">
        <v>752</v>
      </c>
      <c r="B292" s="421">
        <v>1.013785972E9</v>
      </c>
      <c r="C292" s="419" t="s">
        <v>68</v>
      </c>
    </row>
    <row r="293">
      <c r="A293" s="419" t="s">
        <v>761</v>
      </c>
      <c r="B293" s="421">
        <v>1.552472885E9</v>
      </c>
      <c r="C293" s="419" t="s">
        <v>68</v>
      </c>
    </row>
    <row r="294">
      <c r="A294" s="419" t="s">
        <v>765</v>
      </c>
      <c r="B294" s="421">
        <v>1.28488439E9</v>
      </c>
      <c r="C294" s="419" t="s">
        <v>68</v>
      </c>
    </row>
    <row r="295">
      <c r="A295" s="419" t="s">
        <v>769</v>
      </c>
      <c r="B295" s="421">
        <v>1.272727208E9</v>
      </c>
      <c r="C295" s="419" t="s">
        <v>68</v>
      </c>
    </row>
    <row r="296">
      <c r="A296" s="419" t="s">
        <v>773</v>
      </c>
      <c r="B296" s="421">
        <v>1.223412309E9</v>
      </c>
      <c r="C296" s="419" t="s">
        <v>68</v>
      </c>
    </row>
    <row r="297">
      <c r="A297" s="419" t="s">
        <v>777</v>
      </c>
      <c r="B297" s="421">
        <v>1.220471589E9</v>
      </c>
      <c r="C297" s="419" t="s">
        <v>68</v>
      </c>
    </row>
    <row r="298">
      <c r="A298" s="419" t="s">
        <v>782</v>
      </c>
      <c r="B298" s="421" t="s">
        <v>68</v>
      </c>
      <c r="C298" s="419" t="s">
        <v>68</v>
      </c>
    </row>
    <row r="299">
      <c r="A299" s="419" t="s">
        <v>788</v>
      </c>
      <c r="B299" s="421">
        <v>1.205500703E9</v>
      </c>
      <c r="C299" s="419" t="s">
        <v>68</v>
      </c>
    </row>
    <row r="300">
      <c r="A300" s="419" t="s">
        <v>791</v>
      </c>
      <c r="B300" s="421" t="s">
        <v>68</v>
      </c>
      <c r="C300" s="419" t="s">
        <v>68</v>
      </c>
    </row>
    <row r="301">
      <c r="A301" s="419" t="s">
        <v>796</v>
      </c>
      <c r="B301" s="421" t="s">
        <v>68</v>
      </c>
      <c r="C301" s="419" t="s">
        <v>68</v>
      </c>
    </row>
    <row r="302">
      <c r="A302" s="419" t="s">
        <v>800</v>
      </c>
      <c r="B302" s="421">
        <v>1.277192123E9</v>
      </c>
      <c r="C302" s="419" t="s">
        <v>68</v>
      </c>
    </row>
    <row r="303">
      <c r="A303" s="419" t="s">
        <v>513</v>
      </c>
      <c r="B303" s="421">
        <v>1.001917805E9</v>
      </c>
      <c r="C303" s="419" t="s">
        <v>68</v>
      </c>
    </row>
    <row r="304">
      <c r="A304" s="419" t="s">
        <v>808</v>
      </c>
      <c r="B304" s="421">
        <v>1.211098386E9</v>
      </c>
      <c r="C304" s="419" t="s">
        <v>68</v>
      </c>
    </row>
    <row r="305">
      <c r="A305" s="419" t="s">
        <v>814</v>
      </c>
      <c r="B305" s="421">
        <v>1.287393031E9</v>
      </c>
      <c r="C305" s="419" t="s">
        <v>68</v>
      </c>
    </row>
    <row r="306">
      <c r="A306" s="419" t="s">
        <v>819</v>
      </c>
      <c r="B306" s="421">
        <v>1.201178823E9</v>
      </c>
      <c r="C306" s="419" t="s">
        <v>68</v>
      </c>
    </row>
    <row r="307">
      <c r="A307" s="419" t="s">
        <v>822</v>
      </c>
      <c r="B307" s="421">
        <v>1.22711212E9</v>
      </c>
      <c r="C307" s="419" t="s">
        <v>68</v>
      </c>
    </row>
    <row r="308">
      <c r="A308" s="419" t="s">
        <v>829</v>
      </c>
      <c r="B308" s="421">
        <v>1.020149364E9</v>
      </c>
      <c r="C308" s="419" t="s">
        <v>68</v>
      </c>
    </row>
    <row r="309">
      <c r="A309" s="419" t="s">
        <v>833</v>
      </c>
      <c r="B309" s="421">
        <v>1.284451453E9</v>
      </c>
      <c r="C309" s="419" t="s">
        <v>68</v>
      </c>
    </row>
    <row r="310">
      <c r="A310" s="419" t="s">
        <v>839</v>
      </c>
      <c r="B310" s="421">
        <v>1.229620009E9</v>
      </c>
      <c r="C310" s="419" t="s">
        <v>68</v>
      </c>
    </row>
    <row r="311">
      <c r="A311" s="419" t="s">
        <v>844</v>
      </c>
      <c r="B311" s="421">
        <v>1.279406075E9</v>
      </c>
      <c r="C311" s="419" t="s">
        <v>68</v>
      </c>
    </row>
    <row r="312">
      <c r="A312" s="419" t="s">
        <v>849</v>
      </c>
      <c r="B312" s="421">
        <v>1.099686586E9</v>
      </c>
      <c r="C312" s="419" t="s">
        <v>68</v>
      </c>
    </row>
    <row r="313">
      <c r="A313" s="419" t="s">
        <v>855</v>
      </c>
      <c r="B313" s="421">
        <v>1.222245694E9</v>
      </c>
      <c r="C313" s="419" t="s">
        <v>68</v>
      </c>
    </row>
    <row r="314">
      <c r="A314" s="419" t="s">
        <v>859</v>
      </c>
      <c r="B314" s="421">
        <v>1.228256668E9</v>
      </c>
      <c r="C314" s="419" t="s">
        <v>68</v>
      </c>
    </row>
    <row r="315">
      <c r="A315" s="419" t="s">
        <v>861</v>
      </c>
      <c r="B315" s="421">
        <v>1.28313847E9</v>
      </c>
      <c r="C315" s="419"/>
    </row>
    <row r="316">
      <c r="A316" s="419" t="s">
        <v>869</v>
      </c>
      <c r="B316" s="421">
        <v>1.288201186E9</v>
      </c>
      <c r="C316" s="419"/>
    </row>
    <row r="317">
      <c r="A317" s="419" t="s">
        <v>873</v>
      </c>
      <c r="B317" s="421" t="s">
        <v>874</v>
      </c>
      <c r="C317" s="419"/>
    </row>
    <row r="318">
      <c r="A318" s="419" t="s">
        <v>877</v>
      </c>
      <c r="B318" s="421">
        <v>1.205980164E9</v>
      </c>
      <c r="C318" s="419"/>
    </row>
    <row r="319">
      <c r="A319" s="419" t="s">
        <v>884</v>
      </c>
      <c r="B319" s="421">
        <v>1.278953752E9</v>
      </c>
      <c r="C319" s="419"/>
    </row>
    <row r="320">
      <c r="A320" s="419" t="s">
        <v>891</v>
      </c>
      <c r="B320" s="421">
        <v>1.28666025E9</v>
      </c>
      <c r="C320" s="419"/>
    </row>
    <row r="321">
      <c r="A321" s="419" t="s">
        <v>894</v>
      </c>
      <c r="B321" s="421">
        <v>1.286829437E9</v>
      </c>
      <c r="C321" s="419"/>
    </row>
    <row r="322">
      <c r="A322" s="419" t="s">
        <v>897</v>
      </c>
      <c r="B322" s="421">
        <v>1.276513616E9</v>
      </c>
      <c r="C322" s="419"/>
    </row>
    <row r="323">
      <c r="A323" s="419" t="s">
        <v>900</v>
      </c>
      <c r="B323" s="421">
        <v>1.280864411E9</v>
      </c>
      <c r="C323" s="419"/>
    </row>
    <row r="324">
      <c r="A324" s="419" t="s">
        <v>903</v>
      </c>
      <c r="B324" s="421">
        <v>1.090707425E9</v>
      </c>
      <c r="C324" s="419"/>
    </row>
    <row r="325">
      <c r="A325" s="419" t="s">
        <v>906</v>
      </c>
      <c r="B325" s="421"/>
      <c r="C325" s="419"/>
    </row>
    <row r="326">
      <c r="A326" s="419" t="s">
        <v>908</v>
      </c>
      <c r="B326" s="421">
        <v>1.228798939E9</v>
      </c>
      <c r="C326" s="419"/>
    </row>
    <row r="327">
      <c r="A327" s="419" t="s">
        <v>912</v>
      </c>
      <c r="B327" s="421"/>
      <c r="C327" s="419"/>
    </row>
    <row r="328">
      <c r="A328" s="419" t="s">
        <v>915</v>
      </c>
      <c r="B328" s="421">
        <v>1.280080079E9</v>
      </c>
      <c r="C328" s="419"/>
    </row>
    <row r="329">
      <c r="A329" s="419" t="s">
        <v>917</v>
      </c>
      <c r="B329" s="421"/>
      <c r="C329" s="419"/>
    </row>
    <row r="330">
      <c r="A330" s="419" t="s">
        <v>920</v>
      </c>
      <c r="B330" s="421">
        <v>1.202439821E9</v>
      </c>
      <c r="C330" s="419"/>
    </row>
    <row r="331">
      <c r="A331" s="419" t="s">
        <v>923</v>
      </c>
      <c r="B331" s="421">
        <v>1.14257051E9</v>
      </c>
      <c r="C331" s="419"/>
    </row>
    <row r="332">
      <c r="A332" s="419" t="s">
        <v>926</v>
      </c>
      <c r="B332" s="421">
        <v>1.276294332E9</v>
      </c>
      <c r="C332" s="419"/>
    </row>
    <row r="333">
      <c r="A333" s="419" t="s">
        <v>928</v>
      </c>
      <c r="B333" s="421" t="s">
        <v>929</v>
      </c>
      <c r="C333" s="419"/>
    </row>
    <row r="334">
      <c r="A334" s="419" t="s">
        <v>932</v>
      </c>
      <c r="B334" s="421">
        <v>1.273502351E9</v>
      </c>
      <c r="C334" s="419"/>
    </row>
    <row r="335">
      <c r="A335" s="419" t="s">
        <v>936</v>
      </c>
      <c r="B335" s="421">
        <v>1.222662946E9</v>
      </c>
      <c r="C335" s="419"/>
    </row>
    <row r="336">
      <c r="A336" s="419" t="s">
        <v>938</v>
      </c>
      <c r="B336" s="421"/>
      <c r="C336" s="419"/>
    </row>
    <row r="337">
      <c r="A337" s="419" t="s">
        <v>941</v>
      </c>
      <c r="B337" s="421"/>
      <c r="C337" s="419"/>
    </row>
    <row r="338">
      <c r="A338" s="419" t="s">
        <v>944</v>
      </c>
      <c r="B338" s="421">
        <v>1.223035422E9</v>
      </c>
      <c r="C338" s="419"/>
    </row>
    <row r="339">
      <c r="A339" s="419" t="s">
        <v>947</v>
      </c>
      <c r="B339" s="421">
        <v>1.277221814E9</v>
      </c>
      <c r="C339" s="419"/>
    </row>
    <row r="340">
      <c r="A340" s="419" t="s">
        <v>951</v>
      </c>
      <c r="B340" s="421">
        <v>1.276792881E9</v>
      </c>
      <c r="C340" s="419"/>
    </row>
    <row r="341">
      <c r="A341" s="419" t="s">
        <v>955</v>
      </c>
      <c r="B341" s="421">
        <v>1.28098977E9</v>
      </c>
      <c r="C341" s="419"/>
    </row>
    <row r="342">
      <c r="A342" s="419" t="s">
        <v>957</v>
      </c>
      <c r="B342" s="421">
        <v>1.211982488E9</v>
      </c>
      <c r="C342" s="419"/>
    </row>
    <row r="343">
      <c r="A343" s="419" t="s">
        <v>958</v>
      </c>
      <c r="B343" s="421"/>
      <c r="C343" s="419"/>
    </row>
    <row r="344">
      <c r="A344" s="419" t="s">
        <v>961</v>
      </c>
      <c r="B344" s="421">
        <v>1.221964646E9</v>
      </c>
      <c r="C344" s="419"/>
    </row>
    <row r="345">
      <c r="A345" s="419" t="s">
        <v>964</v>
      </c>
      <c r="B345" s="421">
        <v>1.28504514E9</v>
      </c>
      <c r="C345" s="419"/>
    </row>
    <row r="346">
      <c r="A346" s="419" t="s">
        <v>970</v>
      </c>
      <c r="B346" s="421">
        <v>1.22978958E9</v>
      </c>
      <c r="C346" s="419"/>
    </row>
    <row r="347">
      <c r="A347" s="419" t="s">
        <v>972</v>
      </c>
      <c r="B347" s="421">
        <v>1.211003999E9</v>
      </c>
      <c r="C347" s="419"/>
    </row>
    <row r="348">
      <c r="A348" s="419" t="s">
        <v>977</v>
      </c>
      <c r="B348" s="421">
        <v>1.276573824E9</v>
      </c>
      <c r="C348" s="419"/>
    </row>
    <row r="349">
      <c r="A349" s="419" t="s">
        <v>980</v>
      </c>
      <c r="B349" s="421">
        <v>1.200614408E9</v>
      </c>
      <c r="C349" s="419"/>
    </row>
    <row r="350">
      <c r="A350" s="419" t="s">
        <v>984</v>
      </c>
      <c r="B350" s="421"/>
      <c r="C350" s="419"/>
    </row>
    <row r="351">
      <c r="A351" s="419" t="s">
        <v>987</v>
      </c>
      <c r="B351" s="421">
        <v>1.206400509E9</v>
      </c>
      <c r="C351" s="419"/>
    </row>
    <row r="352">
      <c r="A352" s="419" t="s">
        <v>990</v>
      </c>
      <c r="B352" s="421">
        <v>1.20585498E9</v>
      </c>
      <c r="C352" s="419"/>
    </row>
    <row r="353">
      <c r="A353" s="419" t="s">
        <v>994</v>
      </c>
      <c r="B353" s="421">
        <v>1.229689064E9</v>
      </c>
      <c r="C353" s="419"/>
    </row>
    <row r="354">
      <c r="A354" s="419" t="s">
        <v>997</v>
      </c>
      <c r="B354" s="421">
        <v>1.224158064E9</v>
      </c>
      <c r="C354" s="419"/>
    </row>
    <row r="355">
      <c r="A355" s="419" t="s">
        <v>999</v>
      </c>
      <c r="B355" s="421">
        <v>1.004880409E9</v>
      </c>
      <c r="C355" s="419"/>
    </row>
    <row r="356">
      <c r="A356" s="419" t="s">
        <v>1002</v>
      </c>
      <c r="B356" s="421">
        <v>1.226727302E9</v>
      </c>
      <c r="C356" s="419"/>
    </row>
    <row r="357">
      <c r="A357" s="419" t="s">
        <v>1004</v>
      </c>
      <c r="B357" s="421"/>
      <c r="C357" s="419"/>
    </row>
    <row r="358">
      <c r="A358" s="419" t="s">
        <v>1006</v>
      </c>
      <c r="B358" s="421">
        <v>1.202440208E9</v>
      </c>
      <c r="C358" s="419"/>
    </row>
    <row r="359">
      <c r="A359" s="419" t="s">
        <v>1009</v>
      </c>
      <c r="B359" s="421">
        <v>1.273555752E9</v>
      </c>
      <c r="C359" s="419"/>
    </row>
    <row r="360">
      <c r="A360" s="419" t="s">
        <v>1013</v>
      </c>
      <c r="B360" s="421">
        <v>1.221456551E9</v>
      </c>
      <c r="C360" s="419"/>
    </row>
    <row r="361">
      <c r="A361" s="419" t="s">
        <v>1016</v>
      </c>
      <c r="B361" s="421">
        <v>1.202002267E9</v>
      </c>
      <c r="C361" s="419"/>
    </row>
    <row r="362">
      <c r="A362" s="419" t="s">
        <v>1020</v>
      </c>
      <c r="B362" s="421">
        <v>1.286442201E9</v>
      </c>
      <c r="C362" s="419"/>
    </row>
    <row r="363">
      <c r="A363" s="419" t="s">
        <v>1023</v>
      </c>
      <c r="B363" s="421">
        <v>1.276034231E9</v>
      </c>
      <c r="C363" s="419"/>
    </row>
    <row r="364">
      <c r="A364" s="419" t="s">
        <v>1026</v>
      </c>
      <c r="B364" s="421">
        <v>1.272141188E9</v>
      </c>
      <c r="C364" s="419"/>
    </row>
    <row r="365">
      <c r="A365" s="419" t="s">
        <v>1029</v>
      </c>
      <c r="B365" s="421">
        <v>1.22720363E9</v>
      </c>
      <c r="C365" s="419"/>
    </row>
    <row r="366">
      <c r="A366" s="419" t="s">
        <v>1032</v>
      </c>
      <c r="B366" s="421">
        <v>1.287344133E9</v>
      </c>
      <c r="C366" s="419"/>
    </row>
    <row r="367">
      <c r="A367" s="419" t="s">
        <v>1036</v>
      </c>
      <c r="B367" s="421">
        <v>1.224446884E9</v>
      </c>
      <c r="C367" s="419"/>
    </row>
    <row r="368">
      <c r="A368" s="419" t="s">
        <v>1038</v>
      </c>
      <c r="B368" s="421">
        <v>1.206904512E9</v>
      </c>
      <c r="C368" s="419"/>
    </row>
    <row r="369">
      <c r="A369" s="419" t="s">
        <v>1039</v>
      </c>
      <c r="B369" s="421" t="s">
        <v>1040</v>
      </c>
      <c r="C369" s="419"/>
    </row>
    <row r="370">
      <c r="A370" s="419" t="s">
        <v>1042</v>
      </c>
      <c r="B370" s="421">
        <v>1.006033662E9</v>
      </c>
      <c r="C370" s="419"/>
    </row>
    <row r="371">
      <c r="A371" s="419" t="s">
        <v>1043</v>
      </c>
      <c r="B371" s="421">
        <v>1.224382874E9</v>
      </c>
      <c r="C371" s="419"/>
    </row>
    <row r="372">
      <c r="A372" s="419" t="s">
        <v>1048</v>
      </c>
      <c r="B372" s="421">
        <v>1.274841748E9</v>
      </c>
      <c r="C372" s="419"/>
    </row>
    <row r="373">
      <c r="A373" s="419" t="s">
        <v>1050</v>
      </c>
      <c r="B373" s="421">
        <v>1.27285054E9</v>
      </c>
      <c r="C373" s="419"/>
    </row>
    <row r="374">
      <c r="A374" s="419">
        <v>1.27285054E9</v>
      </c>
      <c r="B374" s="421"/>
      <c r="C374" s="419"/>
    </row>
    <row r="375">
      <c r="A375" s="419" t="s">
        <v>1055</v>
      </c>
      <c r="B375" s="421">
        <v>1.223909649E9</v>
      </c>
      <c r="C375" s="419"/>
    </row>
    <row r="376">
      <c r="A376" s="419" t="s">
        <v>1057</v>
      </c>
      <c r="B376" s="421">
        <v>1.205307869E9</v>
      </c>
      <c r="C376" s="419"/>
    </row>
    <row r="377">
      <c r="A377" s="419" t="s">
        <v>1060</v>
      </c>
      <c r="B377" s="421">
        <v>1.092585718E9</v>
      </c>
      <c r="C377" s="419"/>
    </row>
    <row r="378">
      <c r="A378" s="419" t="s">
        <v>1061</v>
      </c>
      <c r="B378" s="421">
        <v>1.224865342E9</v>
      </c>
      <c r="C378" s="419"/>
    </row>
    <row r="379">
      <c r="A379" s="419" t="s">
        <v>1063</v>
      </c>
      <c r="B379" s="421">
        <v>1.206099448E9</v>
      </c>
      <c r="C379" s="419"/>
    </row>
    <row r="380">
      <c r="A380" s="419" t="s">
        <v>1067</v>
      </c>
      <c r="B380" s="421">
        <v>1.203767596E9</v>
      </c>
      <c r="C380" s="419"/>
    </row>
    <row r="381">
      <c r="A381" s="419" t="s">
        <v>1069</v>
      </c>
      <c r="B381" s="421">
        <v>1.226820428E9</v>
      </c>
      <c r="C381" s="419"/>
    </row>
    <row r="382">
      <c r="A382" s="419" t="s">
        <v>1073</v>
      </c>
      <c r="B382" s="421"/>
      <c r="C382" s="419"/>
    </row>
    <row r="383">
      <c r="A383" s="419" t="s">
        <v>1076</v>
      </c>
      <c r="B383" s="421">
        <v>1.065655881E9</v>
      </c>
      <c r="C383" s="419"/>
    </row>
    <row r="384">
      <c r="A384" s="419" t="s">
        <v>1079</v>
      </c>
      <c r="B384" s="421">
        <v>1.274974795E9</v>
      </c>
      <c r="C384" s="419"/>
    </row>
    <row r="385">
      <c r="A385" s="419" t="s">
        <v>1083</v>
      </c>
      <c r="B385" s="421">
        <v>1.273913547E9</v>
      </c>
      <c r="C385" s="419"/>
    </row>
    <row r="386">
      <c r="A386" s="419" t="s">
        <v>1085</v>
      </c>
      <c r="B386" s="421">
        <v>1.200353336E9</v>
      </c>
      <c r="C386" s="419"/>
    </row>
    <row r="387">
      <c r="A387" s="419" t="s">
        <v>1088</v>
      </c>
      <c r="B387" s="421">
        <v>1.285444292E9</v>
      </c>
      <c r="C387" s="419"/>
    </row>
    <row r="388">
      <c r="A388" s="419" t="s">
        <v>1090</v>
      </c>
      <c r="B388" s="421">
        <v>1.284891555E9</v>
      </c>
      <c r="C388" s="419"/>
    </row>
    <row r="389">
      <c r="A389" s="419" t="s">
        <v>1093</v>
      </c>
      <c r="B389" s="421">
        <v>1.22030727E9</v>
      </c>
      <c r="C389" s="419"/>
    </row>
    <row r="390">
      <c r="A390" s="419" t="s">
        <v>1094</v>
      </c>
      <c r="B390" s="421"/>
      <c r="C390" s="419"/>
    </row>
    <row r="391">
      <c r="A391" s="419" t="s">
        <v>1095</v>
      </c>
      <c r="B391" s="421">
        <v>1.270119897E9</v>
      </c>
      <c r="C391" s="419"/>
    </row>
    <row r="392">
      <c r="A392" s="419" t="s">
        <v>1096</v>
      </c>
      <c r="B392" s="421">
        <v>1.068358873E9</v>
      </c>
      <c r="C392" s="419"/>
    </row>
    <row r="393">
      <c r="A393" s="419" t="s">
        <v>1100</v>
      </c>
      <c r="B393" s="421">
        <v>1.226906865E9</v>
      </c>
      <c r="C393" s="419"/>
    </row>
    <row r="394">
      <c r="A394" s="419" t="s">
        <v>1101</v>
      </c>
      <c r="B394" s="421">
        <v>1.276918689E9</v>
      </c>
      <c r="C394" s="419"/>
    </row>
    <row r="395">
      <c r="A395" s="419" t="s">
        <v>1102</v>
      </c>
      <c r="B395" s="421">
        <v>1.204303095E9</v>
      </c>
      <c r="C395" s="419"/>
    </row>
    <row r="396">
      <c r="A396" s="419" t="s">
        <v>1103</v>
      </c>
      <c r="B396" s="421">
        <v>1.28117781E9</v>
      </c>
      <c r="C396" s="419"/>
    </row>
    <row r="397">
      <c r="A397" s="419" t="s">
        <v>1106</v>
      </c>
      <c r="B397" s="421">
        <v>1.012546299E9</v>
      </c>
      <c r="C397" s="419"/>
    </row>
    <row r="398">
      <c r="A398" s="419" t="s">
        <v>1107</v>
      </c>
      <c r="B398" s="421">
        <v>1.225254582E9</v>
      </c>
      <c r="C398" s="419"/>
    </row>
    <row r="399">
      <c r="A399" s="419" t="s">
        <v>1108</v>
      </c>
      <c r="B399" s="421"/>
      <c r="C399" s="419"/>
    </row>
    <row r="400">
      <c r="A400" s="419" t="s">
        <v>1111</v>
      </c>
      <c r="B400" s="421">
        <v>1.288682578E9</v>
      </c>
      <c r="C400" s="419"/>
    </row>
    <row r="401">
      <c r="A401" s="419" t="s">
        <v>1113</v>
      </c>
      <c r="B401" s="421">
        <v>1.275573192E9</v>
      </c>
      <c r="C401" s="419"/>
    </row>
    <row r="402">
      <c r="A402" s="419" t="s">
        <v>1115</v>
      </c>
      <c r="B402" s="421">
        <v>1.500077498E9</v>
      </c>
      <c r="C402" s="419"/>
    </row>
    <row r="403">
      <c r="A403" s="419" t="s">
        <v>1118</v>
      </c>
      <c r="B403" s="421">
        <v>1.275477954E9</v>
      </c>
      <c r="C403" s="419"/>
    </row>
    <row r="404">
      <c r="A404" s="419" t="s">
        <v>1119</v>
      </c>
      <c r="B404" s="421" t="s">
        <v>1120</v>
      </c>
      <c r="C404" s="419"/>
    </row>
    <row r="405">
      <c r="A405" s="419" t="s">
        <v>1122</v>
      </c>
      <c r="B405" s="421" t="s">
        <v>1120</v>
      </c>
      <c r="C405" s="419"/>
    </row>
    <row r="406">
      <c r="A406" s="419" t="s">
        <v>1126</v>
      </c>
      <c r="B406" s="421">
        <v>1.222105694E9</v>
      </c>
      <c r="C406" s="419"/>
    </row>
    <row r="407">
      <c r="A407" s="419" t="s">
        <v>1129</v>
      </c>
      <c r="B407" s="421">
        <v>1.229385164E9</v>
      </c>
      <c r="C407" s="419"/>
    </row>
    <row r="408">
      <c r="A408" s="419" t="s">
        <v>1132</v>
      </c>
      <c r="B408" s="421"/>
      <c r="C408" s="419"/>
    </row>
    <row r="409">
      <c r="A409" s="419" t="s">
        <v>1134</v>
      </c>
      <c r="B409" s="421">
        <v>1.033901039E9</v>
      </c>
      <c r="C409" s="419"/>
    </row>
    <row r="410">
      <c r="A410" s="419" t="s">
        <v>1137</v>
      </c>
      <c r="B410" s="421">
        <v>1.224819962E9</v>
      </c>
      <c r="C410" s="419"/>
    </row>
    <row r="411">
      <c r="A411" s="419" t="s">
        <v>1140</v>
      </c>
      <c r="B411" s="421">
        <v>1.224819962E9</v>
      </c>
      <c r="C411" s="419"/>
    </row>
    <row r="412">
      <c r="A412" s="419" t="s">
        <v>1143</v>
      </c>
      <c r="B412" s="421">
        <v>1.278715174E9</v>
      </c>
      <c r="C412" s="419"/>
    </row>
    <row r="413">
      <c r="A413" s="419" t="s">
        <v>1146</v>
      </c>
      <c r="B413" s="421">
        <v>1.205998807E9</v>
      </c>
      <c r="C413" s="419"/>
    </row>
    <row r="414">
      <c r="A414" s="419"/>
      <c r="B414" s="403"/>
      <c r="C414" s="4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9" width="15.13"/>
    <col customWidth="1" hidden="1" min="10" max="11" width="15.13"/>
    <col customWidth="1" min="12" max="15" width="15.13"/>
  </cols>
  <sheetData>
    <row r="1">
      <c r="A1" s="429"/>
      <c r="B1" s="429"/>
      <c r="C1" s="429"/>
      <c r="D1" s="429"/>
      <c r="E1" s="429"/>
      <c r="F1" s="429"/>
      <c r="G1" s="429"/>
      <c r="H1" s="429"/>
      <c r="I1" s="429"/>
      <c r="J1" s="430" t="s">
        <v>1218</v>
      </c>
    </row>
    <row r="2">
      <c r="A2" s="429"/>
      <c r="B2" s="431" t="s">
        <v>1219</v>
      </c>
      <c r="I2" s="429"/>
      <c r="J2" s="430" t="s">
        <v>542</v>
      </c>
      <c r="K2" s="419">
        <f>SUM(Orders!K:K)</f>
        <v>250102</v>
      </c>
    </row>
    <row r="3">
      <c r="A3" s="429"/>
      <c r="I3" s="429"/>
      <c r="J3" s="430" t="s">
        <v>1221</v>
      </c>
      <c r="K3" s="419">
        <f>SUM(Orders!L:L) + SUM(Orders!Q:Q)</f>
        <v>213066</v>
      </c>
    </row>
    <row r="4">
      <c r="A4" s="429"/>
      <c r="B4" s="429"/>
      <c r="C4" s="429"/>
      <c r="D4" s="429"/>
      <c r="E4" s="429"/>
      <c r="F4" s="429"/>
      <c r="G4" s="429"/>
      <c r="H4" s="429"/>
      <c r="I4" s="429"/>
      <c r="J4" s="430" t="s">
        <v>1222</v>
      </c>
      <c r="K4" s="437">
        <f>SUM(Orders!S:S)</f>
        <v>35798</v>
      </c>
    </row>
    <row r="5">
      <c r="A5" s="429"/>
      <c r="B5" s="429"/>
      <c r="C5" s="429"/>
      <c r="D5" s="429"/>
      <c r="E5" s="429"/>
      <c r="F5" s="429"/>
      <c r="G5" s="429"/>
      <c r="H5" s="429"/>
      <c r="I5" s="429"/>
    </row>
    <row r="6">
      <c r="A6" s="429"/>
      <c r="B6" s="429"/>
      <c r="C6" s="429"/>
      <c r="D6" s="429"/>
      <c r="E6" s="429"/>
      <c r="F6" s="429"/>
      <c r="G6" s="429"/>
      <c r="H6" s="429"/>
      <c r="I6" s="429"/>
      <c r="J6" s="430" t="s">
        <v>1223</v>
      </c>
    </row>
    <row r="7">
      <c r="A7" s="429"/>
      <c r="B7" s="429"/>
      <c r="C7" s="429"/>
      <c r="D7" s="429"/>
      <c r="E7" s="429"/>
      <c r="F7" s="429"/>
      <c r="G7" s="429"/>
      <c r="H7" s="429"/>
      <c r="I7" s="429"/>
      <c r="J7" s="440" t="s">
        <v>73</v>
      </c>
      <c r="K7" s="419">
        <f>COUNTIF(Orders!M:M, "*Instapay*") + COUNTIF(Orders!R:R, "*Instapay*")</f>
        <v>578</v>
      </c>
    </row>
    <row r="8">
      <c r="A8" s="429"/>
      <c r="B8" s="429"/>
      <c r="C8" s="429"/>
      <c r="D8" s="429"/>
      <c r="E8" s="429"/>
      <c r="F8" s="429"/>
      <c r="G8" s="429"/>
      <c r="H8" s="429"/>
      <c r="I8" s="429"/>
      <c r="J8" s="440" t="s">
        <v>1228</v>
      </c>
      <c r="K8" s="419">
        <f>COUNTIF(Orders!M:M, "*VF*") + COUNTIF(Orders!R:R, "*VF*")</f>
        <v>42</v>
      </c>
    </row>
    <row r="9">
      <c r="A9" s="429"/>
      <c r="B9" s="429"/>
      <c r="C9" s="429"/>
      <c r="D9" s="429"/>
      <c r="E9" s="429"/>
      <c r="F9" s="429"/>
      <c r="G9" s="429"/>
      <c r="H9" s="429"/>
      <c r="I9" s="429"/>
      <c r="J9" s="440" t="s">
        <v>271</v>
      </c>
      <c r="K9" s="419">
        <f>COUNTIF(Orders!M:M, "*Cash*") + COUNTIF(Orders!R:R, "*Cash*")</f>
        <v>44</v>
      </c>
    </row>
    <row r="10">
      <c r="A10" s="429"/>
      <c r="B10" s="429"/>
      <c r="C10" s="429"/>
      <c r="D10" s="429"/>
      <c r="E10" s="429"/>
      <c r="F10" s="429"/>
      <c r="G10" s="429"/>
      <c r="H10" s="429"/>
      <c r="I10" s="429"/>
      <c r="J10" s="440" t="s">
        <v>1229</v>
      </c>
      <c r="K10" s="419">
        <f>COUNTIF(Orders!M:M, "*Visa post*") + COUNTIF(Orders!R:R, "*Visa post*") + COUNTIF(Orders!R:R, "*Postaa*")</f>
        <v>152</v>
      </c>
    </row>
    <row r="11">
      <c r="A11" s="429"/>
      <c r="B11" s="429"/>
      <c r="C11" s="429"/>
      <c r="D11" s="429"/>
      <c r="E11" s="429"/>
      <c r="F11" s="429"/>
      <c r="G11" s="429"/>
      <c r="H11" s="429"/>
      <c r="I11" s="429"/>
      <c r="J11" s="430" t="s">
        <v>546</v>
      </c>
      <c r="K11" s="419">
        <f>COUNTA(Orders!M:M) + COUNTA(Orders!R:R) - SUM(K7:K10) - 2</f>
        <v>193</v>
      </c>
    </row>
    <row r="12">
      <c r="A12" s="429"/>
      <c r="B12" s="429"/>
      <c r="C12" s="429"/>
      <c r="D12" s="429"/>
      <c r="E12" s="429"/>
      <c r="F12" s="429"/>
      <c r="G12" s="429"/>
      <c r="H12" s="429"/>
      <c r="I12" s="429"/>
    </row>
    <row r="13">
      <c r="A13" s="429"/>
      <c r="B13" s="429"/>
      <c r="C13" s="429"/>
      <c r="D13" s="429"/>
      <c r="E13" s="429"/>
      <c r="F13" s="429"/>
      <c r="G13" s="429"/>
      <c r="H13" s="429"/>
      <c r="I13" s="429"/>
      <c r="J13" s="430" t="s">
        <v>1231</v>
      </c>
    </row>
    <row r="14">
      <c r="A14" s="429"/>
      <c r="B14" s="429"/>
      <c r="C14" s="429"/>
      <c r="D14" s="429"/>
      <c r="E14" s="429"/>
      <c r="F14" s="429"/>
      <c r="G14" s="429"/>
      <c r="H14" s="429"/>
      <c r="I14" s="429"/>
      <c r="J14" s="430" t="s">
        <v>1232</v>
      </c>
      <c r="K14" s="419">
        <f>SUM(Expenses!A2:A1000)</f>
        <v>27096</v>
      </c>
    </row>
    <row r="15">
      <c r="A15" s="429"/>
      <c r="B15" s="429"/>
      <c r="C15" s="429"/>
      <c r="D15" s="429"/>
      <c r="E15" s="429"/>
      <c r="F15" s="429"/>
      <c r="G15" s="429"/>
      <c r="H15" s="429"/>
      <c r="I15" s="429"/>
      <c r="J15" s="430" t="s">
        <v>1233</v>
      </c>
      <c r="K15" s="419">
        <f>SUM('محفظتي'!AG2:AG1000)</f>
        <v>54670</v>
      </c>
    </row>
    <row r="16">
      <c r="A16" s="429"/>
      <c r="B16" s="429"/>
      <c r="C16" s="429"/>
      <c r="D16" s="429"/>
      <c r="E16" s="429"/>
      <c r="F16" s="429"/>
      <c r="G16" s="429"/>
      <c r="H16" s="429"/>
      <c r="I16" s="429"/>
      <c r="J16" s="430" t="s">
        <v>1234</v>
      </c>
      <c r="K16" s="419">
        <f>SUMPRODUCT(Products!E2:E92, Products!H2:H92)</f>
        <v>15569</v>
      </c>
    </row>
    <row r="17">
      <c r="A17" s="429"/>
      <c r="B17" s="429"/>
      <c r="C17" s="429"/>
      <c r="D17" s="429"/>
      <c r="E17" s="429"/>
      <c r="F17" s="429"/>
      <c r="G17" s="429"/>
      <c r="H17" s="429"/>
      <c r="I17" s="429"/>
      <c r="J17" s="430" t="s">
        <v>1235</v>
      </c>
      <c r="K17" s="419">
        <f>SUMPRODUCT(Products!C2:C92, Products!H2:H92)</f>
        <v>141604</v>
      </c>
    </row>
    <row r="18">
      <c r="A18" s="429"/>
      <c r="B18" s="429"/>
      <c r="C18" s="429"/>
      <c r="D18" s="429"/>
      <c r="E18" s="429"/>
      <c r="F18" s="429"/>
      <c r="G18" s="429"/>
      <c r="H18" s="429"/>
      <c r="I18" s="429"/>
    </row>
    <row r="19">
      <c r="A19" s="429"/>
      <c r="B19" s="429"/>
      <c r="C19" s="429"/>
      <c r="D19" s="429"/>
      <c r="E19" s="429"/>
      <c r="F19" s="429"/>
      <c r="G19" s="429"/>
      <c r="H19" s="429"/>
      <c r="I19" s="429"/>
    </row>
    <row r="20">
      <c r="A20" s="429"/>
      <c r="B20" s="429"/>
      <c r="C20" s="429"/>
      <c r="D20" s="429"/>
      <c r="E20" s="429"/>
      <c r="F20" s="429"/>
      <c r="G20" s="429"/>
      <c r="H20" s="429"/>
      <c r="I20" s="429"/>
    </row>
    <row r="21">
      <c r="A21" s="429"/>
      <c r="B21" s="429"/>
      <c r="C21" s="429"/>
      <c r="D21" s="429"/>
      <c r="E21" s="429"/>
      <c r="F21" s="429"/>
      <c r="G21" s="429"/>
      <c r="H21" s="429"/>
      <c r="I21" s="429"/>
    </row>
    <row r="22">
      <c r="A22" s="429"/>
      <c r="B22" s="429"/>
      <c r="C22" s="429"/>
      <c r="D22" s="429"/>
      <c r="E22" s="429"/>
      <c r="F22" s="429"/>
      <c r="G22" s="429"/>
      <c r="H22" s="429"/>
      <c r="I22" s="429"/>
    </row>
    <row r="23">
      <c r="A23" s="429"/>
      <c r="B23" s="429"/>
      <c r="C23" s="429"/>
      <c r="D23" s="429"/>
      <c r="E23" s="429"/>
      <c r="F23" s="429"/>
      <c r="G23" s="429"/>
      <c r="H23" s="429"/>
      <c r="I23" s="429"/>
    </row>
    <row r="24">
      <c r="A24" s="429"/>
      <c r="B24" s="429"/>
      <c r="C24" s="429"/>
      <c r="D24" s="429"/>
      <c r="E24" s="429"/>
      <c r="F24" s="429"/>
      <c r="G24" s="429"/>
      <c r="H24" s="429"/>
      <c r="I24" s="429"/>
    </row>
    <row r="25">
      <c r="A25" s="429"/>
      <c r="B25" s="429"/>
      <c r="C25" s="429"/>
      <c r="D25" s="429"/>
      <c r="E25" s="429"/>
      <c r="F25" s="429"/>
      <c r="G25" s="429"/>
      <c r="H25" s="429"/>
      <c r="I25" s="429"/>
    </row>
  </sheetData>
  <mergeCells count="1">
    <mergeCell ref="B2:H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.25"/>
    <col customWidth="1" min="3" max="3" width="8.5"/>
    <col customWidth="1" min="4" max="4" width="7.88"/>
    <col customWidth="1" min="5" max="5" width="10.75"/>
    <col customWidth="1" min="6" max="6" width="11.25"/>
  </cols>
  <sheetData>
    <row r="1">
      <c r="A1" s="448" t="s">
        <v>1239</v>
      </c>
      <c r="B1" s="448" t="s">
        <v>1240</v>
      </c>
      <c r="C1" s="448" t="s">
        <v>1241</v>
      </c>
      <c r="D1" s="448" t="s">
        <v>1242</v>
      </c>
      <c r="E1" s="448" t="s">
        <v>1243</v>
      </c>
      <c r="F1" s="448" t="s">
        <v>1244</v>
      </c>
    </row>
    <row r="2">
      <c r="A2" s="449" t="s">
        <v>493</v>
      </c>
      <c r="B2" s="450" t="str">
        <f>SUM(B3:B1000)</f>
        <v>#REF!</v>
      </c>
      <c r="C2" s="451"/>
      <c r="D2" s="451"/>
      <c r="E2" s="451" t="str">
        <f t="shared" ref="E2:F2" si="1">SUM(E3:E1000)</f>
        <v>#REF!</v>
      </c>
      <c r="F2" s="451" t="str">
        <f t="shared" si="1"/>
        <v>#REF!</v>
      </c>
    </row>
    <row r="3">
      <c r="A3" s="452" t="str">
        <f>IFERROR(__xludf.DUMMYFUNCTION("ARRAYFORMULA(LET(items, FILTER('Total Stock'!B3:B1000, 'Total Stock'!B3:B1000&lt;&gt;""""), qty, FILTER('Total Stock'!F3:F1000, 'Total Stock'!B3:B1000&lt;&gt;""""), cost, IFERROR(VLOOKUP(items, Products!A2:D1000, 3, FALSE), 0), price, IFERROR(VLOOKUP(items, Products!"&amp;"A2:D1000, 4, FALSE), 0), HSTACK(items, qty, cost, price, qty*cost, qty*price)))"),"#REF!")</f>
        <v>#REF!</v>
      </c>
      <c r="B3" s="452" t="str">
        <f>IFERROR(__xludf.DUMMYFUNCTION("""COMPUTED_VALUE"""),"#REF!")</f>
        <v>#REF!</v>
      </c>
      <c r="C3" s="453">
        <f>IFERROR(__xludf.DUMMYFUNCTION("""COMPUTED_VALUE"""),0.0)</f>
        <v>0</v>
      </c>
      <c r="D3" s="453">
        <f>IFERROR(__xludf.DUMMYFUNCTION("""COMPUTED_VALUE"""),0.0)</f>
        <v>0</v>
      </c>
      <c r="E3" s="453" t="str">
        <f>IFERROR(__xludf.DUMMYFUNCTION("""COMPUTED_VALUE"""),"#REF!")</f>
        <v>#REF!</v>
      </c>
      <c r="F3" s="453" t="str">
        <f>IFERROR(__xludf.DUMMYFUNCTION("""COMPUTED_VALUE"""),"#REF!")</f>
        <v>#REF!</v>
      </c>
    </row>
    <row r="4">
      <c r="A4" s="452"/>
      <c r="B4" s="452"/>
      <c r="C4" s="453"/>
      <c r="D4" s="453"/>
      <c r="E4" s="453"/>
      <c r="F4" s="453"/>
    </row>
    <row r="5">
      <c r="A5" s="452"/>
      <c r="B5" s="452"/>
      <c r="C5" s="453"/>
      <c r="D5" s="453"/>
      <c r="E5" s="453"/>
      <c r="F5" s="453"/>
    </row>
    <row r="6">
      <c r="A6" s="452"/>
      <c r="B6" s="452"/>
      <c r="C6" s="453"/>
      <c r="D6" s="453"/>
      <c r="E6" s="453"/>
      <c r="F6" s="453"/>
    </row>
    <row r="7" hidden="1">
      <c r="A7" s="452"/>
      <c r="B7" s="452"/>
      <c r="C7" s="453"/>
      <c r="D7" s="453"/>
      <c r="E7" s="453"/>
      <c r="F7" s="453"/>
    </row>
    <row r="8" hidden="1">
      <c r="A8" s="452"/>
      <c r="B8" s="452"/>
      <c r="C8" s="453"/>
      <c r="D8" s="453"/>
      <c r="E8" s="453"/>
      <c r="F8" s="453"/>
    </row>
    <row r="9" hidden="1">
      <c r="A9" s="452"/>
      <c r="B9" s="452"/>
      <c r="C9" s="453"/>
      <c r="D9" s="453"/>
      <c r="E9" s="453"/>
      <c r="F9" s="453"/>
    </row>
    <row r="10" hidden="1">
      <c r="A10" s="452"/>
      <c r="B10" s="452"/>
      <c r="C10" s="453"/>
      <c r="D10" s="453"/>
      <c r="E10" s="453"/>
      <c r="F10" s="453"/>
    </row>
    <row r="11" hidden="1">
      <c r="A11" s="452"/>
      <c r="B11" s="452"/>
      <c r="C11" s="453"/>
      <c r="D11" s="453"/>
      <c r="E11" s="453"/>
      <c r="F11" s="453"/>
    </row>
    <row r="12" hidden="1">
      <c r="A12" s="452"/>
      <c r="B12" s="452"/>
      <c r="C12" s="453"/>
      <c r="D12" s="453"/>
      <c r="E12" s="453"/>
      <c r="F12" s="453"/>
    </row>
    <row r="13" hidden="1">
      <c r="A13" s="452"/>
      <c r="B13" s="452"/>
      <c r="C13" s="453"/>
      <c r="D13" s="453"/>
      <c r="E13" s="453"/>
      <c r="F13" s="453"/>
    </row>
    <row r="14" hidden="1">
      <c r="A14" s="452"/>
      <c r="B14" s="452"/>
      <c r="C14" s="453"/>
      <c r="D14" s="453"/>
      <c r="E14" s="453"/>
      <c r="F14" s="453"/>
    </row>
    <row r="15" hidden="1">
      <c r="A15" s="452"/>
      <c r="B15" s="452"/>
      <c r="C15" s="453"/>
      <c r="D15" s="453"/>
      <c r="E15" s="453"/>
      <c r="F15" s="453"/>
    </row>
    <row r="16">
      <c r="A16" s="452"/>
      <c r="B16" s="452"/>
      <c r="C16" s="453"/>
      <c r="D16" s="453"/>
      <c r="E16" s="453"/>
      <c r="F16" s="453"/>
    </row>
    <row r="17">
      <c r="A17" s="452"/>
      <c r="B17" s="452"/>
      <c r="C17" s="453"/>
      <c r="D17" s="453"/>
      <c r="E17" s="453"/>
      <c r="F17" s="453"/>
    </row>
    <row r="18">
      <c r="A18" s="452"/>
      <c r="B18" s="452"/>
      <c r="C18" s="453"/>
      <c r="D18" s="453"/>
      <c r="E18" s="453"/>
      <c r="F18" s="453"/>
    </row>
    <row r="19">
      <c r="A19" s="452"/>
      <c r="B19" s="452"/>
      <c r="C19" s="453"/>
      <c r="D19" s="453"/>
      <c r="E19" s="453"/>
      <c r="F19" s="453"/>
    </row>
    <row r="20">
      <c r="A20" s="452"/>
      <c r="B20" s="452"/>
      <c r="C20" s="453"/>
      <c r="D20" s="453"/>
      <c r="E20" s="453"/>
      <c r="F20" s="453"/>
    </row>
    <row r="21">
      <c r="A21" s="452"/>
      <c r="B21" s="452"/>
      <c r="C21" s="453"/>
      <c r="D21" s="453"/>
      <c r="E21" s="453"/>
      <c r="F21" s="453"/>
    </row>
    <row r="22">
      <c r="A22" s="452"/>
      <c r="B22" s="452"/>
      <c r="C22" s="453"/>
      <c r="D22" s="453"/>
      <c r="E22" s="453"/>
      <c r="F22" s="453"/>
    </row>
    <row r="23">
      <c r="A23" s="452"/>
      <c r="B23" s="452"/>
      <c r="C23" s="453"/>
      <c r="D23" s="453"/>
      <c r="E23" s="453"/>
      <c r="F23" s="453"/>
    </row>
    <row r="24">
      <c r="A24" s="452"/>
      <c r="B24" s="452"/>
      <c r="C24" s="453"/>
      <c r="D24" s="453"/>
      <c r="E24" s="453"/>
      <c r="F24" s="453"/>
    </row>
    <row r="25">
      <c r="A25" s="452"/>
      <c r="B25" s="452"/>
      <c r="C25" s="453"/>
      <c r="D25" s="453"/>
      <c r="E25" s="453"/>
      <c r="F25" s="453"/>
    </row>
    <row r="26" hidden="1">
      <c r="A26" s="452"/>
      <c r="B26" s="452"/>
      <c r="C26" s="453"/>
      <c r="D26" s="453"/>
      <c r="E26" s="453"/>
      <c r="F26" s="453"/>
    </row>
    <row r="27" hidden="1">
      <c r="A27" s="452"/>
      <c r="B27" s="452"/>
      <c r="C27" s="453"/>
      <c r="D27" s="453"/>
      <c r="E27" s="453"/>
      <c r="F27" s="453"/>
    </row>
    <row r="28" hidden="1">
      <c r="A28" s="452"/>
      <c r="B28" s="452"/>
      <c r="C28" s="453"/>
      <c r="D28" s="453"/>
      <c r="E28" s="453"/>
      <c r="F28" s="453"/>
    </row>
    <row r="29">
      <c r="A29" s="452"/>
      <c r="B29" s="452"/>
      <c r="C29" s="453"/>
      <c r="D29" s="453"/>
      <c r="E29" s="453"/>
      <c r="F29" s="453"/>
    </row>
    <row r="30">
      <c r="A30" s="452"/>
      <c r="B30" s="452"/>
      <c r="C30" s="453"/>
      <c r="D30" s="453"/>
      <c r="E30" s="453"/>
      <c r="F30" s="453"/>
    </row>
    <row r="31">
      <c r="A31" s="452"/>
      <c r="B31" s="452"/>
      <c r="C31" s="453"/>
      <c r="D31" s="453"/>
      <c r="E31" s="453"/>
      <c r="F31" s="453"/>
    </row>
    <row r="32">
      <c r="A32" s="452"/>
      <c r="B32" s="452"/>
      <c r="C32" s="453"/>
      <c r="D32" s="453"/>
      <c r="E32" s="453"/>
      <c r="F32" s="453"/>
    </row>
    <row r="33" hidden="1">
      <c r="A33" s="452"/>
      <c r="B33" s="452"/>
      <c r="C33" s="453"/>
      <c r="D33" s="453"/>
      <c r="E33" s="453"/>
      <c r="F33" s="453"/>
    </row>
    <row r="34" hidden="1">
      <c r="A34" s="452"/>
      <c r="B34" s="452"/>
      <c r="C34" s="453"/>
      <c r="D34" s="453"/>
      <c r="E34" s="453"/>
      <c r="F34" s="453"/>
    </row>
    <row r="35" hidden="1">
      <c r="A35" s="452"/>
      <c r="B35" s="452"/>
      <c r="C35" s="453"/>
      <c r="D35" s="453"/>
      <c r="E35" s="453"/>
      <c r="F35" s="453"/>
    </row>
    <row r="36" hidden="1">
      <c r="A36" s="452"/>
      <c r="B36" s="452"/>
      <c r="C36" s="453"/>
      <c r="D36" s="453"/>
      <c r="E36" s="453"/>
      <c r="F36" s="453"/>
    </row>
    <row r="37">
      <c r="A37" s="452"/>
      <c r="B37" s="452"/>
      <c r="C37" s="453"/>
      <c r="D37" s="453"/>
      <c r="E37" s="453"/>
      <c r="F37" s="453"/>
    </row>
    <row r="38">
      <c r="A38" s="452"/>
      <c r="B38" s="452"/>
      <c r="C38" s="453"/>
      <c r="D38" s="453"/>
      <c r="E38" s="453"/>
      <c r="F38" s="453"/>
    </row>
    <row r="39">
      <c r="A39" s="452"/>
      <c r="B39" s="452"/>
      <c r="C39" s="453"/>
      <c r="D39" s="453"/>
      <c r="E39" s="453"/>
      <c r="F39" s="453"/>
    </row>
    <row r="40">
      <c r="A40" s="452"/>
      <c r="B40" s="452"/>
      <c r="C40" s="453"/>
      <c r="D40" s="453"/>
      <c r="E40" s="453"/>
      <c r="F40" s="453"/>
    </row>
    <row r="41">
      <c r="A41" s="452"/>
      <c r="B41" s="452"/>
      <c r="C41" s="453"/>
      <c r="D41" s="453"/>
      <c r="E41" s="453"/>
      <c r="F41" s="453"/>
    </row>
    <row r="42">
      <c r="A42" s="452"/>
      <c r="B42" s="452"/>
      <c r="C42" s="453"/>
      <c r="D42" s="453"/>
      <c r="E42" s="453"/>
      <c r="F42" s="453"/>
    </row>
    <row r="43">
      <c r="A43" s="452"/>
      <c r="B43" s="452"/>
      <c r="C43" s="453"/>
      <c r="D43" s="453"/>
      <c r="E43" s="453"/>
      <c r="F43" s="453"/>
    </row>
    <row r="44">
      <c r="A44" s="452"/>
      <c r="B44" s="452"/>
      <c r="C44" s="453"/>
      <c r="D44" s="453"/>
      <c r="E44" s="453"/>
      <c r="F44" s="453"/>
    </row>
    <row r="45">
      <c r="C45" s="454"/>
      <c r="D45" s="454"/>
      <c r="E45" s="454"/>
      <c r="F45" s="454"/>
    </row>
    <row r="46">
      <c r="C46" s="454"/>
      <c r="D46" s="454"/>
      <c r="E46" s="454"/>
      <c r="F46" s="454"/>
    </row>
    <row r="47">
      <c r="C47" s="454"/>
      <c r="D47" s="454"/>
      <c r="E47" s="454"/>
      <c r="F47" s="454"/>
    </row>
    <row r="48">
      <c r="C48" s="454"/>
      <c r="D48" s="454"/>
      <c r="E48" s="454"/>
      <c r="F48" s="454"/>
    </row>
    <row r="49">
      <c r="C49" s="454"/>
      <c r="D49" s="454"/>
      <c r="E49" s="454"/>
      <c r="F49" s="454"/>
    </row>
    <row r="50">
      <c r="C50" s="454"/>
      <c r="D50" s="454"/>
      <c r="E50" s="454"/>
      <c r="F50" s="454"/>
    </row>
    <row r="51">
      <c r="C51" s="454"/>
      <c r="D51" s="454"/>
      <c r="E51" s="454"/>
      <c r="F51" s="454"/>
    </row>
    <row r="52">
      <c r="C52" s="454"/>
      <c r="D52" s="454"/>
      <c r="E52" s="454"/>
      <c r="F52" s="454"/>
    </row>
    <row r="53">
      <c r="C53" s="454"/>
      <c r="D53" s="454"/>
      <c r="E53" s="454"/>
      <c r="F53" s="454"/>
    </row>
    <row r="54">
      <c r="C54" s="454"/>
      <c r="D54" s="454"/>
      <c r="E54" s="454"/>
      <c r="F54" s="454"/>
    </row>
    <row r="55">
      <c r="C55" s="454"/>
      <c r="D55" s="454"/>
      <c r="E55" s="454"/>
      <c r="F55" s="454"/>
    </row>
    <row r="56">
      <c r="C56" s="454"/>
      <c r="D56" s="454"/>
      <c r="E56" s="454"/>
      <c r="F56" s="454"/>
    </row>
    <row r="57">
      <c r="C57" s="454"/>
      <c r="D57" s="454"/>
      <c r="E57" s="454"/>
      <c r="F57" s="454"/>
    </row>
    <row r="58">
      <c r="C58" s="454"/>
      <c r="D58" s="454"/>
      <c r="E58" s="454"/>
      <c r="F58" s="454"/>
    </row>
    <row r="59">
      <c r="C59" s="454"/>
      <c r="D59" s="454"/>
      <c r="E59" s="454"/>
      <c r="F59" s="454"/>
    </row>
    <row r="60">
      <c r="C60" s="454"/>
      <c r="D60" s="454"/>
      <c r="E60" s="454"/>
      <c r="F60" s="454"/>
    </row>
    <row r="61">
      <c r="C61" s="454"/>
      <c r="D61" s="454"/>
      <c r="E61" s="454"/>
      <c r="F61" s="454"/>
    </row>
    <row r="62">
      <c r="C62" s="454"/>
      <c r="D62" s="454"/>
      <c r="E62" s="454"/>
      <c r="F62" s="454"/>
    </row>
    <row r="63">
      <c r="C63" s="454"/>
      <c r="D63" s="454"/>
      <c r="E63" s="454"/>
      <c r="F63" s="454"/>
    </row>
    <row r="64">
      <c r="C64" s="454"/>
      <c r="D64" s="454"/>
      <c r="E64" s="454"/>
      <c r="F64" s="454"/>
    </row>
    <row r="65">
      <c r="C65" s="454"/>
      <c r="D65" s="454"/>
      <c r="E65" s="454"/>
      <c r="F65" s="454"/>
    </row>
    <row r="66">
      <c r="C66" s="454"/>
      <c r="D66" s="454"/>
      <c r="E66" s="454"/>
      <c r="F66" s="454"/>
    </row>
    <row r="67">
      <c r="C67" s="454"/>
      <c r="D67" s="454"/>
      <c r="E67" s="454"/>
      <c r="F67" s="454"/>
    </row>
    <row r="68">
      <c r="C68" s="454"/>
      <c r="D68" s="454"/>
      <c r="E68" s="454"/>
      <c r="F68" s="454"/>
    </row>
    <row r="69">
      <c r="C69" s="454"/>
      <c r="D69" s="454"/>
      <c r="E69" s="454"/>
      <c r="F69" s="454"/>
    </row>
    <row r="70">
      <c r="C70" s="454"/>
      <c r="D70" s="454"/>
      <c r="E70" s="454"/>
      <c r="F70" s="454"/>
    </row>
    <row r="71">
      <c r="C71" s="454"/>
      <c r="D71" s="454"/>
      <c r="E71" s="454"/>
      <c r="F71" s="454"/>
    </row>
    <row r="72">
      <c r="C72" s="454"/>
      <c r="D72" s="454"/>
      <c r="E72" s="454"/>
      <c r="F72" s="454"/>
    </row>
    <row r="73">
      <c r="C73" s="454"/>
      <c r="D73" s="454"/>
      <c r="E73" s="454"/>
      <c r="F73" s="454"/>
    </row>
    <row r="74">
      <c r="C74" s="454"/>
      <c r="D74" s="454"/>
      <c r="E74" s="454"/>
      <c r="F74" s="454"/>
    </row>
    <row r="75">
      <c r="C75" s="454"/>
      <c r="D75" s="454"/>
      <c r="E75" s="454"/>
      <c r="F75" s="454"/>
    </row>
    <row r="76">
      <c r="C76" s="454"/>
      <c r="D76" s="454"/>
      <c r="E76" s="454"/>
      <c r="F76" s="454"/>
    </row>
    <row r="77">
      <c r="C77" s="454"/>
      <c r="D77" s="454"/>
      <c r="E77" s="454"/>
      <c r="F77" s="454"/>
    </row>
    <row r="78">
      <c r="C78" s="454"/>
      <c r="D78" s="454"/>
      <c r="E78" s="454"/>
      <c r="F78" s="454"/>
    </row>
    <row r="79">
      <c r="C79" s="454"/>
      <c r="D79" s="454"/>
      <c r="E79" s="454"/>
      <c r="F79" s="454"/>
    </row>
    <row r="80">
      <c r="C80" s="454"/>
      <c r="D80" s="454"/>
      <c r="E80" s="454"/>
      <c r="F80" s="454"/>
    </row>
    <row r="81">
      <c r="C81" s="454"/>
      <c r="D81" s="454"/>
      <c r="E81" s="454"/>
      <c r="F81" s="454"/>
    </row>
    <row r="82">
      <c r="C82" s="454"/>
      <c r="D82" s="454"/>
      <c r="E82" s="454"/>
      <c r="F82" s="454"/>
    </row>
    <row r="83">
      <c r="C83" s="454"/>
      <c r="D83" s="454"/>
      <c r="E83" s="454"/>
      <c r="F83" s="454"/>
    </row>
    <row r="84">
      <c r="C84" s="454"/>
      <c r="D84" s="454"/>
      <c r="E84" s="454"/>
      <c r="F84" s="454"/>
    </row>
    <row r="85">
      <c r="C85" s="454"/>
      <c r="D85" s="454"/>
      <c r="E85" s="454"/>
      <c r="F85" s="454"/>
    </row>
    <row r="86">
      <c r="C86" s="454"/>
      <c r="D86" s="454"/>
      <c r="E86" s="454"/>
      <c r="F86" s="454"/>
    </row>
    <row r="87">
      <c r="C87" s="454"/>
      <c r="D87" s="454"/>
      <c r="E87" s="454"/>
      <c r="F87" s="454"/>
    </row>
    <row r="88">
      <c r="C88" s="454"/>
      <c r="D88" s="454"/>
      <c r="E88" s="454"/>
      <c r="F88" s="454"/>
    </row>
    <row r="89">
      <c r="C89" s="454"/>
      <c r="D89" s="454"/>
      <c r="E89" s="454"/>
      <c r="F89" s="454"/>
    </row>
    <row r="90">
      <c r="C90" s="454"/>
      <c r="D90" s="454"/>
      <c r="E90" s="454"/>
      <c r="F90" s="454"/>
    </row>
    <row r="91">
      <c r="C91" s="454"/>
      <c r="D91" s="454"/>
      <c r="E91" s="454"/>
      <c r="F91" s="454"/>
    </row>
    <row r="92">
      <c r="C92" s="454"/>
      <c r="D92" s="454"/>
      <c r="E92" s="454"/>
      <c r="F92" s="454"/>
    </row>
    <row r="93">
      <c r="C93" s="454"/>
      <c r="D93" s="454"/>
      <c r="E93" s="454"/>
      <c r="F93" s="454"/>
    </row>
    <row r="94">
      <c r="C94" s="454"/>
      <c r="D94" s="454"/>
      <c r="E94" s="454"/>
      <c r="F94" s="454"/>
    </row>
    <row r="95">
      <c r="C95" s="454"/>
      <c r="D95" s="454"/>
      <c r="E95" s="454"/>
      <c r="F95" s="454"/>
    </row>
    <row r="96">
      <c r="C96" s="454"/>
      <c r="D96" s="454"/>
      <c r="E96" s="454"/>
      <c r="F96" s="454"/>
    </row>
    <row r="97">
      <c r="C97" s="454"/>
      <c r="D97" s="454"/>
      <c r="E97" s="454"/>
      <c r="F97" s="454"/>
    </row>
    <row r="98">
      <c r="C98" s="454"/>
      <c r="D98" s="454"/>
      <c r="E98" s="454"/>
      <c r="F98" s="454"/>
    </row>
    <row r="99">
      <c r="C99" s="454"/>
      <c r="D99" s="454"/>
      <c r="E99" s="454"/>
      <c r="F99" s="454"/>
    </row>
    <row r="100">
      <c r="C100" s="454"/>
      <c r="D100" s="454"/>
      <c r="E100" s="454"/>
      <c r="F100" s="454"/>
    </row>
    <row r="101">
      <c r="C101" s="454"/>
      <c r="D101" s="454"/>
      <c r="E101" s="454"/>
      <c r="F101" s="454"/>
    </row>
    <row r="102">
      <c r="C102" s="454"/>
      <c r="D102" s="454"/>
      <c r="E102" s="454"/>
      <c r="F102" s="454"/>
    </row>
    <row r="103">
      <c r="C103" s="454"/>
      <c r="D103" s="454"/>
      <c r="E103" s="454"/>
      <c r="F103" s="454"/>
    </row>
    <row r="104">
      <c r="C104" s="454"/>
      <c r="D104" s="454"/>
      <c r="E104" s="454"/>
      <c r="F104" s="454"/>
    </row>
    <row r="105">
      <c r="C105" s="454"/>
      <c r="D105" s="454"/>
      <c r="E105" s="454"/>
      <c r="F105" s="454"/>
    </row>
    <row r="106">
      <c r="C106" s="454"/>
      <c r="D106" s="454"/>
      <c r="E106" s="454"/>
      <c r="F106" s="454"/>
    </row>
    <row r="107">
      <c r="C107" s="454"/>
      <c r="D107" s="454"/>
      <c r="E107" s="454"/>
      <c r="F107" s="454"/>
    </row>
    <row r="108">
      <c r="C108" s="454"/>
      <c r="D108" s="454"/>
      <c r="E108" s="454"/>
      <c r="F108" s="454"/>
    </row>
    <row r="109">
      <c r="C109" s="454"/>
      <c r="D109" s="454"/>
      <c r="E109" s="454"/>
      <c r="F109" s="454"/>
    </row>
    <row r="110">
      <c r="C110" s="454"/>
      <c r="D110" s="454"/>
      <c r="E110" s="454"/>
      <c r="F110" s="454"/>
    </row>
    <row r="111">
      <c r="C111" s="454"/>
      <c r="D111" s="454"/>
      <c r="E111" s="454"/>
      <c r="F111" s="454"/>
    </row>
    <row r="112">
      <c r="C112" s="454"/>
      <c r="D112" s="454"/>
      <c r="E112" s="454"/>
      <c r="F112" s="454"/>
    </row>
    <row r="113">
      <c r="C113" s="454"/>
      <c r="D113" s="454"/>
      <c r="E113" s="454"/>
      <c r="F113" s="454"/>
    </row>
    <row r="114">
      <c r="C114" s="454"/>
      <c r="D114" s="454"/>
      <c r="E114" s="454"/>
      <c r="F114" s="454"/>
    </row>
    <row r="115">
      <c r="C115" s="454"/>
      <c r="D115" s="454"/>
      <c r="E115" s="454"/>
      <c r="F115" s="454"/>
    </row>
    <row r="116">
      <c r="C116" s="454"/>
      <c r="D116" s="454"/>
      <c r="E116" s="454"/>
      <c r="F116" s="454"/>
    </row>
    <row r="117">
      <c r="C117" s="454"/>
      <c r="D117" s="454"/>
      <c r="E117" s="454"/>
      <c r="F117" s="454"/>
    </row>
    <row r="118">
      <c r="C118" s="454"/>
      <c r="D118" s="454"/>
      <c r="E118" s="454"/>
      <c r="F118" s="454"/>
    </row>
    <row r="119">
      <c r="C119" s="454"/>
      <c r="D119" s="454"/>
      <c r="E119" s="454"/>
      <c r="F119" s="454"/>
    </row>
    <row r="120">
      <c r="C120" s="454"/>
      <c r="D120" s="454"/>
      <c r="E120" s="454"/>
      <c r="F120" s="454"/>
    </row>
    <row r="121">
      <c r="C121" s="454"/>
      <c r="D121" s="454"/>
      <c r="E121" s="454"/>
      <c r="F121" s="454"/>
    </row>
    <row r="122">
      <c r="C122" s="454"/>
      <c r="D122" s="454"/>
      <c r="E122" s="454"/>
      <c r="F122" s="454"/>
    </row>
    <row r="123">
      <c r="C123" s="454"/>
      <c r="D123" s="454"/>
      <c r="E123" s="454"/>
      <c r="F123" s="454"/>
    </row>
    <row r="124">
      <c r="C124" s="454"/>
      <c r="D124" s="454"/>
      <c r="E124" s="454"/>
      <c r="F124" s="454"/>
    </row>
    <row r="125">
      <c r="C125" s="454"/>
      <c r="D125" s="454"/>
      <c r="E125" s="454"/>
      <c r="F125" s="454"/>
    </row>
    <row r="126">
      <c r="C126" s="454"/>
      <c r="D126" s="454"/>
      <c r="E126" s="454"/>
      <c r="F126" s="454"/>
    </row>
    <row r="127">
      <c r="C127" s="454"/>
      <c r="D127" s="454"/>
      <c r="E127" s="454"/>
      <c r="F127" s="454"/>
    </row>
    <row r="128">
      <c r="C128" s="454"/>
      <c r="D128" s="454"/>
      <c r="E128" s="454"/>
      <c r="F128" s="454"/>
    </row>
    <row r="129">
      <c r="C129" s="454"/>
      <c r="D129" s="454"/>
      <c r="E129" s="454"/>
      <c r="F129" s="454"/>
    </row>
    <row r="130">
      <c r="C130" s="454"/>
      <c r="D130" s="454"/>
      <c r="E130" s="454"/>
      <c r="F130" s="454"/>
    </row>
    <row r="131">
      <c r="C131" s="454"/>
      <c r="D131" s="454"/>
      <c r="E131" s="454"/>
      <c r="F131" s="454"/>
    </row>
    <row r="132">
      <c r="C132" s="454"/>
      <c r="D132" s="454"/>
      <c r="E132" s="454"/>
      <c r="F132" s="454"/>
    </row>
    <row r="133">
      <c r="C133" s="454"/>
      <c r="D133" s="454"/>
      <c r="E133" s="454"/>
      <c r="F133" s="454"/>
    </row>
    <row r="134">
      <c r="C134" s="454"/>
      <c r="D134" s="454"/>
      <c r="E134" s="454"/>
      <c r="F134" s="454"/>
    </row>
    <row r="135">
      <c r="C135" s="454"/>
      <c r="D135" s="454"/>
      <c r="E135" s="454"/>
      <c r="F135" s="454"/>
    </row>
    <row r="136">
      <c r="C136" s="454"/>
      <c r="D136" s="454"/>
      <c r="E136" s="454"/>
      <c r="F136" s="454"/>
    </row>
    <row r="137">
      <c r="C137" s="454"/>
      <c r="D137" s="454"/>
      <c r="E137" s="454"/>
      <c r="F137" s="454"/>
    </row>
    <row r="138">
      <c r="C138" s="454"/>
      <c r="D138" s="454"/>
      <c r="E138" s="454"/>
      <c r="F138" s="454"/>
    </row>
    <row r="139">
      <c r="C139" s="454"/>
      <c r="D139" s="454"/>
      <c r="E139" s="454"/>
      <c r="F139" s="454"/>
    </row>
    <row r="140">
      <c r="C140" s="454"/>
      <c r="D140" s="454"/>
      <c r="E140" s="454"/>
      <c r="F140" s="454"/>
    </row>
    <row r="141">
      <c r="C141" s="454"/>
      <c r="D141" s="454"/>
      <c r="E141" s="454"/>
      <c r="F141" s="454"/>
    </row>
    <row r="142">
      <c r="C142" s="454"/>
      <c r="D142" s="454"/>
      <c r="E142" s="454"/>
      <c r="F142" s="454"/>
    </row>
    <row r="143">
      <c r="C143" s="454"/>
      <c r="D143" s="454"/>
      <c r="E143" s="454"/>
      <c r="F143" s="454"/>
    </row>
    <row r="144">
      <c r="C144" s="454"/>
      <c r="D144" s="454"/>
      <c r="E144" s="454"/>
      <c r="F144" s="454"/>
    </row>
    <row r="145">
      <c r="C145" s="454"/>
      <c r="D145" s="454"/>
      <c r="E145" s="454"/>
      <c r="F145" s="454"/>
    </row>
    <row r="146">
      <c r="C146" s="454"/>
      <c r="D146" s="454"/>
      <c r="E146" s="454"/>
      <c r="F146" s="454"/>
    </row>
    <row r="147">
      <c r="C147" s="454"/>
      <c r="D147" s="454"/>
      <c r="E147" s="454"/>
      <c r="F147" s="454"/>
    </row>
    <row r="148">
      <c r="C148" s="454"/>
      <c r="D148" s="454"/>
      <c r="E148" s="454"/>
      <c r="F148" s="454"/>
    </row>
    <row r="149">
      <c r="C149" s="454"/>
      <c r="D149" s="454"/>
      <c r="E149" s="454"/>
      <c r="F149" s="454"/>
    </row>
    <row r="150">
      <c r="C150" s="454"/>
      <c r="D150" s="454"/>
      <c r="E150" s="454"/>
      <c r="F150" s="454"/>
    </row>
    <row r="151">
      <c r="C151" s="454"/>
      <c r="D151" s="454"/>
      <c r="E151" s="454"/>
      <c r="F151" s="454"/>
    </row>
    <row r="152">
      <c r="C152" s="454"/>
      <c r="D152" s="454"/>
      <c r="E152" s="454"/>
      <c r="F152" s="454"/>
    </row>
    <row r="153">
      <c r="C153" s="454"/>
      <c r="D153" s="454"/>
      <c r="E153" s="454"/>
      <c r="F153" s="454"/>
    </row>
    <row r="154">
      <c r="C154" s="454"/>
      <c r="D154" s="454"/>
      <c r="E154" s="454"/>
      <c r="F154" s="454"/>
    </row>
    <row r="155">
      <c r="C155" s="454"/>
      <c r="D155" s="454"/>
      <c r="E155" s="454"/>
      <c r="F155" s="454"/>
    </row>
    <row r="156">
      <c r="C156" s="454"/>
      <c r="D156" s="454"/>
      <c r="E156" s="454"/>
      <c r="F156" s="454"/>
    </row>
    <row r="157">
      <c r="C157" s="454"/>
      <c r="D157" s="454"/>
      <c r="E157" s="454"/>
      <c r="F157" s="454"/>
    </row>
    <row r="158">
      <c r="C158" s="454"/>
      <c r="D158" s="454"/>
      <c r="E158" s="454"/>
      <c r="F158" s="454"/>
    </row>
    <row r="159">
      <c r="C159" s="454"/>
      <c r="D159" s="454"/>
      <c r="E159" s="454"/>
      <c r="F159" s="454"/>
    </row>
    <row r="160">
      <c r="C160" s="454"/>
      <c r="D160" s="454"/>
      <c r="E160" s="454"/>
      <c r="F160" s="454"/>
    </row>
    <row r="161">
      <c r="C161" s="454"/>
      <c r="D161" s="454"/>
      <c r="E161" s="454"/>
      <c r="F161" s="454"/>
    </row>
    <row r="162">
      <c r="C162" s="454"/>
      <c r="D162" s="454"/>
      <c r="E162" s="454"/>
      <c r="F162" s="454"/>
    </row>
    <row r="163">
      <c r="C163" s="454"/>
      <c r="D163" s="454"/>
      <c r="E163" s="454"/>
      <c r="F163" s="454"/>
    </row>
    <row r="164">
      <c r="C164" s="454"/>
      <c r="D164" s="454"/>
      <c r="E164" s="454"/>
      <c r="F164" s="454"/>
    </row>
    <row r="165">
      <c r="C165" s="454"/>
      <c r="D165" s="454"/>
      <c r="E165" s="454"/>
      <c r="F165" s="454"/>
    </row>
    <row r="166">
      <c r="C166" s="454"/>
      <c r="D166" s="454"/>
      <c r="E166" s="454"/>
      <c r="F166" s="454"/>
    </row>
    <row r="167">
      <c r="C167" s="454"/>
      <c r="D167" s="454"/>
      <c r="E167" s="454"/>
      <c r="F167" s="454"/>
    </row>
    <row r="168">
      <c r="C168" s="454"/>
      <c r="D168" s="454"/>
      <c r="E168" s="454"/>
      <c r="F168" s="454"/>
    </row>
    <row r="169">
      <c r="C169" s="454"/>
      <c r="D169" s="454"/>
      <c r="E169" s="454"/>
      <c r="F169" s="454"/>
    </row>
    <row r="170">
      <c r="C170" s="454"/>
      <c r="D170" s="454"/>
      <c r="E170" s="454"/>
      <c r="F170" s="454"/>
    </row>
    <row r="171">
      <c r="C171" s="454"/>
      <c r="D171" s="454"/>
      <c r="E171" s="454"/>
      <c r="F171" s="454"/>
    </row>
    <row r="172">
      <c r="C172" s="454"/>
      <c r="D172" s="454"/>
      <c r="E172" s="454"/>
      <c r="F172" s="454"/>
    </row>
    <row r="173">
      <c r="C173" s="454"/>
      <c r="D173" s="454"/>
      <c r="E173" s="454"/>
      <c r="F173" s="454"/>
    </row>
    <row r="174">
      <c r="C174" s="454"/>
      <c r="D174" s="454"/>
      <c r="E174" s="454"/>
      <c r="F174" s="454"/>
    </row>
    <row r="175">
      <c r="C175" s="454"/>
      <c r="D175" s="454"/>
      <c r="E175" s="454"/>
      <c r="F175" s="454"/>
    </row>
    <row r="176">
      <c r="C176" s="454"/>
      <c r="D176" s="454"/>
      <c r="E176" s="454"/>
      <c r="F176" s="454"/>
    </row>
    <row r="177">
      <c r="C177" s="454"/>
      <c r="D177" s="454"/>
      <c r="E177" s="454"/>
      <c r="F177" s="454"/>
    </row>
    <row r="178">
      <c r="C178" s="454"/>
      <c r="D178" s="454"/>
      <c r="E178" s="454"/>
      <c r="F178" s="454"/>
    </row>
    <row r="179">
      <c r="C179" s="454"/>
      <c r="D179" s="454"/>
      <c r="E179" s="454"/>
      <c r="F179" s="454"/>
    </row>
    <row r="180">
      <c r="C180" s="454"/>
      <c r="D180" s="454"/>
      <c r="E180" s="454"/>
      <c r="F180" s="454"/>
    </row>
    <row r="181">
      <c r="C181" s="454"/>
      <c r="D181" s="454"/>
      <c r="E181" s="454"/>
      <c r="F181" s="454"/>
    </row>
    <row r="182">
      <c r="C182" s="454"/>
      <c r="D182" s="454"/>
      <c r="E182" s="454"/>
      <c r="F182" s="454"/>
    </row>
    <row r="183">
      <c r="C183" s="454"/>
      <c r="D183" s="454"/>
      <c r="E183" s="454"/>
      <c r="F183" s="454"/>
    </row>
    <row r="184">
      <c r="C184" s="454"/>
      <c r="D184" s="454"/>
      <c r="E184" s="454"/>
      <c r="F184" s="454"/>
    </row>
    <row r="185">
      <c r="C185" s="454"/>
      <c r="D185" s="454"/>
      <c r="E185" s="454"/>
      <c r="F185" s="454"/>
    </row>
    <row r="186">
      <c r="C186" s="454"/>
      <c r="D186" s="454"/>
      <c r="E186" s="454"/>
      <c r="F186" s="454"/>
    </row>
    <row r="187">
      <c r="C187" s="454"/>
      <c r="D187" s="454"/>
      <c r="E187" s="454"/>
      <c r="F187" s="454"/>
    </row>
    <row r="188">
      <c r="C188" s="454"/>
      <c r="D188" s="454"/>
      <c r="E188" s="454"/>
      <c r="F188" s="454"/>
    </row>
    <row r="189">
      <c r="C189" s="454"/>
      <c r="D189" s="454"/>
      <c r="E189" s="454"/>
      <c r="F189" s="454"/>
    </row>
    <row r="190">
      <c r="C190" s="454"/>
      <c r="D190" s="454"/>
      <c r="E190" s="454"/>
      <c r="F190" s="454"/>
    </row>
    <row r="191">
      <c r="C191" s="454"/>
      <c r="D191" s="454"/>
      <c r="E191" s="454"/>
      <c r="F191" s="454"/>
    </row>
    <row r="192">
      <c r="C192" s="454"/>
      <c r="D192" s="454"/>
      <c r="E192" s="454"/>
      <c r="F192" s="454"/>
    </row>
    <row r="193">
      <c r="C193" s="454"/>
      <c r="D193" s="454"/>
      <c r="E193" s="454"/>
      <c r="F193" s="454"/>
    </row>
    <row r="194">
      <c r="C194" s="454"/>
      <c r="D194" s="454"/>
      <c r="E194" s="454"/>
      <c r="F194" s="454"/>
    </row>
    <row r="195">
      <c r="C195" s="454"/>
      <c r="D195" s="454"/>
      <c r="E195" s="454"/>
      <c r="F195" s="454"/>
    </row>
    <row r="196">
      <c r="C196" s="454"/>
      <c r="D196" s="454"/>
      <c r="E196" s="454"/>
      <c r="F196" s="454"/>
    </row>
    <row r="197">
      <c r="C197" s="454"/>
      <c r="D197" s="454"/>
      <c r="E197" s="454"/>
      <c r="F197" s="454"/>
    </row>
    <row r="198">
      <c r="C198" s="454"/>
      <c r="D198" s="454"/>
      <c r="E198" s="454"/>
      <c r="F198" s="454"/>
    </row>
    <row r="199">
      <c r="C199" s="454"/>
      <c r="D199" s="454"/>
      <c r="E199" s="454"/>
      <c r="F199" s="454"/>
    </row>
    <row r="200">
      <c r="C200" s="454"/>
      <c r="D200" s="454"/>
      <c r="E200" s="454"/>
      <c r="F200" s="454"/>
    </row>
    <row r="201">
      <c r="C201" s="454"/>
      <c r="D201" s="454"/>
      <c r="E201" s="454"/>
      <c r="F201" s="454"/>
    </row>
    <row r="202">
      <c r="C202" s="454"/>
      <c r="D202" s="454"/>
      <c r="E202" s="454"/>
      <c r="F202" s="454"/>
    </row>
    <row r="203">
      <c r="C203" s="454"/>
      <c r="D203" s="454"/>
      <c r="E203" s="454"/>
      <c r="F203" s="454"/>
    </row>
    <row r="204">
      <c r="C204" s="454"/>
      <c r="D204" s="454"/>
      <c r="E204" s="454"/>
      <c r="F204" s="454"/>
    </row>
    <row r="205">
      <c r="C205" s="454"/>
      <c r="D205" s="454"/>
      <c r="E205" s="454"/>
      <c r="F205" s="454"/>
    </row>
    <row r="206">
      <c r="C206" s="454"/>
      <c r="D206" s="454"/>
      <c r="E206" s="454"/>
      <c r="F206" s="454"/>
    </row>
    <row r="207">
      <c r="C207" s="454"/>
      <c r="D207" s="454"/>
      <c r="E207" s="454"/>
      <c r="F207" s="454"/>
    </row>
    <row r="208">
      <c r="C208" s="454"/>
      <c r="D208" s="454"/>
      <c r="E208" s="454"/>
      <c r="F208" s="454"/>
    </row>
    <row r="209">
      <c r="C209" s="454"/>
      <c r="D209" s="454"/>
      <c r="E209" s="454"/>
      <c r="F209" s="454"/>
    </row>
    <row r="210">
      <c r="C210" s="454"/>
      <c r="D210" s="454"/>
      <c r="E210" s="454"/>
      <c r="F210" s="454"/>
    </row>
    <row r="211">
      <c r="C211" s="454"/>
      <c r="D211" s="454"/>
      <c r="E211" s="454"/>
      <c r="F211" s="454"/>
    </row>
    <row r="212">
      <c r="C212" s="454"/>
      <c r="D212" s="454"/>
      <c r="E212" s="454"/>
      <c r="F212" s="454"/>
    </row>
    <row r="213">
      <c r="C213" s="454"/>
      <c r="D213" s="454"/>
      <c r="E213" s="454"/>
      <c r="F213" s="454"/>
    </row>
    <row r="214">
      <c r="C214" s="454"/>
      <c r="D214" s="454"/>
      <c r="E214" s="454"/>
      <c r="F214" s="454"/>
    </row>
    <row r="215">
      <c r="C215" s="454"/>
      <c r="D215" s="454"/>
      <c r="E215" s="454"/>
      <c r="F215" s="454"/>
    </row>
    <row r="216">
      <c r="C216" s="454"/>
      <c r="D216" s="454"/>
      <c r="E216" s="454"/>
      <c r="F216" s="454"/>
    </row>
    <row r="217">
      <c r="C217" s="454"/>
      <c r="D217" s="454"/>
      <c r="E217" s="454"/>
      <c r="F217" s="454"/>
    </row>
    <row r="218">
      <c r="C218" s="454"/>
      <c r="D218" s="454"/>
      <c r="E218" s="454"/>
      <c r="F218" s="454"/>
    </row>
    <row r="219">
      <c r="C219" s="454"/>
      <c r="D219" s="454"/>
      <c r="E219" s="454"/>
      <c r="F219" s="454"/>
    </row>
    <row r="220">
      <c r="C220" s="454"/>
      <c r="D220" s="454"/>
      <c r="E220" s="454"/>
      <c r="F220" s="454"/>
    </row>
    <row r="221">
      <c r="C221" s="454"/>
      <c r="D221" s="454"/>
      <c r="E221" s="454"/>
      <c r="F221" s="454"/>
    </row>
    <row r="222">
      <c r="C222" s="454"/>
      <c r="D222" s="454"/>
      <c r="E222" s="454"/>
      <c r="F222" s="454"/>
    </row>
    <row r="223">
      <c r="C223" s="454"/>
      <c r="D223" s="454"/>
      <c r="E223" s="454"/>
      <c r="F223" s="454"/>
    </row>
    <row r="224">
      <c r="C224" s="454"/>
      <c r="D224" s="454"/>
      <c r="E224" s="454"/>
      <c r="F224" s="454"/>
    </row>
    <row r="225">
      <c r="C225" s="454"/>
      <c r="D225" s="454"/>
      <c r="E225" s="454"/>
      <c r="F225" s="454"/>
    </row>
    <row r="226">
      <c r="C226" s="454"/>
      <c r="D226" s="454"/>
      <c r="E226" s="454"/>
      <c r="F226" s="454"/>
    </row>
    <row r="227">
      <c r="C227" s="454"/>
      <c r="D227" s="454"/>
      <c r="E227" s="454"/>
      <c r="F227" s="454"/>
    </row>
    <row r="228">
      <c r="C228" s="454"/>
      <c r="D228" s="454"/>
      <c r="E228" s="454"/>
      <c r="F228" s="454"/>
    </row>
    <row r="229">
      <c r="C229" s="454"/>
      <c r="D229" s="454"/>
      <c r="E229" s="454"/>
      <c r="F229" s="454"/>
    </row>
    <row r="230">
      <c r="C230" s="454"/>
      <c r="D230" s="454"/>
      <c r="E230" s="454"/>
      <c r="F230" s="454"/>
    </row>
    <row r="231">
      <c r="C231" s="454"/>
      <c r="D231" s="454"/>
      <c r="E231" s="454"/>
      <c r="F231" s="454"/>
    </row>
    <row r="232">
      <c r="C232" s="454"/>
      <c r="D232" s="454"/>
      <c r="E232" s="454"/>
      <c r="F232" s="454"/>
    </row>
    <row r="233">
      <c r="C233" s="454"/>
      <c r="D233" s="454"/>
      <c r="E233" s="454"/>
      <c r="F233" s="454"/>
    </row>
    <row r="234">
      <c r="C234" s="454"/>
      <c r="D234" s="454"/>
      <c r="E234" s="454"/>
      <c r="F234" s="454"/>
    </row>
    <row r="235">
      <c r="C235" s="454"/>
      <c r="D235" s="454"/>
      <c r="E235" s="454"/>
      <c r="F235" s="454"/>
    </row>
    <row r="236">
      <c r="C236" s="454"/>
      <c r="D236" s="454"/>
      <c r="E236" s="454"/>
      <c r="F236" s="454"/>
    </row>
    <row r="237">
      <c r="C237" s="454"/>
      <c r="D237" s="454"/>
      <c r="E237" s="454"/>
      <c r="F237" s="454"/>
    </row>
    <row r="238">
      <c r="C238" s="454"/>
      <c r="D238" s="454"/>
      <c r="E238" s="454"/>
      <c r="F238" s="454"/>
    </row>
    <row r="239">
      <c r="C239" s="454"/>
      <c r="D239" s="454"/>
      <c r="E239" s="454"/>
      <c r="F239" s="454"/>
    </row>
    <row r="240">
      <c r="C240" s="454"/>
      <c r="D240" s="454"/>
      <c r="E240" s="454"/>
      <c r="F240" s="454"/>
    </row>
    <row r="241">
      <c r="C241" s="454"/>
      <c r="D241" s="454"/>
      <c r="E241" s="454"/>
      <c r="F241" s="454"/>
    </row>
    <row r="242">
      <c r="C242" s="454"/>
      <c r="D242" s="454"/>
      <c r="E242" s="454"/>
      <c r="F242" s="454"/>
    </row>
    <row r="243">
      <c r="C243" s="454"/>
      <c r="D243" s="454"/>
      <c r="E243" s="454"/>
      <c r="F243" s="454"/>
    </row>
    <row r="244">
      <c r="C244" s="454"/>
      <c r="D244" s="454"/>
      <c r="E244" s="454"/>
      <c r="F244" s="454"/>
    </row>
    <row r="245">
      <c r="C245" s="454"/>
      <c r="D245" s="454"/>
      <c r="E245" s="454"/>
      <c r="F245" s="454"/>
    </row>
    <row r="246">
      <c r="C246" s="454"/>
      <c r="D246" s="454"/>
      <c r="E246" s="454"/>
      <c r="F246" s="454"/>
    </row>
    <row r="247">
      <c r="C247" s="454"/>
      <c r="D247" s="454"/>
      <c r="E247" s="454"/>
      <c r="F247" s="454"/>
    </row>
    <row r="248">
      <c r="C248" s="454"/>
      <c r="D248" s="454"/>
      <c r="E248" s="454"/>
      <c r="F248" s="454"/>
    </row>
    <row r="249">
      <c r="C249" s="454"/>
      <c r="D249" s="454"/>
      <c r="E249" s="454"/>
      <c r="F249" s="454"/>
    </row>
    <row r="250">
      <c r="C250" s="454"/>
      <c r="D250" s="454"/>
      <c r="E250" s="454"/>
      <c r="F250" s="454"/>
    </row>
    <row r="251">
      <c r="C251" s="454"/>
      <c r="D251" s="454"/>
      <c r="E251" s="454"/>
      <c r="F251" s="454"/>
    </row>
    <row r="252">
      <c r="C252" s="454"/>
      <c r="D252" s="454"/>
      <c r="E252" s="454"/>
      <c r="F252" s="454"/>
    </row>
    <row r="253">
      <c r="C253" s="454"/>
      <c r="D253" s="454"/>
      <c r="E253" s="454"/>
      <c r="F253" s="454"/>
    </row>
    <row r="254">
      <c r="C254" s="454"/>
      <c r="D254" s="454"/>
      <c r="E254" s="454"/>
      <c r="F254" s="454"/>
    </row>
    <row r="255">
      <c r="C255" s="454"/>
      <c r="D255" s="454"/>
      <c r="E255" s="454"/>
      <c r="F255" s="454"/>
    </row>
    <row r="256">
      <c r="C256" s="454"/>
      <c r="D256" s="454"/>
      <c r="E256" s="454"/>
      <c r="F256" s="454"/>
    </row>
    <row r="257">
      <c r="C257" s="454"/>
      <c r="D257" s="454"/>
      <c r="E257" s="454"/>
      <c r="F257" s="454"/>
    </row>
    <row r="258">
      <c r="C258" s="454"/>
      <c r="D258" s="454"/>
      <c r="E258" s="454"/>
      <c r="F258" s="454"/>
    </row>
    <row r="259">
      <c r="C259" s="454"/>
      <c r="D259" s="454"/>
      <c r="E259" s="454"/>
      <c r="F259" s="454"/>
    </row>
    <row r="260">
      <c r="C260" s="454"/>
      <c r="D260" s="454"/>
      <c r="E260" s="454"/>
      <c r="F260" s="454"/>
    </row>
    <row r="261">
      <c r="C261" s="454"/>
      <c r="D261" s="454"/>
      <c r="E261" s="454"/>
      <c r="F261" s="454"/>
    </row>
    <row r="262">
      <c r="C262" s="454"/>
      <c r="D262" s="454"/>
      <c r="E262" s="454"/>
      <c r="F262" s="454"/>
    </row>
    <row r="263">
      <c r="C263" s="454"/>
      <c r="D263" s="454"/>
      <c r="E263" s="454"/>
      <c r="F263" s="454"/>
    </row>
    <row r="264">
      <c r="C264" s="454"/>
      <c r="D264" s="454"/>
      <c r="E264" s="454"/>
      <c r="F264" s="454"/>
    </row>
    <row r="265">
      <c r="C265" s="454"/>
      <c r="D265" s="454"/>
      <c r="E265" s="454"/>
      <c r="F265" s="454"/>
    </row>
    <row r="266">
      <c r="C266" s="454"/>
      <c r="D266" s="454"/>
      <c r="E266" s="454"/>
      <c r="F266" s="454"/>
    </row>
    <row r="267">
      <c r="C267" s="454"/>
      <c r="D267" s="454"/>
      <c r="E267" s="454"/>
      <c r="F267" s="454"/>
    </row>
    <row r="268">
      <c r="C268" s="454"/>
      <c r="D268" s="454"/>
      <c r="E268" s="454"/>
      <c r="F268" s="454"/>
    </row>
    <row r="269">
      <c r="C269" s="454"/>
      <c r="D269" s="454"/>
      <c r="E269" s="454"/>
      <c r="F269" s="454"/>
    </row>
    <row r="270">
      <c r="C270" s="454"/>
      <c r="D270" s="454"/>
      <c r="E270" s="454"/>
      <c r="F270" s="454"/>
    </row>
    <row r="271">
      <c r="C271" s="454"/>
      <c r="D271" s="454"/>
      <c r="E271" s="454"/>
      <c r="F271" s="454"/>
    </row>
    <row r="272">
      <c r="C272" s="454"/>
      <c r="D272" s="454"/>
      <c r="E272" s="454"/>
      <c r="F272" s="454"/>
    </row>
    <row r="273">
      <c r="C273" s="454"/>
      <c r="D273" s="454"/>
      <c r="E273" s="454"/>
      <c r="F273" s="454"/>
    </row>
    <row r="274">
      <c r="C274" s="454"/>
      <c r="D274" s="454"/>
      <c r="E274" s="454"/>
      <c r="F274" s="454"/>
    </row>
    <row r="275">
      <c r="C275" s="454"/>
      <c r="D275" s="454"/>
      <c r="E275" s="454"/>
      <c r="F275" s="454"/>
    </row>
    <row r="276">
      <c r="C276" s="454"/>
      <c r="D276" s="454"/>
      <c r="E276" s="454"/>
      <c r="F276" s="454"/>
    </row>
    <row r="277">
      <c r="C277" s="454"/>
      <c r="D277" s="454"/>
      <c r="E277" s="454"/>
      <c r="F277" s="454"/>
    </row>
    <row r="278">
      <c r="C278" s="454"/>
      <c r="D278" s="454"/>
      <c r="E278" s="454"/>
      <c r="F278" s="454"/>
    </row>
    <row r="279">
      <c r="C279" s="454"/>
      <c r="D279" s="454"/>
      <c r="E279" s="454"/>
      <c r="F279" s="454"/>
    </row>
    <row r="280">
      <c r="C280" s="454"/>
      <c r="D280" s="454"/>
      <c r="E280" s="454"/>
      <c r="F280" s="454"/>
    </row>
    <row r="281">
      <c r="C281" s="454"/>
      <c r="D281" s="454"/>
      <c r="E281" s="454"/>
      <c r="F281" s="454"/>
    </row>
    <row r="282">
      <c r="C282" s="454"/>
      <c r="D282" s="454"/>
      <c r="E282" s="454"/>
      <c r="F282" s="454"/>
    </row>
    <row r="283">
      <c r="C283" s="454"/>
      <c r="D283" s="454"/>
      <c r="E283" s="454"/>
      <c r="F283" s="454"/>
    </row>
    <row r="284">
      <c r="C284" s="454"/>
      <c r="D284" s="454"/>
      <c r="E284" s="454"/>
      <c r="F284" s="454"/>
    </row>
    <row r="285">
      <c r="C285" s="454"/>
      <c r="D285" s="454"/>
      <c r="E285" s="454"/>
      <c r="F285" s="454"/>
    </row>
    <row r="286">
      <c r="C286" s="454"/>
      <c r="D286" s="454"/>
      <c r="E286" s="454"/>
      <c r="F286" s="454"/>
    </row>
    <row r="287">
      <c r="C287" s="454"/>
      <c r="D287" s="454"/>
      <c r="E287" s="454"/>
      <c r="F287" s="454"/>
    </row>
    <row r="288">
      <c r="C288" s="454"/>
      <c r="D288" s="454"/>
      <c r="E288" s="454"/>
      <c r="F288" s="454"/>
    </row>
    <row r="289">
      <c r="C289" s="454"/>
      <c r="D289" s="454"/>
      <c r="E289" s="454"/>
      <c r="F289" s="454"/>
    </row>
    <row r="290">
      <c r="C290" s="454"/>
      <c r="D290" s="454"/>
      <c r="E290" s="454"/>
      <c r="F290" s="454"/>
    </row>
    <row r="291">
      <c r="C291" s="454"/>
      <c r="D291" s="454"/>
      <c r="E291" s="454"/>
      <c r="F291" s="454"/>
    </row>
    <row r="292">
      <c r="C292" s="454"/>
      <c r="D292" s="454"/>
      <c r="E292" s="454"/>
      <c r="F292" s="454"/>
    </row>
    <row r="293">
      <c r="C293" s="454"/>
      <c r="D293" s="454"/>
      <c r="E293" s="454"/>
      <c r="F293" s="454"/>
    </row>
    <row r="294">
      <c r="C294" s="454"/>
      <c r="D294" s="454"/>
      <c r="E294" s="454"/>
      <c r="F294" s="454"/>
    </row>
    <row r="295">
      <c r="C295" s="454"/>
      <c r="D295" s="454"/>
      <c r="E295" s="454"/>
      <c r="F295" s="454"/>
    </row>
    <row r="296">
      <c r="C296" s="454"/>
      <c r="D296" s="454"/>
      <c r="E296" s="454"/>
      <c r="F296" s="454"/>
    </row>
    <row r="297">
      <c r="C297" s="454"/>
      <c r="D297" s="454"/>
      <c r="E297" s="454"/>
      <c r="F297" s="454"/>
    </row>
    <row r="298">
      <c r="C298" s="454"/>
      <c r="D298" s="454"/>
      <c r="E298" s="454"/>
      <c r="F298" s="454"/>
    </row>
    <row r="299">
      <c r="C299" s="454"/>
      <c r="D299" s="454"/>
      <c r="E299" s="454"/>
      <c r="F299" s="454"/>
    </row>
    <row r="300">
      <c r="C300" s="454"/>
      <c r="D300" s="454"/>
      <c r="E300" s="454"/>
      <c r="F300" s="454"/>
    </row>
    <row r="301">
      <c r="C301" s="454"/>
      <c r="D301" s="454"/>
      <c r="E301" s="454"/>
      <c r="F301" s="454"/>
    </row>
    <row r="302">
      <c r="C302" s="454"/>
      <c r="D302" s="454"/>
      <c r="E302" s="454"/>
      <c r="F302" s="454"/>
    </row>
    <row r="303">
      <c r="C303" s="454"/>
      <c r="D303" s="454"/>
      <c r="E303" s="454"/>
      <c r="F303" s="454"/>
    </row>
    <row r="304">
      <c r="C304" s="454"/>
      <c r="D304" s="454"/>
      <c r="E304" s="454"/>
      <c r="F304" s="454"/>
    </row>
    <row r="305">
      <c r="C305" s="454"/>
      <c r="D305" s="454"/>
      <c r="E305" s="454"/>
      <c r="F305" s="454"/>
    </row>
    <row r="306">
      <c r="C306" s="454"/>
      <c r="D306" s="454"/>
      <c r="E306" s="454"/>
      <c r="F306" s="454"/>
    </row>
    <row r="307">
      <c r="C307" s="454"/>
      <c r="D307" s="454"/>
      <c r="E307" s="454"/>
      <c r="F307" s="454"/>
    </row>
    <row r="308">
      <c r="C308" s="454"/>
      <c r="D308" s="454"/>
      <c r="E308" s="454"/>
      <c r="F308" s="454"/>
    </row>
    <row r="309">
      <c r="C309" s="454"/>
      <c r="D309" s="454"/>
      <c r="E309" s="454"/>
      <c r="F309" s="454"/>
    </row>
    <row r="310">
      <c r="C310" s="454"/>
      <c r="D310" s="454"/>
      <c r="E310" s="454"/>
      <c r="F310" s="454"/>
    </row>
    <row r="311">
      <c r="C311" s="454"/>
      <c r="D311" s="454"/>
      <c r="E311" s="454"/>
      <c r="F311" s="454"/>
    </row>
    <row r="312">
      <c r="C312" s="454"/>
      <c r="D312" s="454"/>
      <c r="E312" s="454"/>
      <c r="F312" s="454"/>
    </row>
    <row r="313">
      <c r="C313" s="454"/>
      <c r="D313" s="454"/>
      <c r="E313" s="454"/>
      <c r="F313" s="454"/>
    </row>
    <row r="314">
      <c r="C314" s="454"/>
      <c r="D314" s="454"/>
      <c r="E314" s="454"/>
      <c r="F314" s="454"/>
    </row>
    <row r="315">
      <c r="C315" s="454"/>
      <c r="D315" s="454"/>
      <c r="E315" s="454"/>
      <c r="F315" s="454"/>
    </row>
    <row r="316">
      <c r="C316" s="454"/>
      <c r="D316" s="454"/>
      <c r="E316" s="454"/>
      <c r="F316" s="454"/>
    </row>
    <row r="317">
      <c r="C317" s="454"/>
      <c r="D317" s="454"/>
      <c r="E317" s="454"/>
      <c r="F317" s="454"/>
    </row>
    <row r="318">
      <c r="C318" s="454"/>
      <c r="D318" s="454"/>
      <c r="E318" s="454"/>
      <c r="F318" s="454"/>
    </row>
    <row r="319">
      <c r="C319" s="454"/>
      <c r="D319" s="454"/>
      <c r="E319" s="454"/>
      <c r="F319" s="454"/>
    </row>
    <row r="320">
      <c r="C320" s="454"/>
      <c r="D320" s="454"/>
      <c r="E320" s="454"/>
      <c r="F320" s="454"/>
    </row>
    <row r="321">
      <c r="C321" s="454"/>
      <c r="D321" s="454"/>
      <c r="E321" s="454"/>
      <c r="F321" s="454"/>
    </row>
    <row r="322">
      <c r="C322" s="454"/>
      <c r="D322" s="454"/>
      <c r="E322" s="454"/>
      <c r="F322" s="454"/>
    </row>
    <row r="323">
      <c r="C323" s="454"/>
      <c r="D323" s="454"/>
      <c r="E323" s="454"/>
      <c r="F323" s="454"/>
    </row>
    <row r="324">
      <c r="C324" s="454"/>
      <c r="D324" s="454"/>
      <c r="E324" s="454"/>
      <c r="F324" s="454"/>
    </row>
    <row r="325">
      <c r="C325" s="454"/>
      <c r="D325" s="454"/>
      <c r="E325" s="454"/>
      <c r="F325" s="454"/>
    </row>
    <row r="326">
      <c r="C326" s="454"/>
      <c r="D326" s="454"/>
      <c r="E326" s="454"/>
      <c r="F326" s="454"/>
    </row>
    <row r="327">
      <c r="C327" s="454"/>
      <c r="D327" s="454"/>
      <c r="E327" s="454"/>
      <c r="F327" s="454"/>
    </row>
    <row r="328">
      <c r="C328" s="454"/>
      <c r="D328" s="454"/>
      <c r="E328" s="454"/>
      <c r="F328" s="454"/>
    </row>
    <row r="329">
      <c r="C329" s="454"/>
      <c r="D329" s="454"/>
      <c r="E329" s="454"/>
      <c r="F329" s="454"/>
    </row>
    <row r="330">
      <c r="C330" s="454"/>
      <c r="D330" s="454"/>
      <c r="E330" s="454"/>
      <c r="F330" s="454"/>
    </row>
    <row r="331">
      <c r="C331" s="454"/>
      <c r="D331" s="454"/>
      <c r="E331" s="454"/>
      <c r="F331" s="454"/>
    </row>
    <row r="332">
      <c r="C332" s="454"/>
      <c r="D332" s="454"/>
      <c r="E332" s="454"/>
      <c r="F332" s="454"/>
    </row>
    <row r="333">
      <c r="C333" s="454"/>
      <c r="D333" s="454"/>
      <c r="E333" s="454"/>
      <c r="F333" s="454"/>
    </row>
    <row r="334">
      <c r="C334" s="454"/>
      <c r="D334" s="454"/>
      <c r="E334" s="454"/>
      <c r="F334" s="454"/>
    </row>
    <row r="335">
      <c r="C335" s="454"/>
      <c r="D335" s="454"/>
      <c r="E335" s="454"/>
      <c r="F335" s="454"/>
    </row>
    <row r="336">
      <c r="C336" s="454"/>
      <c r="D336" s="454"/>
      <c r="E336" s="454"/>
      <c r="F336" s="454"/>
    </row>
    <row r="337">
      <c r="C337" s="454"/>
      <c r="D337" s="454"/>
      <c r="E337" s="454"/>
      <c r="F337" s="454"/>
    </row>
    <row r="338">
      <c r="C338" s="454"/>
      <c r="D338" s="454"/>
      <c r="E338" s="454"/>
      <c r="F338" s="454"/>
    </row>
    <row r="339">
      <c r="C339" s="454"/>
      <c r="D339" s="454"/>
      <c r="E339" s="454"/>
      <c r="F339" s="454"/>
    </row>
    <row r="340">
      <c r="C340" s="454"/>
      <c r="D340" s="454"/>
      <c r="E340" s="454"/>
      <c r="F340" s="454"/>
    </row>
    <row r="341">
      <c r="C341" s="454"/>
      <c r="D341" s="454"/>
      <c r="E341" s="454"/>
      <c r="F341" s="454"/>
    </row>
    <row r="342">
      <c r="C342" s="454"/>
      <c r="D342" s="454"/>
      <c r="E342" s="454"/>
      <c r="F342" s="454"/>
    </row>
    <row r="343">
      <c r="C343" s="454"/>
      <c r="D343" s="454"/>
      <c r="E343" s="454"/>
      <c r="F343" s="454"/>
    </row>
    <row r="344">
      <c r="C344" s="454"/>
      <c r="D344" s="454"/>
      <c r="E344" s="454"/>
      <c r="F344" s="454"/>
    </row>
    <row r="345">
      <c r="C345" s="454"/>
      <c r="D345" s="454"/>
      <c r="E345" s="454"/>
      <c r="F345" s="454"/>
    </row>
    <row r="346">
      <c r="C346" s="454"/>
      <c r="D346" s="454"/>
      <c r="E346" s="454"/>
      <c r="F346" s="454"/>
    </row>
    <row r="347">
      <c r="C347" s="454"/>
      <c r="D347" s="454"/>
      <c r="E347" s="454"/>
      <c r="F347" s="454"/>
    </row>
    <row r="348">
      <c r="C348" s="454"/>
      <c r="D348" s="454"/>
      <c r="E348" s="454"/>
      <c r="F348" s="454"/>
    </row>
    <row r="349">
      <c r="C349" s="454"/>
      <c r="D349" s="454"/>
      <c r="E349" s="454"/>
      <c r="F349" s="454"/>
    </row>
    <row r="350">
      <c r="C350" s="454"/>
      <c r="D350" s="454"/>
      <c r="E350" s="454"/>
      <c r="F350" s="454"/>
    </row>
    <row r="351">
      <c r="C351" s="454"/>
      <c r="D351" s="454"/>
      <c r="E351" s="454"/>
      <c r="F351" s="454"/>
    </row>
    <row r="352">
      <c r="C352" s="454"/>
      <c r="D352" s="454"/>
      <c r="E352" s="454"/>
      <c r="F352" s="454"/>
    </row>
    <row r="353">
      <c r="C353" s="454"/>
      <c r="D353" s="454"/>
      <c r="E353" s="454"/>
      <c r="F353" s="454"/>
    </row>
    <row r="354">
      <c r="C354" s="454"/>
      <c r="D354" s="454"/>
      <c r="E354" s="454"/>
      <c r="F354" s="454"/>
    </row>
    <row r="355">
      <c r="C355" s="454"/>
      <c r="D355" s="454"/>
      <c r="E355" s="454"/>
      <c r="F355" s="454"/>
    </row>
    <row r="356">
      <c r="C356" s="454"/>
      <c r="D356" s="454"/>
      <c r="E356" s="454"/>
      <c r="F356" s="454"/>
    </row>
    <row r="357">
      <c r="C357" s="454"/>
      <c r="D357" s="454"/>
      <c r="E357" s="454"/>
      <c r="F357" s="454"/>
    </row>
    <row r="358">
      <c r="C358" s="454"/>
      <c r="D358" s="454"/>
      <c r="E358" s="454"/>
      <c r="F358" s="454"/>
    </row>
    <row r="359">
      <c r="C359" s="454"/>
      <c r="D359" s="454"/>
      <c r="E359" s="454"/>
      <c r="F359" s="454"/>
    </row>
    <row r="360">
      <c r="C360" s="454"/>
      <c r="D360" s="454"/>
      <c r="E360" s="454"/>
      <c r="F360" s="454"/>
    </row>
    <row r="361">
      <c r="C361" s="454"/>
      <c r="D361" s="454"/>
      <c r="E361" s="454"/>
      <c r="F361" s="454"/>
    </row>
    <row r="362">
      <c r="C362" s="454"/>
      <c r="D362" s="454"/>
      <c r="E362" s="454"/>
      <c r="F362" s="454"/>
    </row>
    <row r="363">
      <c r="C363" s="454"/>
      <c r="D363" s="454"/>
      <c r="E363" s="454"/>
      <c r="F363" s="454"/>
    </row>
    <row r="364">
      <c r="C364" s="454"/>
      <c r="D364" s="454"/>
      <c r="E364" s="454"/>
      <c r="F364" s="454"/>
    </row>
    <row r="365">
      <c r="C365" s="454"/>
      <c r="D365" s="454"/>
      <c r="E365" s="454"/>
      <c r="F365" s="454"/>
    </row>
    <row r="366">
      <c r="C366" s="454"/>
      <c r="D366" s="454"/>
      <c r="E366" s="454"/>
      <c r="F366" s="454"/>
    </row>
    <row r="367">
      <c r="C367" s="454"/>
      <c r="D367" s="454"/>
      <c r="E367" s="454"/>
      <c r="F367" s="454"/>
    </row>
    <row r="368">
      <c r="C368" s="454"/>
      <c r="D368" s="454"/>
      <c r="E368" s="454"/>
      <c r="F368" s="454"/>
    </row>
    <row r="369">
      <c r="C369" s="454"/>
      <c r="D369" s="454"/>
      <c r="E369" s="454"/>
      <c r="F369" s="454"/>
    </row>
    <row r="370">
      <c r="C370" s="454"/>
      <c r="D370" s="454"/>
      <c r="E370" s="454"/>
      <c r="F370" s="454"/>
    </row>
    <row r="371">
      <c r="C371" s="454"/>
      <c r="D371" s="454"/>
      <c r="E371" s="454"/>
      <c r="F371" s="454"/>
    </row>
    <row r="372">
      <c r="C372" s="454"/>
      <c r="D372" s="454"/>
      <c r="E372" s="454"/>
      <c r="F372" s="454"/>
    </row>
    <row r="373">
      <c r="C373" s="454"/>
      <c r="D373" s="454"/>
      <c r="E373" s="454"/>
      <c r="F373" s="454"/>
    </row>
    <row r="374">
      <c r="C374" s="454"/>
      <c r="D374" s="454"/>
      <c r="E374" s="454"/>
      <c r="F374" s="454"/>
    </row>
    <row r="375">
      <c r="C375" s="454"/>
      <c r="D375" s="454"/>
      <c r="E375" s="454"/>
      <c r="F375" s="454"/>
    </row>
    <row r="376">
      <c r="C376" s="454"/>
      <c r="D376" s="454"/>
      <c r="E376" s="454"/>
      <c r="F376" s="454"/>
    </row>
    <row r="377">
      <c r="C377" s="454"/>
      <c r="D377" s="454"/>
      <c r="E377" s="454"/>
      <c r="F377" s="454"/>
    </row>
    <row r="378">
      <c r="C378" s="454"/>
      <c r="D378" s="454"/>
      <c r="E378" s="454"/>
      <c r="F378" s="454"/>
    </row>
    <row r="379">
      <c r="C379" s="454"/>
      <c r="D379" s="454"/>
      <c r="E379" s="454"/>
      <c r="F379" s="454"/>
    </row>
    <row r="380">
      <c r="C380" s="454"/>
      <c r="D380" s="454"/>
      <c r="E380" s="454"/>
      <c r="F380" s="454"/>
    </row>
    <row r="381">
      <c r="C381" s="454"/>
      <c r="D381" s="454"/>
      <c r="E381" s="454"/>
      <c r="F381" s="454"/>
    </row>
    <row r="382">
      <c r="C382" s="454"/>
      <c r="D382" s="454"/>
      <c r="E382" s="454"/>
      <c r="F382" s="454"/>
    </row>
    <row r="383">
      <c r="C383" s="454"/>
      <c r="D383" s="454"/>
      <c r="E383" s="454"/>
      <c r="F383" s="454"/>
    </row>
    <row r="384">
      <c r="C384" s="454"/>
      <c r="D384" s="454"/>
      <c r="E384" s="454"/>
      <c r="F384" s="454"/>
    </row>
    <row r="385">
      <c r="C385" s="454"/>
      <c r="D385" s="454"/>
      <c r="E385" s="454"/>
      <c r="F385" s="454"/>
    </row>
    <row r="386">
      <c r="C386" s="454"/>
      <c r="D386" s="454"/>
      <c r="E386" s="454"/>
      <c r="F386" s="454"/>
    </row>
    <row r="387">
      <c r="C387" s="454"/>
      <c r="D387" s="454"/>
      <c r="E387" s="454"/>
      <c r="F387" s="454"/>
    </row>
    <row r="388">
      <c r="C388" s="454"/>
      <c r="D388" s="454"/>
      <c r="E388" s="454"/>
      <c r="F388" s="454"/>
    </row>
    <row r="389">
      <c r="C389" s="454"/>
      <c r="D389" s="454"/>
      <c r="E389" s="454"/>
      <c r="F389" s="454"/>
    </row>
    <row r="390">
      <c r="C390" s="454"/>
      <c r="D390" s="454"/>
      <c r="E390" s="454"/>
      <c r="F390" s="454"/>
    </row>
    <row r="391">
      <c r="C391" s="454"/>
      <c r="D391" s="454"/>
      <c r="E391" s="454"/>
      <c r="F391" s="454"/>
    </row>
    <row r="392">
      <c r="C392" s="454"/>
      <c r="D392" s="454"/>
      <c r="E392" s="454"/>
      <c r="F392" s="454"/>
    </row>
    <row r="393">
      <c r="C393" s="454"/>
      <c r="D393" s="454"/>
      <c r="E393" s="454"/>
      <c r="F393" s="454"/>
    </row>
    <row r="394">
      <c r="C394" s="454"/>
      <c r="D394" s="454"/>
      <c r="E394" s="454"/>
      <c r="F394" s="454"/>
    </row>
    <row r="395">
      <c r="C395" s="454"/>
      <c r="D395" s="454"/>
      <c r="E395" s="454"/>
      <c r="F395" s="454"/>
    </row>
    <row r="396">
      <c r="C396" s="454"/>
      <c r="D396" s="454"/>
      <c r="E396" s="454"/>
      <c r="F396" s="454"/>
    </row>
    <row r="397">
      <c r="C397" s="454"/>
      <c r="D397" s="454"/>
      <c r="E397" s="454"/>
      <c r="F397" s="454"/>
    </row>
    <row r="398">
      <c r="C398" s="454"/>
      <c r="D398" s="454"/>
      <c r="E398" s="454"/>
      <c r="F398" s="454"/>
    </row>
    <row r="399">
      <c r="C399" s="454"/>
      <c r="D399" s="454"/>
      <c r="E399" s="454"/>
      <c r="F399" s="454"/>
    </row>
    <row r="400">
      <c r="C400" s="454"/>
      <c r="D400" s="454"/>
      <c r="E400" s="454"/>
      <c r="F400" s="454"/>
    </row>
    <row r="401">
      <c r="C401" s="454"/>
      <c r="D401" s="454"/>
      <c r="E401" s="454"/>
      <c r="F401" s="454"/>
    </row>
    <row r="402">
      <c r="C402" s="454"/>
      <c r="D402" s="454"/>
      <c r="E402" s="454"/>
      <c r="F402" s="454"/>
    </row>
    <row r="403">
      <c r="C403" s="454"/>
      <c r="D403" s="454"/>
      <c r="E403" s="454"/>
      <c r="F403" s="454"/>
    </row>
    <row r="404">
      <c r="C404" s="454"/>
      <c r="D404" s="454"/>
      <c r="E404" s="454"/>
      <c r="F404" s="454"/>
    </row>
    <row r="405">
      <c r="C405" s="454"/>
      <c r="D405" s="454"/>
      <c r="E405" s="454"/>
      <c r="F405" s="454"/>
    </row>
    <row r="406">
      <c r="C406" s="454"/>
      <c r="D406" s="454"/>
      <c r="E406" s="454"/>
      <c r="F406" s="454"/>
    </row>
    <row r="407">
      <c r="C407" s="454"/>
      <c r="D407" s="454"/>
      <c r="E407" s="454"/>
      <c r="F407" s="454"/>
    </row>
    <row r="408">
      <c r="C408" s="454"/>
      <c r="D408" s="454"/>
      <c r="E408" s="454"/>
      <c r="F408" s="454"/>
    </row>
    <row r="409">
      <c r="C409" s="454"/>
      <c r="D409" s="454"/>
      <c r="E409" s="454"/>
      <c r="F409" s="454"/>
    </row>
    <row r="410">
      <c r="C410" s="454"/>
      <c r="D410" s="454"/>
      <c r="E410" s="454"/>
      <c r="F410" s="454"/>
    </row>
    <row r="411">
      <c r="C411" s="454"/>
      <c r="D411" s="454"/>
      <c r="E411" s="454"/>
      <c r="F411" s="454"/>
    </row>
    <row r="412">
      <c r="C412" s="454"/>
      <c r="D412" s="454"/>
      <c r="E412" s="454"/>
      <c r="F412" s="454"/>
    </row>
    <row r="413">
      <c r="C413" s="454"/>
      <c r="D413" s="454"/>
      <c r="E413" s="454"/>
      <c r="F413" s="454"/>
    </row>
    <row r="414">
      <c r="C414" s="454"/>
      <c r="D414" s="454"/>
      <c r="E414" s="454"/>
      <c r="F414" s="454"/>
    </row>
    <row r="415">
      <c r="C415" s="454"/>
      <c r="D415" s="454"/>
      <c r="E415" s="454"/>
      <c r="F415" s="454"/>
    </row>
    <row r="416">
      <c r="C416" s="454"/>
      <c r="D416" s="454"/>
      <c r="E416" s="454"/>
      <c r="F416" s="454"/>
    </row>
    <row r="417">
      <c r="C417" s="454"/>
      <c r="D417" s="454"/>
      <c r="E417" s="454"/>
      <c r="F417" s="454"/>
    </row>
    <row r="418">
      <c r="C418" s="454"/>
      <c r="D418" s="454"/>
      <c r="E418" s="454"/>
      <c r="F418" s="454"/>
    </row>
    <row r="419">
      <c r="C419" s="454"/>
      <c r="D419" s="454"/>
      <c r="E419" s="454"/>
      <c r="F419" s="454"/>
    </row>
    <row r="420">
      <c r="C420" s="454"/>
      <c r="D420" s="454"/>
      <c r="E420" s="454"/>
      <c r="F420" s="454"/>
    </row>
    <row r="421">
      <c r="C421" s="454"/>
      <c r="D421" s="454"/>
      <c r="E421" s="454"/>
      <c r="F421" s="454"/>
    </row>
    <row r="422">
      <c r="C422" s="454"/>
      <c r="D422" s="454"/>
      <c r="E422" s="454"/>
      <c r="F422" s="454"/>
    </row>
    <row r="423">
      <c r="C423" s="454"/>
      <c r="D423" s="454"/>
      <c r="E423" s="454"/>
      <c r="F423" s="454"/>
    </row>
    <row r="424">
      <c r="C424" s="454"/>
      <c r="D424" s="454"/>
      <c r="E424" s="454"/>
      <c r="F424" s="454"/>
    </row>
    <row r="425">
      <c r="C425" s="454"/>
      <c r="D425" s="454"/>
      <c r="E425" s="454"/>
      <c r="F425" s="454"/>
    </row>
    <row r="426">
      <c r="C426" s="454"/>
      <c r="D426" s="454"/>
      <c r="E426" s="454"/>
      <c r="F426" s="454"/>
    </row>
    <row r="427">
      <c r="C427" s="454"/>
      <c r="D427" s="454"/>
      <c r="E427" s="454"/>
      <c r="F427" s="454"/>
    </row>
    <row r="428">
      <c r="C428" s="454"/>
      <c r="D428" s="454"/>
      <c r="E428" s="454"/>
      <c r="F428" s="454"/>
    </row>
    <row r="429">
      <c r="C429" s="454"/>
      <c r="D429" s="454"/>
      <c r="E429" s="454"/>
      <c r="F429" s="454"/>
    </row>
    <row r="430">
      <c r="C430" s="454"/>
      <c r="D430" s="454"/>
      <c r="E430" s="454"/>
      <c r="F430" s="454"/>
    </row>
    <row r="431">
      <c r="C431" s="454"/>
      <c r="D431" s="454"/>
      <c r="E431" s="454"/>
      <c r="F431" s="454"/>
    </row>
    <row r="432">
      <c r="C432" s="454"/>
      <c r="D432" s="454"/>
      <c r="E432" s="454"/>
      <c r="F432" s="454"/>
    </row>
    <row r="433">
      <c r="C433" s="454"/>
      <c r="D433" s="454"/>
      <c r="E433" s="454"/>
      <c r="F433" s="454"/>
    </row>
    <row r="434">
      <c r="C434" s="454"/>
      <c r="D434" s="454"/>
      <c r="E434" s="454"/>
      <c r="F434" s="454"/>
    </row>
    <row r="435">
      <c r="C435" s="454"/>
      <c r="D435" s="454"/>
      <c r="E435" s="454"/>
      <c r="F435" s="454"/>
    </row>
    <row r="436">
      <c r="C436" s="454"/>
      <c r="D436" s="454"/>
      <c r="E436" s="454"/>
      <c r="F436" s="454"/>
    </row>
    <row r="437">
      <c r="C437" s="454"/>
      <c r="D437" s="454"/>
      <c r="E437" s="454"/>
      <c r="F437" s="454"/>
    </row>
    <row r="438">
      <c r="C438" s="454"/>
      <c r="D438" s="454"/>
      <c r="E438" s="454"/>
      <c r="F438" s="454"/>
    </row>
    <row r="439">
      <c r="C439" s="454"/>
      <c r="D439" s="454"/>
      <c r="E439" s="454"/>
      <c r="F439" s="454"/>
    </row>
    <row r="440">
      <c r="C440" s="454"/>
      <c r="D440" s="454"/>
      <c r="E440" s="454"/>
      <c r="F440" s="454"/>
    </row>
    <row r="441">
      <c r="C441" s="454"/>
      <c r="D441" s="454"/>
      <c r="E441" s="454"/>
      <c r="F441" s="454"/>
    </row>
    <row r="442">
      <c r="C442" s="454"/>
      <c r="D442" s="454"/>
      <c r="E442" s="454"/>
      <c r="F442" s="454"/>
    </row>
    <row r="443">
      <c r="C443" s="454"/>
      <c r="D443" s="454"/>
      <c r="E443" s="454"/>
      <c r="F443" s="454"/>
    </row>
    <row r="444">
      <c r="C444" s="454"/>
      <c r="D444" s="454"/>
      <c r="E444" s="454"/>
      <c r="F444" s="454"/>
    </row>
    <row r="445">
      <c r="C445" s="454"/>
      <c r="D445" s="454"/>
      <c r="E445" s="454"/>
      <c r="F445" s="454"/>
    </row>
    <row r="446">
      <c r="C446" s="454"/>
      <c r="D446" s="454"/>
      <c r="E446" s="454"/>
      <c r="F446" s="454"/>
    </row>
    <row r="447">
      <c r="C447" s="454"/>
      <c r="D447" s="454"/>
      <c r="E447" s="454"/>
      <c r="F447" s="454"/>
    </row>
    <row r="448">
      <c r="C448" s="454"/>
      <c r="D448" s="454"/>
      <c r="E448" s="454"/>
      <c r="F448" s="454"/>
    </row>
    <row r="449">
      <c r="C449" s="454"/>
      <c r="D449" s="454"/>
      <c r="E449" s="454"/>
      <c r="F449" s="454"/>
    </row>
    <row r="450">
      <c r="C450" s="454"/>
      <c r="D450" s="454"/>
      <c r="E450" s="454"/>
      <c r="F450" s="454"/>
    </row>
    <row r="451">
      <c r="C451" s="454"/>
      <c r="D451" s="454"/>
      <c r="E451" s="454"/>
      <c r="F451" s="454"/>
    </row>
    <row r="452">
      <c r="C452" s="454"/>
      <c r="D452" s="454"/>
      <c r="E452" s="454"/>
      <c r="F452" s="454"/>
    </row>
    <row r="453">
      <c r="C453" s="454"/>
      <c r="D453" s="454"/>
      <c r="E453" s="454"/>
      <c r="F453" s="454"/>
    </row>
    <row r="454">
      <c r="C454" s="454"/>
      <c r="D454" s="454"/>
      <c r="E454" s="454"/>
      <c r="F454" s="454"/>
    </row>
    <row r="455">
      <c r="C455" s="454"/>
      <c r="D455" s="454"/>
      <c r="E455" s="454"/>
      <c r="F455" s="454"/>
    </row>
    <row r="456">
      <c r="C456" s="454"/>
      <c r="D456" s="454"/>
      <c r="E456" s="454"/>
      <c r="F456" s="454"/>
    </row>
    <row r="457">
      <c r="C457" s="454"/>
      <c r="D457" s="454"/>
      <c r="E457" s="454"/>
      <c r="F457" s="454"/>
    </row>
    <row r="458">
      <c r="C458" s="454"/>
      <c r="D458" s="454"/>
      <c r="E458" s="454"/>
      <c r="F458" s="454"/>
    </row>
    <row r="459">
      <c r="C459" s="454"/>
      <c r="D459" s="454"/>
      <c r="E459" s="454"/>
      <c r="F459" s="454"/>
    </row>
    <row r="460">
      <c r="C460" s="454"/>
      <c r="D460" s="454"/>
      <c r="E460" s="454"/>
      <c r="F460" s="454"/>
    </row>
    <row r="461">
      <c r="C461" s="454"/>
      <c r="D461" s="454"/>
      <c r="E461" s="454"/>
      <c r="F461" s="454"/>
    </row>
    <row r="462">
      <c r="C462" s="454"/>
      <c r="D462" s="454"/>
      <c r="E462" s="454"/>
      <c r="F462" s="454"/>
    </row>
    <row r="463">
      <c r="C463" s="454"/>
      <c r="D463" s="454"/>
      <c r="E463" s="454"/>
      <c r="F463" s="454"/>
    </row>
    <row r="464">
      <c r="C464" s="454"/>
      <c r="D464" s="454"/>
      <c r="E464" s="454"/>
      <c r="F464" s="454"/>
    </row>
    <row r="465">
      <c r="C465" s="454"/>
      <c r="D465" s="454"/>
      <c r="E465" s="454"/>
      <c r="F465" s="454"/>
    </row>
    <row r="466">
      <c r="C466" s="454"/>
      <c r="D466" s="454"/>
      <c r="E466" s="454"/>
      <c r="F466" s="454"/>
    </row>
    <row r="467">
      <c r="C467" s="454"/>
      <c r="D467" s="454"/>
      <c r="E467" s="454"/>
      <c r="F467" s="454"/>
    </row>
    <row r="468">
      <c r="C468" s="454"/>
      <c r="D468" s="454"/>
      <c r="E468" s="454"/>
      <c r="F468" s="454"/>
    </row>
    <row r="469">
      <c r="C469" s="454"/>
      <c r="D469" s="454"/>
      <c r="E469" s="454"/>
      <c r="F469" s="454"/>
    </row>
    <row r="470">
      <c r="C470" s="454"/>
      <c r="D470" s="454"/>
      <c r="E470" s="454"/>
      <c r="F470" s="454"/>
    </row>
    <row r="471">
      <c r="C471" s="454"/>
      <c r="D471" s="454"/>
      <c r="E471" s="454"/>
      <c r="F471" s="454"/>
    </row>
    <row r="472">
      <c r="C472" s="454"/>
      <c r="D472" s="454"/>
      <c r="E472" s="454"/>
      <c r="F472" s="454"/>
    </row>
    <row r="473">
      <c r="C473" s="454"/>
      <c r="D473" s="454"/>
      <c r="E473" s="454"/>
      <c r="F473" s="454"/>
    </row>
    <row r="474">
      <c r="C474" s="454"/>
      <c r="D474" s="454"/>
      <c r="E474" s="454"/>
      <c r="F474" s="454"/>
    </row>
    <row r="475">
      <c r="C475" s="454"/>
      <c r="D475" s="454"/>
      <c r="E475" s="454"/>
      <c r="F475" s="454"/>
    </row>
    <row r="476">
      <c r="C476" s="454"/>
      <c r="D476" s="454"/>
      <c r="E476" s="454"/>
      <c r="F476" s="454"/>
    </row>
    <row r="477">
      <c r="C477" s="454"/>
      <c r="D477" s="454"/>
      <c r="E477" s="454"/>
      <c r="F477" s="454"/>
    </row>
    <row r="478">
      <c r="C478" s="454"/>
      <c r="D478" s="454"/>
      <c r="E478" s="454"/>
      <c r="F478" s="454"/>
    </row>
    <row r="479">
      <c r="C479" s="454"/>
      <c r="D479" s="454"/>
      <c r="E479" s="454"/>
      <c r="F479" s="454"/>
    </row>
    <row r="480">
      <c r="C480" s="454"/>
      <c r="D480" s="454"/>
      <c r="E480" s="454"/>
      <c r="F480" s="454"/>
    </row>
    <row r="481">
      <c r="C481" s="454"/>
      <c r="D481" s="454"/>
      <c r="E481" s="454"/>
      <c r="F481" s="454"/>
    </row>
    <row r="482">
      <c r="C482" s="454"/>
      <c r="D482" s="454"/>
      <c r="E482" s="454"/>
      <c r="F482" s="454"/>
    </row>
    <row r="483">
      <c r="C483" s="454"/>
      <c r="D483" s="454"/>
      <c r="E483" s="454"/>
      <c r="F483" s="454"/>
    </row>
    <row r="484">
      <c r="C484" s="454"/>
      <c r="D484" s="454"/>
      <c r="E484" s="454"/>
      <c r="F484" s="454"/>
    </row>
    <row r="485">
      <c r="C485" s="454"/>
      <c r="D485" s="454"/>
      <c r="E485" s="454"/>
      <c r="F485" s="454"/>
    </row>
    <row r="486">
      <c r="C486" s="454"/>
      <c r="D486" s="454"/>
      <c r="E486" s="454"/>
      <c r="F486" s="454"/>
    </row>
    <row r="487">
      <c r="C487" s="454"/>
      <c r="D487" s="454"/>
      <c r="E487" s="454"/>
      <c r="F487" s="454"/>
    </row>
    <row r="488">
      <c r="C488" s="454"/>
      <c r="D488" s="454"/>
      <c r="E488" s="454"/>
      <c r="F488" s="454"/>
    </row>
    <row r="489">
      <c r="C489" s="454"/>
      <c r="D489" s="454"/>
      <c r="E489" s="454"/>
      <c r="F489" s="454"/>
    </row>
    <row r="490">
      <c r="C490" s="454"/>
      <c r="D490" s="454"/>
      <c r="E490" s="454"/>
      <c r="F490" s="454"/>
    </row>
    <row r="491">
      <c r="C491" s="454"/>
      <c r="D491" s="454"/>
      <c r="E491" s="454"/>
      <c r="F491" s="454"/>
    </row>
    <row r="492">
      <c r="C492" s="454"/>
      <c r="D492" s="454"/>
      <c r="E492" s="454"/>
      <c r="F492" s="454"/>
    </row>
    <row r="493">
      <c r="C493" s="454"/>
      <c r="D493" s="454"/>
      <c r="E493" s="454"/>
      <c r="F493" s="454"/>
    </row>
    <row r="494">
      <c r="C494" s="454"/>
      <c r="D494" s="454"/>
      <c r="E494" s="454"/>
      <c r="F494" s="454"/>
    </row>
    <row r="495">
      <c r="C495" s="454"/>
      <c r="D495" s="454"/>
      <c r="E495" s="454"/>
      <c r="F495" s="454"/>
    </row>
    <row r="496">
      <c r="C496" s="454"/>
      <c r="D496" s="454"/>
      <c r="E496" s="454"/>
      <c r="F496" s="454"/>
    </row>
    <row r="497">
      <c r="C497" s="454"/>
      <c r="D497" s="454"/>
      <c r="E497" s="454"/>
      <c r="F497" s="454"/>
    </row>
    <row r="498">
      <c r="C498" s="454"/>
      <c r="D498" s="454"/>
      <c r="E498" s="454"/>
      <c r="F498" s="454"/>
    </row>
    <row r="499">
      <c r="C499" s="454"/>
      <c r="D499" s="454"/>
      <c r="E499" s="454"/>
      <c r="F499" s="454"/>
    </row>
    <row r="500">
      <c r="C500" s="454"/>
      <c r="D500" s="454"/>
      <c r="E500" s="454"/>
      <c r="F500" s="454"/>
    </row>
    <row r="501">
      <c r="C501" s="454"/>
      <c r="D501" s="454"/>
      <c r="E501" s="454"/>
      <c r="F501" s="454"/>
    </row>
    <row r="502">
      <c r="C502" s="454"/>
      <c r="D502" s="454"/>
      <c r="E502" s="454"/>
      <c r="F502" s="454"/>
    </row>
    <row r="503">
      <c r="C503" s="454"/>
      <c r="D503" s="454"/>
      <c r="E503" s="454"/>
      <c r="F503" s="454"/>
    </row>
    <row r="504">
      <c r="C504" s="454"/>
      <c r="D504" s="454"/>
      <c r="E504" s="454"/>
      <c r="F504" s="454"/>
    </row>
    <row r="505">
      <c r="C505" s="454"/>
      <c r="D505" s="454"/>
      <c r="E505" s="454"/>
      <c r="F505" s="454"/>
    </row>
    <row r="506">
      <c r="C506" s="454"/>
      <c r="D506" s="454"/>
      <c r="E506" s="454"/>
      <c r="F506" s="454"/>
    </row>
    <row r="507">
      <c r="C507" s="454"/>
      <c r="D507" s="454"/>
      <c r="E507" s="454"/>
      <c r="F507" s="454"/>
    </row>
    <row r="508">
      <c r="C508" s="454"/>
      <c r="D508" s="454"/>
      <c r="E508" s="454"/>
      <c r="F508" s="454"/>
    </row>
    <row r="509">
      <c r="C509" s="454"/>
      <c r="D509" s="454"/>
      <c r="E509" s="454"/>
      <c r="F509" s="454"/>
    </row>
    <row r="510">
      <c r="C510" s="454"/>
      <c r="D510" s="454"/>
      <c r="E510" s="454"/>
      <c r="F510" s="454"/>
    </row>
    <row r="511">
      <c r="C511" s="454"/>
      <c r="D511" s="454"/>
      <c r="E511" s="454"/>
      <c r="F511" s="454"/>
    </row>
    <row r="512">
      <c r="C512" s="454"/>
      <c r="D512" s="454"/>
      <c r="E512" s="454"/>
      <c r="F512" s="454"/>
    </row>
    <row r="513">
      <c r="C513" s="454"/>
      <c r="D513" s="454"/>
      <c r="E513" s="454"/>
      <c r="F513" s="454"/>
    </row>
    <row r="514">
      <c r="C514" s="454"/>
      <c r="D514" s="454"/>
      <c r="E514" s="454"/>
      <c r="F514" s="454"/>
    </row>
    <row r="515">
      <c r="C515" s="454"/>
      <c r="D515" s="454"/>
      <c r="E515" s="454"/>
      <c r="F515" s="454"/>
    </row>
    <row r="516">
      <c r="C516" s="454"/>
      <c r="D516" s="454"/>
      <c r="E516" s="454"/>
      <c r="F516" s="454"/>
    </row>
    <row r="517">
      <c r="C517" s="454"/>
      <c r="D517" s="454"/>
      <c r="E517" s="454"/>
      <c r="F517" s="454"/>
    </row>
    <row r="518">
      <c r="C518" s="454"/>
      <c r="D518" s="454"/>
      <c r="E518" s="454"/>
      <c r="F518" s="454"/>
    </row>
    <row r="519">
      <c r="C519" s="454"/>
      <c r="D519" s="454"/>
      <c r="E519" s="454"/>
      <c r="F519" s="454"/>
    </row>
    <row r="520">
      <c r="C520" s="454"/>
      <c r="D520" s="454"/>
      <c r="E520" s="454"/>
      <c r="F520" s="454"/>
    </row>
    <row r="521">
      <c r="C521" s="454"/>
      <c r="D521" s="454"/>
      <c r="E521" s="454"/>
      <c r="F521" s="454"/>
    </row>
    <row r="522">
      <c r="C522" s="454"/>
      <c r="D522" s="454"/>
      <c r="E522" s="454"/>
      <c r="F522" s="454"/>
    </row>
    <row r="523">
      <c r="C523" s="454"/>
      <c r="D523" s="454"/>
      <c r="E523" s="454"/>
      <c r="F523" s="454"/>
    </row>
    <row r="524">
      <c r="C524" s="454"/>
      <c r="D524" s="454"/>
      <c r="E524" s="454"/>
      <c r="F524" s="454"/>
    </row>
    <row r="525">
      <c r="C525" s="454"/>
      <c r="D525" s="454"/>
      <c r="E525" s="454"/>
      <c r="F525" s="454"/>
    </row>
    <row r="526">
      <c r="C526" s="454"/>
      <c r="D526" s="454"/>
      <c r="E526" s="454"/>
      <c r="F526" s="454"/>
    </row>
    <row r="527">
      <c r="C527" s="454"/>
      <c r="D527" s="454"/>
      <c r="E527" s="454"/>
      <c r="F527" s="454"/>
    </row>
    <row r="528">
      <c r="C528" s="454"/>
      <c r="D528" s="454"/>
      <c r="E528" s="454"/>
      <c r="F528" s="454"/>
    </row>
    <row r="529">
      <c r="C529" s="454"/>
      <c r="D529" s="454"/>
      <c r="E529" s="454"/>
      <c r="F529" s="454"/>
    </row>
    <row r="530">
      <c r="C530" s="454"/>
      <c r="D530" s="454"/>
      <c r="E530" s="454"/>
      <c r="F530" s="454"/>
    </row>
    <row r="531">
      <c r="C531" s="454"/>
      <c r="D531" s="454"/>
      <c r="E531" s="454"/>
      <c r="F531" s="454"/>
    </row>
    <row r="532">
      <c r="C532" s="454"/>
      <c r="D532" s="454"/>
      <c r="E532" s="454"/>
      <c r="F532" s="454"/>
    </row>
    <row r="533">
      <c r="C533" s="454"/>
      <c r="D533" s="454"/>
      <c r="E533" s="454"/>
      <c r="F533" s="454"/>
    </row>
    <row r="534">
      <c r="C534" s="454"/>
      <c r="D534" s="454"/>
      <c r="E534" s="454"/>
      <c r="F534" s="454"/>
    </row>
    <row r="535">
      <c r="C535" s="454"/>
      <c r="D535" s="454"/>
      <c r="E535" s="454"/>
      <c r="F535" s="454"/>
    </row>
    <row r="536">
      <c r="C536" s="454"/>
      <c r="D536" s="454"/>
      <c r="E536" s="454"/>
      <c r="F536" s="454"/>
    </row>
    <row r="537">
      <c r="C537" s="454"/>
      <c r="D537" s="454"/>
      <c r="E537" s="454"/>
      <c r="F537" s="454"/>
    </row>
    <row r="538">
      <c r="C538" s="454"/>
      <c r="D538" s="454"/>
      <c r="E538" s="454"/>
      <c r="F538" s="454"/>
    </row>
    <row r="539">
      <c r="C539" s="454"/>
      <c r="D539" s="454"/>
      <c r="E539" s="454"/>
      <c r="F539" s="454"/>
    </row>
    <row r="540">
      <c r="C540" s="454"/>
      <c r="D540" s="454"/>
      <c r="E540" s="454"/>
      <c r="F540" s="454"/>
    </row>
    <row r="541">
      <c r="C541" s="454"/>
      <c r="D541" s="454"/>
      <c r="E541" s="454"/>
      <c r="F541" s="454"/>
    </row>
    <row r="542">
      <c r="C542" s="454"/>
      <c r="D542" s="454"/>
      <c r="E542" s="454"/>
      <c r="F542" s="454"/>
    </row>
    <row r="543">
      <c r="C543" s="454"/>
      <c r="D543" s="454"/>
      <c r="E543" s="454"/>
      <c r="F543" s="454"/>
    </row>
    <row r="544">
      <c r="C544" s="454"/>
      <c r="D544" s="454"/>
      <c r="E544" s="454"/>
      <c r="F544" s="454"/>
    </row>
    <row r="545">
      <c r="C545" s="454"/>
      <c r="D545" s="454"/>
      <c r="E545" s="454"/>
      <c r="F545" s="454"/>
    </row>
    <row r="546">
      <c r="C546" s="454"/>
      <c r="D546" s="454"/>
      <c r="E546" s="454"/>
      <c r="F546" s="454"/>
    </row>
    <row r="547">
      <c r="C547" s="454"/>
      <c r="D547" s="454"/>
      <c r="E547" s="454"/>
      <c r="F547" s="454"/>
    </row>
    <row r="548">
      <c r="C548" s="454"/>
      <c r="D548" s="454"/>
      <c r="E548" s="454"/>
      <c r="F548" s="454"/>
    </row>
    <row r="549">
      <c r="C549" s="454"/>
      <c r="D549" s="454"/>
      <c r="E549" s="454"/>
      <c r="F549" s="454"/>
    </row>
    <row r="550">
      <c r="C550" s="454"/>
      <c r="D550" s="454"/>
      <c r="E550" s="454"/>
      <c r="F550" s="454"/>
    </row>
    <row r="551">
      <c r="C551" s="454"/>
      <c r="D551" s="454"/>
      <c r="E551" s="454"/>
      <c r="F551" s="454"/>
    </row>
    <row r="552">
      <c r="C552" s="454"/>
      <c r="D552" s="454"/>
      <c r="E552" s="454"/>
      <c r="F552" s="454"/>
    </row>
    <row r="553">
      <c r="C553" s="454"/>
      <c r="D553" s="454"/>
      <c r="E553" s="454"/>
      <c r="F553" s="454"/>
    </row>
    <row r="554">
      <c r="C554" s="454"/>
      <c r="D554" s="454"/>
      <c r="E554" s="454"/>
      <c r="F554" s="454"/>
    </row>
    <row r="555">
      <c r="C555" s="454"/>
      <c r="D555" s="454"/>
      <c r="E555" s="454"/>
      <c r="F555" s="454"/>
    </row>
    <row r="556">
      <c r="C556" s="454"/>
      <c r="D556" s="454"/>
      <c r="E556" s="454"/>
      <c r="F556" s="454"/>
    </row>
    <row r="557">
      <c r="C557" s="454"/>
      <c r="D557" s="454"/>
      <c r="E557" s="454"/>
      <c r="F557" s="454"/>
    </row>
    <row r="558">
      <c r="C558" s="454"/>
      <c r="D558" s="454"/>
      <c r="E558" s="454"/>
      <c r="F558" s="454"/>
    </row>
    <row r="559">
      <c r="C559" s="454"/>
      <c r="D559" s="454"/>
      <c r="E559" s="454"/>
      <c r="F559" s="454"/>
    </row>
    <row r="560">
      <c r="C560" s="454"/>
      <c r="D560" s="454"/>
      <c r="E560" s="454"/>
      <c r="F560" s="454"/>
    </row>
    <row r="561">
      <c r="C561" s="454"/>
      <c r="D561" s="454"/>
      <c r="E561" s="454"/>
      <c r="F561" s="454"/>
    </row>
    <row r="562">
      <c r="C562" s="454"/>
      <c r="D562" s="454"/>
      <c r="E562" s="454"/>
      <c r="F562" s="454"/>
    </row>
    <row r="563">
      <c r="C563" s="454"/>
      <c r="D563" s="454"/>
      <c r="E563" s="454"/>
      <c r="F563" s="454"/>
    </row>
    <row r="564">
      <c r="C564" s="454"/>
      <c r="D564" s="454"/>
      <c r="E564" s="454"/>
      <c r="F564" s="454"/>
    </row>
    <row r="565">
      <c r="C565" s="454"/>
      <c r="D565" s="454"/>
      <c r="E565" s="454"/>
      <c r="F565" s="454"/>
    </row>
    <row r="566">
      <c r="C566" s="454"/>
      <c r="D566" s="454"/>
      <c r="E566" s="454"/>
      <c r="F566" s="454"/>
    </row>
    <row r="567">
      <c r="C567" s="454"/>
      <c r="D567" s="454"/>
      <c r="E567" s="454"/>
      <c r="F567" s="454"/>
    </row>
    <row r="568">
      <c r="C568" s="454"/>
      <c r="D568" s="454"/>
      <c r="E568" s="454"/>
      <c r="F568" s="454"/>
    </row>
    <row r="569">
      <c r="C569" s="454"/>
      <c r="D569" s="454"/>
      <c r="E569" s="454"/>
      <c r="F569" s="454"/>
    </row>
    <row r="570">
      <c r="C570" s="454"/>
      <c r="D570" s="454"/>
      <c r="E570" s="454"/>
      <c r="F570" s="454"/>
    </row>
    <row r="571">
      <c r="C571" s="454"/>
      <c r="D571" s="454"/>
      <c r="E571" s="454"/>
      <c r="F571" s="454"/>
    </row>
    <row r="572">
      <c r="C572" s="454"/>
      <c r="D572" s="454"/>
      <c r="E572" s="454"/>
      <c r="F572" s="454"/>
    </row>
    <row r="573">
      <c r="C573" s="454"/>
      <c r="D573" s="454"/>
      <c r="E573" s="454"/>
      <c r="F573" s="454"/>
    </row>
    <row r="574">
      <c r="C574" s="454"/>
      <c r="D574" s="454"/>
      <c r="E574" s="454"/>
      <c r="F574" s="454"/>
    </row>
    <row r="575">
      <c r="C575" s="454"/>
      <c r="D575" s="454"/>
      <c r="E575" s="454"/>
      <c r="F575" s="454"/>
    </row>
    <row r="576">
      <c r="C576" s="454"/>
      <c r="D576" s="454"/>
      <c r="E576" s="454"/>
      <c r="F576" s="454"/>
    </row>
    <row r="577">
      <c r="C577" s="454"/>
      <c r="D577" s="454"/>
      <c r="E577" s="454"/>
      <c r="F577" s="454"/>
    </row>
    <row r="578">
      <c r="C578" s="454"/>
      <c r="D578" s="454"/>
      <c r="E578" s="454"/>
      <c r="F578" s="454"/>
    </row>
    <row r="579">
      <c r="C579" s="454"/>
      <c r="D579" s="454"/>
      <c r="E579" s="454"/>
      <c r="F579" s="454"/>
    </row>
    <row r="580">
      <c r="C580" s="454"/>
      <c r="D580" s="454"/>
      <c r="E580" s="454"/>
      <c r="F580" s="454"/>
    </row>
    <row r="581">
      <c r="C581" s="454"/>
      <c r="D581" s="454"/>
      <c r="E581" s="454"/>
      <c r="F581" s="454"/>
    </row>
    <row r="582">
      <c r="C582" s="454"/>
      <c r="D582" s="454"/>
      <c r="E582" s="454"/>
      <c r="F582" s="454"/>
    </row>
    <row r="583">
      <c r="C583" s="454"/>
      <c r="D583" s="454"/>
      <c r="E583" s="454"/>
      <c r="F583" s="454"/>
    </row>
    <row r="584">
      <c r="C584" s="454"/>
      <c r="D584" s="454"/>
      <c r="E584" s="454"/>
      <c r="F584" s="454"/>
    </row>
    <row r="585">
      <c r="C585" s="454"/>
      <c r="D585" s="454"/>
      <c r="E585" s="454"/>
      <c r="F585" s="454"/>
    </row>
    <row r="586">
      <c r="C586" s="454"/>
      <c r="D586" s="454"/>
      <c r="E586" s="454"/>
      <c r="F586" s="454"/>
    </row>
    <row r="587">
      <c r="C587" s="454"/>
      <c r="D587" s="454"/>
      <c r="E587" s="454"/>
      <c r="F587" s="454"/>
    </row>
    <row r="588">
      <c r="C588" s="454"/>
      <c r="D588" s="454"/>
      <c r="E588" s="454"/>
      <c r="F588" s="454"/>
    </row>
    <row r="589">
      <c r="C589" s="454"/>
      <c r="D589" s="454"/>
      <c r="E589" s="454"/>
      <c r="F589" s="454"/>
    </row>
    <row r="590">
      <c r="C590" s="454"/>
      <c r="D590" s="454"/>
      <c r="E590" s="454"/>
      <c r="F590" s="454"/>
    </row>
    <row r="591">
      <c r="C591" s="454"/>
      <c r="D591" s="454"/>
      <c r="E591" s="454"/>
      <c r="F591" s="454"/>
    </row>
    <row r="592">
      <c r="C592" s="454"/>
      <c r="D592" s="454"/>
      <c r="E592" s="454"/>
      <c r="F592" s="454"/>
    </row>
    <row r="593">
      <c r="C593" s="454"/>
      <c r="D593" s="454"/>
      <c r="E593" s="454"/>
      <c r="F593" s="454"/>
    </row>
    <row r="594">
      <c r="C594" s="454"/>
      <c r="D594" s="454"/>
      <c r="E594" s="454"/>
      <c r="F594" s="454"/>
    </row>
    <row r="595">
      <c r="C595" s="454"/>
      <c r="D595" s="454"/>
      <c r="E595" s="454"/>
      <c r="F595" s="454"/>
    </row>
    <row r="596">
      <c r="C596" s="454"/>
      <c r="D596" s="454"/>
      <c r="E596" s="454"/>
      <c r="F596" s="454"/>
    </row>
    <row r="597">
      <c r="C597" s="454"/>
      <c r="D597" s="454"/>
      <c r="E597" s="454"/>
      <c r="F597" s="454"/>
    </row>
    <row r="598">
      <c r="C598" s="454"/>
      <c r="D598" s="454"/>
      <c r="E598" s="454"/>
      <c r="F598" s="454"/>
    </row>
    <row r="599">
      <c r="C599" s="454"/>
      <c r="D599" s="454"/>
      <c r="E599" s="454"/>
      <c r="F599" s="454"/>
    </row>
    <row r="600">
      <c r="C600" s="454"/>
      <c r="D600" s="454"/>
      <c r="E600" s="454"/>
      <c r="F600" s="454"/>
    </row>
    <row r="601">
      <c r="C601" s="454"/>
      <c r="D601" s="454"/>
      <c r="E601" s="454"/>
      <c r="F601" s="454"/>
    </row>
    <row r="602">
      <c r="C602" s="454"/>
      <c r="D602" s="454"/>
      <c r="E602" s="454"/>
      <c r="F602" s="454"/>
    </row>
    <row r="603">
      <c r="C603" s="454"/>
      <c r="D603" s="454"/>
      <c r="E603" s="454"/>
      <c r="F603" s="454"/>
    </row>
    <row r="604">
      <c r="C604" s="454"/>
      <c r="D604" s="454"/>
      <c r="E604" s="454"/>
      <c r="F604" s="454"/>
    </row>
    <row r="605">
      <c r="C605" s="454"/>
      <c r="D605" s="454"/>
      <c r="E605" s="454"/>
      <c r="F605" s="454"/>
    </row>
    <row r="606">
      <c r="C606" s="454"/>
      <c r="D606" s="454"/>
      <c r="E606" s="454"/>
      <c r="F606" s="454"/>
    </row>
    <row r="607">
      <c r="C607" s="454"/>
      <c r="D607" s="454"/>
      <c r="E607" s="454"/>
      <c r="F607" s="454"/>
    </row>
    <row r="608">
      <c r="C608" s="454"/>
      <c r="D608" s="454"/>
      <c r="E608" s="454"/>
      <c r="F608" s="454"/>
    </row>
    <row r="609">
      <c r="C609" s="454"/>
      <c r="D609" s="454"/>
      <c r="E609" s="454"/>
      <c r="F609" s="454"/>
    </row>
    <row r="610">
      <c r="C610" s="454"/>
      <c r="D610" s="454"/>
      <c r="E610" s="454"/>
      <c r="F610" s="454"/>
    </row>
    <row r="611">
      <c r="C611" s="454"/>
      <c r="D611" s="454"/>
      <c r="E611" s="454"/>
      <c r="F611" s="454"/>
    </row>
    <row r="612">
      <c r="C612" s="454"/>
      <c r="D612" s="454"/>
      <c r="E612" s="454"/>
      <c r="F612" s="454"/>
    </row>
    <row r="613">
      <c r="C613" s="454"/>
      <c r="D613" s="454"/>
      <c r="E613" s="454"/>
      <c r="F613" s="454"/>
    </row>
    <row r="614">
      <c r="C614" s="454"/>
      <c r="D614" s="454"/>
      <c r="E614" s="454"/>
      <c r="F614" s="454"/>
    </row>
    <row r="615">
      <c r="C615" s="454"/>
      <c r="D615" s="454"/>
      <c r="E615" s="454"/>
      <c r="F615" s="454"/>
    </row>
    <row r="616">
      <c r="C616" s="454"/>
      <c r="D616" s="454"/>
      <c r="E616" s="454"/>
      <c r="F616" s="454"/>
    </row>
    <row r="617">
      <c r="C617" s="454"/>
      <c r="D617" s="454"/>
      <c r="E617" s="454"/>
      <c r="F617" s="454"/>
    </row>
    <row r="618">
      <c r="C618" s="454"/>
      <c r="D618" s="454"/>
      <c r="E618" s="454"/>
      <c r="F618" s="454"/>
    </row>
    <row r="619">
      <c r="C619" s="454"/>
      <c r="D619" s="454"/>
      <c r="E619" s="454"/>
      <c r="F619" s="454"/>
    </row>
    <row r="620">
      <c r="C620" s="454"/>
      <c r="D620" s="454"/>
      <c r="E620" s="454"/>
      <c r="F620" s="454"/>
    </row>
    <row r="621">
      <c r="C621" s="454"/>
      <c r="D621" s="454"/>
      <c r="E621" s="454"/>
      <c r="F621" s="454"/>
    </row>
    <row r="622">
      <c r="C622" s="454"/>
      <c r="D622" s="454"/>
      <c r="E622" s="454"/>
      <c r="F622" s="454"/>
    </row>
    <row r="623">
      <c r="C623" s="454"/>
      <c r="D623" s="454"/>
      <c r="E623" s="454"/>
      <c r="F623" s="454"/>
    </row>
    <row r="624">
      <c r="C624" s="454"/>
      <c r="D624" s="454"/>
      <c r="E624" s="454"/>
      <c r="F624" s="454"/>
    </row>
    <row r="625">
      <c r="C625" s="454"/>
      <c r="D625" s="454"/>
      <c r="E625" s="454"/>
      <c r="F625" s="454"/>
    </row>
    <row r="626">
      <c r="C626" s="454"/>
      <c r="D626" s="454"/>
      <c r="E626" s="454"/>
      <c r="F626" s="454"/>
    </row>
    <row r="627">
      <c r="C627" s="454"/>
      <c r="D627" s="454"/>
      <c r="E627" s="454"/>
      <c r="F627" s="454"/>
    </row>
    <row r="628">
      <c r="C628" s="454"/>
      <c r="D628" s="454"/>
      <c r="E628" s="454"/>
      <c r="F628" s="454"/>
    </row>
    <row r="629">
      <c r="C629" s="454"/>
      <c r="D629" s="454"/>
      <c r="E629" s="454"/>
      <c r="F629" s="454"/>
    </row>
    <row r="630">
      <c r="C630" s="454"/>
      <c r="D630" s="454"/>
      <c r="E630" s="454"/>
      <c r="F630" s="454"/>
    </row>
    <row r="631">
      <c r="C631" s="454"/>
      <c r="D631" s="454"/>
      <c r="E631" s="454"/>
      <c r="F631" s="454"/>
    </row>
    <row r="632">
      <c r="C632" s="454"/>
      <c r="D632" s="454"/>
      <c r="E632" s="454"/>
      <c r="F632" s="454"/>
    </row>
    <row r="633">
      <c r="C633" s="454"/>
      <c r="D633" s="454"/>
      <c r="E633" s="454"/>
      <c r="F633" s="454"/>
    </row>
    <row r="634">
      <c r="C634" s="454"/>
      <c r="D634" s="454"/>
      <c r="E634" s="454"/>
      <c r="F634" s="454"/>
    </row>
    <row r="635">
      <c r="C635" s="454"/>
      <c r="D635" s="454"/>
      <c r="E635" s="454"/>
      <c r="F635" s="454"/>
    </row>
    <row r="636">
      <c r="C636" s="454"/>
      <c r="D636" s="454"/>
      <c r="E636" s="454"/>
      <c r="F636" s="454"/>
    </row>
    <row r="637">
      <c r="C637" s="454"/>
      <c r="D637" s="454"/>
      <c r="E637" s="454"/>
      <c r="F637" s="454"/>
    </row>
    <row r="638">
      <c r="C638" s="454"/>
      <c r="D638" s="454"/>
      <c r="E638" s="454"/>
      <c r="F638" s="454"/>
    </row>
    <row r="639">
      <c r="C639" s="454"/>
      <c r="D639" s="454"/>
      <c r="E639" s="454"/>
      <c r="F639" s="454"/>
    </row>
    <row r="640">
      <c r="C640" s="454"/>
      <c r="D640" s="454"/>
      <c r="E640" s="454"/>
      <c r="F640" s="454"/>
    </row>
    <row r="641">
      <c r="C641" s="454"/>
      <c r="D641" s="454"/>
      <c r="E641" s="454"/>
      <c r="F641" s="454"/>
    </row>
    <row r="642">
      <c r="C642" s="454"/>
      <c r="D642" s="454"/>
      <c r="E642" s="454"/>
      <c r="F642" s="454"/>
    </row>
    <row r="643">
      <c r="C643" s="454"/>
      <c r="D643" s="454"/>
      <c r="E643" s="454"/>
      <c r="F643" s="454"/>
    </row>
    <row r="644">
      <c r="C644" s="454"/>
      <c r="D644" s="454"/>
      <c r="E644" s="454"/>
      <c r="F644" s="454"/>
    </row>
    <row r="645">
      <c r="C645" s="454"/>
      <c r="D645" s="454"/>
      <c r="E645" s="454"/>
      <c r="F645" s="454"/>
    </row>
    <row r="646">
      <c r="C646" s="454"/>
      <c r="D646" s="454"/>
      <c r="E646" s="454"/>
      <c r="F646" s="454"/>
    </row>
    <row r="647">
      <c r="C647" s="454"/>
      <c r="D647" s="454"/>
      <c r="E647" s="454"/>
      <c r="F647" s="454"/>
    </row>
    <row r="648">
      <c r="C648" s="454"/>
      <c r="D648" s="454"/>
      <c r="E648" s="454"/>
      <c r="F648" s="454"/>
    </row>
    <row r="649">
      <c r="C649" s="454"/>
      <c r="D649" s="454"/>
      <c r="E649" s="454"/>
      <c r="F649" s="454"/>
    </row>
    <row r="650">
      <c r="C650" s="454"/>
      <c r="D650" s="454"/>
      <c r="E650" s="454"/>
      <c r="F650" s="454"/>
    </row>
    <row r="651">
      <c r="C651" s="454"/>
      <c r="D651" s="454"/>
      <c r="E651" s="454"/>
      <c r="F651" s="454"/>
    </row>
    <row r="652">
      <c r="C652" s="454"/>
      <c r="D652" s="454"/>
      <c r="E652" s="454"/>
      <c r="F652" s="454"/>
    </row>
    <row r="653">
      <c r="C653" s="454"/>
      <c r="D653" s="454"/>
      <c r="E653" s="454"/>
      <c r="F653" s="454"/>
    </row>
    <row r="654">
      <c r="C654" s="454"/>
      <c r="D654" s="454"/>
      <c r="E654" s="454"/>
      <c r="F654" s="454"/>
    </row>
    <row r="655">
      <c r="C655" s="454"/>
      <c r="D655" s="454"/>
      <c r="E655" s="454"/>
      <c r="F655" s="454"/>
    </row>
    <row r="656">
      <c r="C656" s="454"/>
      <c r="D656" s="454"/>
      <c r="E656" s="454"/>
      <c r="F656" s="454"/>
    </row>
    <row r="657">
      <c r="C657" s="454"/>
      <c r="D657" s="454"/>
      <c r="E657" s="454"/>
      <c r="F657" s="454"/>
    </row>
    <row r="658">
      <c r="C658" s="454"/>
      <c r="D658" s="454"/>
      <c r="E658" s="454"/>
      <c r="F658" s="454"/>
    </row>
    <row r="659">
      <c r="C659" s="454"/>
      <c r="D659" s="454"/>
      <c r="E659" s="454"/>
      <c r="F659" s="454"/>
    </row>
    <row r="660">
      <c r="C660" s="454"/>
      <c r="D660" s="454"/>
      <c r="E660" s="454"/>
      <c r="F660" s="454"/>
    </row>
    <row r="661">
      <c r="C661" s="454"/>
      <c r="D661" s="454"/>
      <c r="E661" s="454"/>
      <c r="F661" s="454"/>
    </row>
    <row r="662">
      <c r="C662" s="454"/>
      <c r="D662" s="454"/>
      <c r="E662" s="454"/>
      <c r="F662" s="454"/>
    </row>
    <row r="663">
      <c r="C663" s="454"/>
      <c r="D663" s="454"/>
      <c r="E663" s="454"/>
      <c r="F663" s="454"/>
    </row>
    <row r="664">
      <c r="C664" s="454"/>
      <c r="D664" s="454"/>
      <c r="E664" s="454"/>
      <c r="F664" s="454"/>
    </row>
    <row r="665">
      <c r="C665" s="454"/>
      <c r="D665" s="454"/>
      <c r="E665" s="454"/>
      <c r="F665" s="454"/>
    </row>
    <row r="666">
      <c r="C666" s="454"/>
      <c r="D666" s="454"/>
      <c r="E666" s="454"/>
      <c r="F666" s="454"/>
    </row>
    <row r="667">
      <c r="C667" s="454"/>
      <c r="D667" s="454"/>
      <c r="E667" s="454"/>
      <c r="F667" s="454"/>
    </row>
    <row r="668">
      <c r="C668" s="454"/>
      <c r="D668" s="454"/>
      <c r="E668" s="454"/>
      <c r="F668" s="454"/>
    </row>
    <row r="669">
      <c r="C669" s="454"/>
      <c r="D669" s="454"/>
      <c r="E669" s="454"/>
      <c r="F669" s="454"/>
    </row>
    <row r="670">
      <c r="C670" s="454"/>
      <c r="D670" s="454"/>
      <c r="E670" s="454"/>
      <c r="F670" s="454"/>
    </row>
    <row r="671">
      <c r="C671" s="454"/>
      <c r="D671" s="454"/>
      <c r="E671" s="454"/>
      <c r="F671" s="454"/>
    </row>
    <row r="672">
      <c r="C672" s="454"/>
      <c r="D672" s="454"/>
      <c r="E672" s="454"/>
      <c r="F672" s="454"/>
    </row>
    <row r="673">
      <c r="C673" s="454"/>
      <c r="D673" s="454"/>
      <c r="E673" s="454"/>
      <c r="F673" s="454"/>
    </row>
    <row r="674">
      <c r="C674" s="454"/>
      <c r="D674" s="454"/>
      <c r="E674" s="454"/>
      <c r="F674" s="454"/>
    </row>
    <row r="675">
      <c r="C675" s="454"/>
      <c r="D675" s="454"/>
      <c r="E675" s="454"/>
      <c r="F675" s="454"/>
    </row>
    <row r="676">
      <c r="C676" s="454"/>
      <c r="D676" s="454"/>
      <c r="E676" s="454"/>
      <c r="F676" s="454"/>
    </row>
    <row r="677">
      <c r="C677" s="454"/>
      <c r="D677" s="454"/>
      <c r="E677" s="454"/>
      <c r="F677" s="454"/>
    </row>
    <row r="678">
      <c r="C678" s="454"/>
      <c r="D678" s="454"/>
      <c r="E678" s="454"/>
      <c r="F678" s="454"/>
    </row>
    <row r="679">
      <c r="C679" s="454"/>
      <c r="D679" s="454"/>
      <c r="E679" s="454"/>
      <c r="F679" s="454"/>
    </row>
    <row r="680">
      <c r="C680" s="454"/>
      <c r="D680" s="454"/>
      <c r="E680" s="454"/>
      <c r="F680" s="454"/>
    </row>
    <row r="681">
      <c r="C681" s="454"/>
      <c r="D681" s="454"/>
      <c r="E681" s="454"/>
      <c r="F681" s="454"/>
    </row>
    <row r="682">
      <c r="C682" s="454"/>
      <c r="D682" s="454"/>
      <c r="E682" s="454"/>
      <c r="F682" s="454"/>
    </row>
    <row r="683">
      <c r="C683" s="454"/>
      <c r="D683" s="454"/>
      <c r="E683" s="454"/>
      <c r="F683" s="454"/>
    </row>
    <row r="684">
      <c r="C684" s="454"/>
      <c r="D684" s="454"/>
      <c r="E684" s="454"/>
      <c r="F684" s="454"/>
    </row>
    <row r="685">
      <c r="C685" s="454"/>
      <c r="D685" s="454"/>
      <c r="E685" s="454"/>
      <c r="F685" s="454"/>
    </row>
    <row r="686">
      <c r="C686" s="454"/>
      <c r="D686" s="454"/>
      <c r="E686" s="454"/>
      <c r="F686" s="454"/>
    </row>
    <row r="687">
      <c r="C687" s="454"/>
      <c r="D687" s="454"/>
      <c r="E687" s="454"/>
      <c r="F687" s="454"/>
    </row>
    <row r="688">
      <c r="C688" s="454"/>
      <c r="D688" s="454"/>
      <c r="E688" s="454"/>
      <c r="F688" s="454"/>
    </row>
    <row r="689">
      <c r="C689" s="454"/>
      <c r="D689" s="454"/>
      <c r="E689" s="454"/>
      <c r="F689" s="454"/>
    </row>
    <row r="690">
      <c r="C690" s="454"/>
      <c r="D690" s="454"/>
      <c r="E690" s="454"/>
      <c r="F690" s="454"/>
    </row>
    <row r="691">
      <c r="C691" s="454"/>
      <c r="D691" s="454"/>
      <c r="E691" s="454"/>
      <c r="F691" s="454"/>
    </row>
    <row r="692">
      <c r="C692" s="454"/>
      <c r="D692" s="454"/>
      <c r="E692" s="454"/>
      <c r="F692" s="454"/>
    </row>
    <row r="693">
      <c r="C693" s="454"/>
      <c r="D693" s="454"/>
      <c r="E693" s="454"/>
      <c r="F693" s="454"/>
    </row>
    <row r="694">
      <c r="C694" s="454"/>
      <c r="D694" s="454"/>
      <c r="E694" s="454"/>
      <c r="F694" s="454"/>
    </row>
    <row r="695">
      <c r="C695" s="454"/>
      <c r="D695" s="454"/>
      <c r="E695" s="454"/>
      <c r="F695" s="454"/>
    </row>
    <row r="696">
      <c r="C696" s="454"/>
      <c r="D696" s="454"/>
      <c r="E696" s="454"/>
      <c r="F696" s="454"/>
    </row>
    <row r="697">
      <c r="C697" s="454"/>
      <c r="D697" s="454"/>
      <c r="E697" s="454"/>
      <c r="F697" s="454"/>
    </row>
    <row r="698">
      <c r="C698" s="454"/>
      <c r="D698" s="454"/>
      <c r="E698" s="454"/>
      <c r="F698" s="454"/>
    </row>
    <row r="699">
      <c r="C699" s="454"/>
      <c r="D699" s="454"/>
      <c r="E699" s="454"/>
      <c r="F699" s="454"/>
    </row>
    <row r="700">
      <c r="C700" s="454"/>
      <c r="D700" s="454"/>
      <c r="E700" s="454"/>
      <c r="F700" s="454"/>
    </row>
    <row r="701">
      <c r="C701" s="454"/>
      <c r="D701" s="454"/>
      <c r="E701" s="454"/>
      <c r="F701" s="454"/>
    </row>
    <row r="702">
      <c r="C702" s="454"/>
      <c r="D702" s="454"/>
      <c r="E702" s="454"/>
      <c r="F702" s="454"/>
    </row>
    <row r="703">
      <c r="C703" s="454"/>
      <c r="D703" s="454"/>
      <c r="E703" s="454"/>
      <c r="F703" s="454"/>
    </row>
    <row r="704">
      <c r="C704" s="454"/>
      <c r="D704" s="454"/>
      <c r="E704" s="454"/>
      <c r="F704" s="454"/>
    </row>
    <row r="705">
      <c r="C705" s="454"/>
      <c r="D705" s="454"/>
      <c r="E705" s="454"/>
      <c r="F705" s="454"/>
    </row>
    <row r="706">
      <c r="C706" s="454"/>
      <c r="D706" s="454"/>
      <c r="E706" s="454"/>
      <c r="F706" s="454"/>
    </row>
    <row r="707">
      <c r="C707" s="454"/>
      <c r="D707" s="454"/>
      <c r="E707" s="454"/>
      <c r="F707" s="454"/>
    </row>
    <row r="708">
      <c r="C708" s="454"/>
      <c r="D708" s="454"/>
      <c r="E708" s="454"/>
      <c r="F708" s="454"/>
    </row>
    <row r="709">
      <c r="C709" s="454"/>
      <c r="D709" s="454"/>
      <c r="E709" s="454"/>
      <c r="F709" s="454"/>
    </row>
    <row r="710">
      <c r="C710" s="454"/>
      <c r="D710" s="454"/>
      <c r="E710" s="454"/>
      <c r="F710" s="454"/>
    </row>
    <row r="711">
      <c r="C711" s="454"/>
      <c r="D711" s="454"/>
      <c r="E711" s="454"/>
      <c r="F711" s="454"/>
    </row>
    <row r="712">
      <c r="C712" s="454"/>
      <c r="D712" s="454"/>
      <c r="E712" s="454"/>
      <c r="F712" s="454"/>
    </row>
    <row r="713">
      <c r="C713" s="454"/>
      <c r="D713" s="454"/>
      <c r="E713" s="454"/>
      <c r="F713" s="454"/>
    </row>
    <row r="714">
      <c r="C714" s="454"/>
      <c r="D714" s="454"/>
      <c r="E714" s="454"/>
      <c r="F714" s="454"/>
    </row>
    <row r="715">
      <c r="C715" s="454"/>
      <c r="D715" s="454"/>
      <c r="E715" s="454"/>
      <c r="F715" s="454"/>
    </row>
    <row r="716">
      <c r="C716" s="454"/>
      <c r="D716" s="454"/>
      <c r="E716" s="454"/>
      <c r="F716" s="454"/>
    </row>
    <row r="717">
      <c r="C717" s="454"/>
      <c r="D717" s="454"/>
      <c r="E717" s="454"/>
      <c r="F717" s="454"/>
    </row>
    <row r="718">
      <c r="C718" s="454"/>
      <c r="D718" s="454"/>
      <c r="E718" s="454"/>
      <c r="F718" s="454"/>
    </row>
    <row r="719">
      <c r="C719" s="454"/>
      <c r="D719" s="454"/>
      <c r="E719" s="454"/>
      <c r="F719" s="454"/>
    </row>
    <row r="720">
      <c r="C720" s="454"/>
      <c r="D720" s="454"/>
      <c r="E720" s="454"/>
      <c r="F720" s="454"/>
    </row>
    <row r="721">
      <c r="C721" s="454"/>
      <c r="D721" s="454"/>
      <c r="E721" s="454"/>
      <c r="F721" s="454"/>
    </row>
    <row r="722">
      <c r="C722" s="454"/>
      <c r="D722" s="454"/>
      <c r="E722" s="454"/>
      <c r="F722" s="454"/>
    </row>
    <row r="723">
      <c r="C723" s="454"/>
      <c r="D723" s="454"/>
      <c r="E723" s="454"/>
      <c r="F723" s="454"/>
    </row>
    <row r="724">
      <c r="C724" s="454"/>
      <c r="D724" s="454"/>
      <c r="E724" s="454"/>
      <c r="F724" s="454"/>
    </row>
    <row r="725">
      <c r="C725" s="454"/>
      <c r="D725" s="454"/>
      <c r="E725" s="454"/>
      <c r="F725" s="454"/>
    </row>
    <row r="726">
      <c r="C726" s="454"/>
      <c r="D726" s="454"/>
      <c r="E726" s="454"/>
      <c r="F726" s="454"/>
    </row>
    <row r="727">
      <c r="C727" s="454"/>
      <c r="D727" s="454"/>
      <c r="E727" s="454"/>
      <c r="F727" s="454"/>
    </row>
    <row r="728">
      <c r="C728" s="454"/>
      <c r="D728" s="454"/>
      <c r="E728" s="454"/>
      <c r="F728" s="454"/>
    </row>
    <row r="729">
      <c r="C729" s="454"/>
      <c r="D729" s="454"/>
      <c r="E729" s="454"/>
      <c r="F729" s="454"/>
    </row>
    <row r="730">
      <c r="C730" s="454"/>
      <c r="D730" s="454"/>
      <c r="E730" s="454"/>
      <c r="F730" s="454"/>
    </row>
    <row r="731">
      <c r="C731" s="454"/>
      <c r="D731" s="454"/>
      <c r="E731" s="454"/>
      <c r="F731" s="454"/>
    </row>
    <row r="732">
      <c r="C732" s="454"/>
      <c r="D732" s="454"/>
      <c r="E732" s="454"/>
      <c r="F732" s="454"/>
    </row>
    <row r="733">
      <c r="C733" s="454"/>
      <c r="D733" s="454"/>
      <c r="E733" s="454"/>
      <c r="F733" s="454"/>
    </row>
    <row r="734">
      <c r="C734" s="454"/>
      <c r="D734" s="454"/>
      <c r="E734" s="454"/>
      <c r="F734" s="454"/>
    </row>
    <row r="735">
      <c r="C735" s="454"/>
      <c r="D735" s="454"/>
      <c r="E735" s="454"/>
      <c r="F735" s="454"/>
    </row>
    <row r="736">
      <c r="C736" s="454"/>
      <c r="D736" s="454"/>
      <c r="E736" s="454"/>
      <c r="F736" s="454"/>
    </row>
    <row r="737">
      <c r="C737" s="454"/>
      <c r="D737" s="454"/>
      <c r="E737" s="454"/>
      <c r="F737" s="454"/>
    </row>
    <row r="738">
      <c r="C738" s="454"/>
      <c r="D738" s="454"/>
      <c r="E738" s="454"/>
      <c r="F738" s="454"/>
    </row>
    <row r="739">
      <c r="C739" s="454"/>
      <c r="D739" s="454"/>
      <c r="E739" s="454"/>
      <c r="F739" s="454"/>
    </row>
    <row r="740">
      <c r="C740" s="454"/>
      <c r="D740" s="454"/>
      <c r="E740" s="454"/>
      <c r="F740" s="454"/>
    </row>
    <row r="741">
      <c r="C741" s="454"/>
      <c r="D741" s="454"/>
      <c r="E741" s="454"/>
      <c r="F741" s="454"/>
    </row>
    <row r="742">
      <c r="C742" s="454"/>
      <c r="D742" s="454"/>
      <c r="E742" s="454"/>
      <c r="F742" s="454"/>
    </row>
    <row r="743">
      <c r="C743" s="454"/>
      <c r="D743" s="454"/>
      <c r="E743" s="454"/>
      <c r="F743" s="454"/>
    </row>
    <row r="744">
      <c r="C744" s="454"/>
      <c r="D744" s="454"/>
      <c r="E744" s="454"/>
      <c r="F744" s="454"/>
    </row>
    <row r="745">
      <c r="C745" s="454"/>
      <c r="D745" s="454"/>
      <c r="E745" s="454"/>
      <c r="F745" s="454"/>
    </row>
    <row r="746">
      <c r="C746" s="454"/>
      <c r="D746" s="454"/>
      <c r="E746" s="454"/>
      <c r="F746" s="454"/>
    </row>
    <row r="747">
      <c r="C747" s="454"/>
      <c r="D747" s="454"/>
      <c r="E747" s="454"/>
      <c r="F747" s="454"/>
    </row>
    <row r="748">
      <c r="C748" s="454"/>
      <c r="D748" s="454"/>
      <c r="E748" s="454"/>
      <c r="F748" s="454"/>
    </row>
    <row r="749">
      <c r="C749" s="454"/>
      <c r="D749" s="454"/>
      <c r="E749" s="454"/>
      <c r="F749" s="454"/>
    </row>
    <row r="750">
      <c r="C750" s="454"/>
      <c r="D750" s="454"/>
      <c r="E750" s="454"/>
      <c r="F750" s="454"/>
    </row>
    <row r="751">
      <c r="C751" s="454"/>
      <c r="D751" s="454"/>
      <c r="E751" s="454"/>
      <c r="F751" s="454"/>
    </row>
    <row r="752">
      <c r="C752" s="454"/>
      <c r="D752" s="454"/>
      <c r="E752" s="454"/>
      <c r="F752" s="454"/>
    </row>
    <row r="753">
      <c r="C753" s="454"/>
      <c r="D753" s="454"/>
      <c r="E753" s="454"/>
      <c r="F753" s="454"/>
    </row>
    <row r="754">
      <c r="C754" s="454"/>
      <c r="D754" s="454"/>
      <c r="E754" s="454"/>
      <c r="F754" s="454"/>
    </row>
    <row r="755">
      <c r="C755" s="454"/>
      <c r="D755" s="454"/>
      <c r="E755" s="454"/>
      <c r="F755" s="454"/>
    </row>
    <row r="756">
      <c r="C756" s="454"/>
      <c r="D756" s="454"/>
      <c r="E756" s="454"/>
      <c r="F756" s="454"/>
    </row>
    <row r="757">
      <c r="C757" s="454"/>
      <c r="D757" s="454"/>
      <c r="E757" s="454"/>
      <c r="F757" s="454"/>
    </row>
    <row r="758">
      <c r="C758" s="454"/>
      <c r="D758" s="454"/>
      <c r="E758" s="454"/>
      <c r="F758" s="454"/>
    </row>
    <row r="759">
      <c r="C759" s="454"/>
      <c r="D759" s="454"/>
      <c r="E759" s="454"/>
      <c r="F759" s="454"/>
    </row>
    <row r="760">
      <c r="C760" s="454"/>
      <c r="D760" s="454"/>
      <c r="E760" s="454"/>
      <c r="F760" s="454"/>
    </row>
    <row r="761">
      <c r="C761" s="454"/>
      <c r="D761" s="454"/>
      <c r="E761" s="454"/>
      <c r="F761" s="454"/>
    </row>
    <row r="762">
      <c r="C762" s="454"/>
      <c r="D762" s="454"/>
      <c r="E762" s="454"/>
      <c r="F762" s="454"/>
    </row>
    <row r="763">
      <c r="C763" s="454"/>
      <c r="D763" s="454"/>
      <c r="E763" s="454"/>
      <c r="F763" s="454"/>
    </row>
    <row r="764">
      <c r="C764" s="454"/>
      <c r="D764" s="454"/>
      <c r="E764" s="454"/>
      <c r="F764" s="454"/>
    </row>
    <row r="765">
      <c r="C765" s="454"/>
      <c r="D765" s="454"/>
      <c r="E765" s="454"/>
      <c r="F765" s="454"/>
    </row>
    <row r="766">
      <c r="C766" s="454"/>
      <c r="D766" s="454"/>
      <c r="E766" s="454"/>
      <c r="F766" s="454"/>
    </row>
    <row r="767">
      <c r="C767" s="454"/>
      <c r="D767" s="454"/>
      <c r="E767" s="454"/>
      <c r="F767" s="454"/>
    </row>
    <row r="768">
      <c r="C768" s="454"/>
      <c r="D768" s="454"/>
      <c r="E768" s="454"/>
      <c r="F768" s="454"/>
    </row>
    <row r="769">
      <c r="C769" s="454"/>
      <c r="D769" s="454"/>
      <c r="E769" s="454"/>
      <c r="F769" s="454"/>
    </row>
    <row r="770">
      <c r="C770" s="454"/>
      <c r="D770" s="454"/>
      <c r="E770" s="454"/>
      <c r="F770" s="454"/>
    </row>
    <row r="771">
      <c r="C771" s="454"/>
      <c r="D771" s="454"/>
      <c r="E771" s="454"/>
      <c r="F771" s="454"/>
    </row>
    <row r="772">
      <c r="C772" s="454"/>
      <c r="D772" s="454"/>
      <c r="E772" s="454"/>
      <c r="F772" s="454"/>
    </row>
    <row r="773">
      <c r="C773" s="454"/>
      <c r="D773" s="454"/>
      <c r="E773" s="454"/>
      <c r="F773" s="454"/>
    </row>
    <row r="774">
      <c r="C774" s="454"/>
      <c r="D774" s="454"/>
      <c r="E774" s="454"/>
      <c r="F774" s="454"/>
    </row>
    <row r="775">
      <c r="C775" s="454"/>
      <c r="D775" s="454"/>
      <c r="E775" s="454"/>
      <c r="F775" s="454"/>
    </row>
    <row r="776">
      <c r="C776" s="454"/>
      <c r="D776" s="454"/>
      <c r="E776" s="454"/>
      <c r="F776" s="454"/>
    </row>
    <row r="777">
      <c r="C777" s="454"/>
      <c r="D777" s="454"/>
      <c r="E777" s="454"/>
      <c r="F777" s="454"/>
    </row>
    <row r="778">
      <c r="C778" s="454"/>
      <c r="D778" s="454"/>
      <c r="E778" s="454"/>
      <c r="F778" s="454"/>
    </row>
    <row r="779">
      <c r="C779" s="454"/>
      <c r="D779" s="454"/>
      <c r="E779" s="454"/>
      <c r="F779" s="454"/>
    </row>
    <row r="780">
      <c r="C780" s="454"/>
      <c r="D780" s="454"/>
      <c r="E780" s="454"/>
      <c r="F780" s="454"/>
    </row>
    <row r="781">
      <c r="C781" s="454"/>
      <c r="D781" s="454"/>
      <c r="E781" s="454"/>
      <c r="F781" s="454"/>
    </row>
    <row r="782">
      <c r="C782" s="454"/>
      <c r="D782" s="454"/>
      <c r="E782" s="454"/>
      <c r="F782" s="454"/>
    </row>
    <row r="783">
      <c r="C783" s="454"/>
      <c r="D783" s="454"/>
      <c r="E783" s="454"/>
      <c r="F783" s="454"/>
    </row>
    <row r="784">
      <c r="C784" s="454"/>
      <c r="D784" s="454"/>
      <c r="E784" s="454"/>
      <c r="F784" s="454"/>
    </row>
    <row r="785">
      <c r="C785" s="454"/>
      <c r="D785" s="454"/>
      <c r="E785" s="454"/>
      <c r="F785" s="454"/>
    </row>
    <row r="786">
      <c r="C786" s="454"/>
      <c r="D786" s="454"/>
      <c r="E786" s="454"/>
      <c r="F786" s="454"/>
    </row>
    <row r="787">
      <c r="C787" s="454"/>
      <c r="D787" s="454"/>
      <c r="E787" s="454"/>
      <c r="F787" s="454"/>
    </row>
    <row r="788">
      <c r="C788" s="454"/>
      <c r="D788" s="454"/>
      <c r="E788" s="454"/>
      <c r="F788" s="454"/>
    </row>
    <row r="789">
      <c r="C789" s="454"/>
      <c r="D789" s="454"/>
      <c r="E789" s="454"/>
      <c r="F789" s="454"/>
    </row>
    <row r="790">
      <c r="C790" s="454"/>
      <c r="D790" s="454"/>
      <c r="E790" s="454"/>
      <c r="F790" s="454"/>
    </row>
    <row r="791">
      <c r="C791" s="454"/>
      <c r="D791" s="454"/>
      <c r="E791" s="454"/>
      <c r="F791" s="454"/>
    </row>
    <row r="792">
      <c r="C792" s="454"/>
      <c r="D792" s="454"/>
      <c r="E792" s="454"/>
      <c r="F792" s="454"/>
    </row>
    <row r="793">
      <c r="C793" s="454"/>
      <c r="D793" s="454"/>
      <c r="E793" s="454"/>
      <c r="F793" s="454"/>
    </row>
    <row r="794">
      <c r="C794" s="454"/>
      <c r="D794" s="454"/>
      <c r="E794" s="454"/>
      <c r="F794" s="454"/>
    </row>
    <row r="795">
      <c r="C795" s="454"/>
      <c r="D795" s="454"/>
      <c r="E795" s="454"/>
      <c r="F795" s="454"/>
    </row>
    <row r="796">
      <c r="C796" s="454"/>
      <c r="D796" s="454"/>
      <c r="E796" s="454"/>
      <c r="F796" s="454"/>
    </row>
    <row r="797">
      <c r="C797" s="454"/>
      <c r="D797" s="454"/>
      <c r="E797" s="454"/>
      <c r="F797" s="454"/>
    </row>
    <row r="798">
      <c r="C798" s="454"/>
      <c r="D798" s="454"/>
      <c r="E798" s="454"/>
      <c r="F798" s="454"/>
    </row>
    <row r="799">
      <c r="C799" s="454"/>
      <c r="D799" s="454"/>
      <c r="E799" s="454"/>
      <c r="F799" s="454"/>
    </row>
    <row r="800">
      <c r="C800" s="454"/>
      <c r="D800" s="454"/>
      <c r="E800" s="454"/>
      <c r="F800" s="454"/>
    </row>
    <row r="801">
      <c r="C801" s="454"/>
      <c r="D801" s="454"/>
      <c r="E801" s="454"/>
      <c r="F801" s="454"/>
    </row>
    <row r="802">
      <c r="C802" s="454"/>
      <c r="D802" s="454"/>
      <c r="E802" s="454"/>
      <c r="F802" s="454"/>
    </row>
    <row r="803">
      <c r="C803" s="454"/>
      <c r="D803" s="454"/>
      <c r="E803" s="454"/>
      <c r="F803" s="454"/>
    </row>
    <row r="804">
      <c r="C804" s="454"/>
      <c r="D804" s="454"/>
      <c r="E804" s="454"/>
      <c r="F804" s="454"/>
    </row>
    <row r="805">
      <c r="C805" s="454"/>
      <c r="D805" s="454"/>
      <c r="E805" s="454"/>
      <c r="F805" s="454"/>
    </row>
    <row r="806">
      <c r="C806" s="454"/>
      <c r="D806" s="454"/>
      <c r="E806" s="454"/>
      <c r="F806" s="454"/>
    </row>
    <row r="807">
      <c r="C807" s="454"/>
      <c r="D807" s="454"/>
      <c r="E807" s="454"/>
      <c r="F807" s="454"/>
    </row>
    <row r="808">
      <c r="C808" s="454"/>
      <c r="D808" s="454"/>
      <c r="E808" s="454"/>
      <c r="F808" s="454"/>
    </row>
    <row r="809">
      <c r="C809" s="454"/>
      <c r="D809" s="454"/>
      <c r="E809" s="454"/>
      <c r="F809" s="454"/>
    </row>
    <row r="810">
      <c r="C810" s="454"/>
      <c r="D810" s="454"/>
      <c r="E810" s="454"/>
      <c r="F810" s="454"/>
    </row>
    <row r="811">
      <c r="C811" s="454"/>
      <c r="D811" s="454"/>
      <c r="E811" s="454"/>
      <c r="F811" s="454"/>
    </row>
    <row r="812">
      <c r="C812" s="454"/>
      <c r="D812" s="454"/>
      <c r="E812" s="454"/>
      <c r="F812" s="454"/>
    </row>
    <row r="813">
      <c r="C813" s="454"/>
      <c r="D813" s="454"/>
      <c r="E813" s="454"/>
      <c r="F813" s="454"/>
    </row>
    <row r="814">
      <c r="C814" s="454"/>
      <c r="D814" s="454"/>
      <c r="E814" s="454"/>
      <c r="F814" s="454"/>
    </row>
    <row r="815">
      <c r="C815" s="454"/>
      <c r="D815" s="454"/>
      <c r="E815" s="454"/>
      <c r="F815" s="454"/>
    </row>
    <row r="816">
      <c r="C816" s="454"/>
      <c r="D816" s="454"/>
      <c r="E816" s="454"/>
      <c r="F816" s="454"/>
    </row>
    <row r="817">
      <c r="C817" s="454"/>
      <c r="D817" s="454"/>
      <c r="E817" s="454"/>
      <c r="F817" s="454"/>
    </row>
    <row r="818">
      <c r="C818" s="454"/>
      <c r="D818" s="454"/>
      <c r="E818" s="454"/>
      <c r="F818" s="454"/>
    </row>
    <row r="819">
      <c r="C819" s="454"/>
      <c r="D819" s="454"/>
      <c r="E819" s="454"/>
      <c r="F819" s="454"/>
    </row>
    <row r="820">
      <c r="C820" s="454"/>
      <c r="D820" s="454"/>
      <c r="E820" s="454"/>
      <c r="F820" s="454"/>
    </row>
    <row r="821">
      <c r="C821" s="454"/>
      <c r="D821" s="454"/>
      <c r="E821" s="454"/>
      <c r="F821" s="454"/>
    </row>
    <row r="822">
      <c r="C822" s="454"/>
      <c r="D822" s="454"/>
      <c r="E822" s="454"/>
      <c r="F822" s="454"/>
    </row>
    <row r="823">
      <c r="C823" s="454"/>
      <c r="D823" s="454"/>
      <c r="E823" s="454"/>
      <c r="F823" s="454"/>
    </row>
    <row r="824">
      <c r="C824" s="454"/>
      <c r="D824" s="454"/>
      <c r="E824" s="454"/>
      <c r="F824" s="454"/>
    </row>
    <row r="825">
      <c r="C825" s="454"/>
      <c r="D825" s="454"/>
      <c r="E825" s="454"/>
      <c r="F825" s="454"/>
    </row>
    <row r="826">
      <c r="C826" s="454"/>
      <c r="D826" s="454"/>
      <c r="E826" s="454"/>
      <c r="F826" s="454"/>
    </row>
    <row r="827">
      <c r="C827" s="454"/>
      <c r="D827" s="454"/>
      <c r="E827" s="454"/>
      <c r="F827" s="454"/>
    </row>
    <row r="828">
      <c r="C828" s="454"/>
      <c r="D828" s="454"/>
      <c r="E828" s="454"/>
      <c r="F828" s="454"/>
    </row>
    <row r="829">
      <c r="C829" s="454"/>
      <c r="D829" s="454"/>
      <c r="E829" s="454"/>
      <c r="F829" s="454"/>
    </row>
    <row r="830">
      <c r="C830" s="454"/>
      <c r="D830" s="454"/>
      <c r="E830" s="454"/>
      <c r="F830" s="454"/>
    </row>
    <row r="831">
      <c r="C831" s="454"/>
      <c r="D831" s="454"/>
      <c r="E831" s="454"/>
      <c r="F831" s="454"/>
    </row>
    <row r="832">
      <c r="C832" s="454"/>
      <c r="D832" s="454"/>
      <c r="E832" s="454"/>
      <c r="F832" s="454"/>
    </row>
    <row r="833">
      <c r="C833" s="454"/>
      <c r="D833" s="454"/>
      <c r="E833" s="454"/>
      <c r="F833" s="454"/>
    </row>
    <row r="834">
      <c r="C834" s="454"/>
      <c r="D834" s="454"/>
      <c r="E834" s="454"/>
      <c r="F834" s="454"/>
    </row>
    <row r="835">
      <c r="C835" s="454"/>
      <c r="D835" s="454"/>
      <c r="E835" s="454"/>
      <c r="F835" s="454"/>
    </row>
    <row r="836">
      <c r="C836" s="454"/>
      <c r="D836" s="454"/>
      <c r="E836" s="454"/>
      <c r="F836" s="454"/>
    </row>
    <row r="837">
      <c r="C837" s="454"/>
      <c r="D837" s="454"/>
      <c r="E837" s="454"/>
      <c r="F837" s="454"/>
    </row>
    <row r="838">
      <c r="C838" s="454"/>
      <c r="D838" s="454"/>
      <c r="E838" s="454"/>
      <c r="F838" s="454"/>
    </row>
    <row r="839">
      <c r="C839" s="454"/>
      <c r="D839" s="454"/>
      <c r="E839" s="454"/>
      <c r="F839" s="454"/>
    </row>
    <row r="840">
      <c r="C840" s="454"/>
      <c r="D840" s="454"/>
      <c r="E840" s="454"/>
      <c r="F840" s="454"/>
    </row>
    <row r="841">
      <c r="C841" s="454"/>
      <c r="D841" s="454"/>
      <c r="E841" s="454"/>
      <c r="F841" s="454"/>
    </row>
    <row r="842">
      <c r="C842" s="454"/>
      <c r="D842" s="454"/>
      <c r="E842" s="454"/>
      <c r="F842" s="454"/>
    </row>
    <row r="843">
      <c r="C843" s="454"/>
      <c r="D843" s="454"/>
      <c r="E843" s="454"/>
      <c r="F843" s="454"/>
    </row>
    <row r="844">
      <c r="C844" s="454"/>
      <c r="D844" s="454"/>
      <c r="E844" s="454"/>
      <c r="F844" s="454"/>
    </row>
    <row r="845">
      <c r="C845" s="454"/>
      <c r="D845" s="454"/>
      <c r="E845" s="454"/>
      <c r="F845" s="454"/>
    </row>
    <row r="846">
      <c r="C846" s="454"/>
      <c r="D846" s="454"/>
      <c r="E846" s="454"/>
      <c r="F846" s="454"/>
    </row>
    <row r="847">
      <c r="C847" s="454"/>
      <c r="D847" s="454"/>
      <c r="E847" s="454"/>
      <c r="F847" s="454"/>
    </row>
    <row r="848">
      <c r="C848" s="454"/>
      <c r="D848" s="454"/>
      <c r="E848" s="454"/>
      <c r="F848" s="454"/>
    </row>
    <row r="849">
      <c r="C849" s="454"/>
      <c r="D849" s="454"/>
      <c r="E849" s="454"/>
      <c r="F849" s="454"/>
    </row>
    <row r="850">
      <c r="C850" s="454"/>
      <c r="D850" s="454"/>
      <c r="E850" s="454"/>
      <c r="F850" s="454"/>
    </row>
    <row r="851">
      <c r="C851" s="454"/>
      <c r="D851" s="454"/>
      <c r="E851" s="454"/>
      <c r="F851" s="454"/>
    </row>
    <row r="852">
      <c r="C852" s="454"/>
      <c r="D852" s="454"/>
      <c r="E852" s="454"/>
      <c r="F852" s="454"/>
    </row>
    <row r="853">
      <c r="C853" s="454"/>
      <c r="D853" s="454"/>
      <c r="E853" s="454"/>
      <c r="F853" s="454"/>
    </row>
    <row r="854">
      <c r="C854" s="454"/>
      <c r="D854" s="454"/>
      <c r="E854" s="454"/>
      <c r="F854" s="454"/>
    </row>
    <row r="855">
      <c r="C855" s="454"/>
      <c r="D855" s="454"/>
      <c r="E855" s="454"/>
      <c r="F855" s="454"/>
    </row>
    <row r="856">
      <c r="C856" s="454"/>
      <c r="D856" s="454"/>
      <c r="E856" s="454"/>
      <c r="F856" s="454"/>
    </row>
    <row r="857">
      <c r="C857" s="454"/>
      <c r="D857" s="454"/>
      <c r="E857" s="454"/>
      <c r="F857" s="454"/>
    </row>
    <row r="858">
      <c r="C858" s="454"/>
      <c r="D858" s="454"/>
      <c r="E858" s="454"/>
      <c r="F858" s="454"/>
    </row>
    <row r="859">
      <c r="C859" s="454"/>
      <c r="D859" s="454"/>
      <c r="E859" s="454"/>
      <c r="F859" s="454"/>
    </row>
    <row r="860">
      <c r="C860" s="454"/>
      <c r="D860" s="454"/>
      <c r="E860" s="454"/>
      <c r="F860" s="454"/>
    </row>
    <row r="861">
      <c r="C861" s="454"/>
      <c r="D861" s="454"/>
      <c r="E861" s="454"/>
      <c r="F861" s="454"/>
    </row>
    <row r="862">
      <c r="C862" s="454"/>
      <c r="D862" s="454"/>
      <c r="E862" s="454"/>
      <c r="F862" s="454"/>
    </row>
    <row r="863">
      <c r="C863" s="454"/>
      <c r="D863" s="454"/>
      <c r="E863" s="454"/>
      <c r="F863" s="454"/>
    </row>
    <row r="864">
      <c r="C864" s="454"/>
      <c r="D864" s="454"/>
      <c r="E864" s="454"/>
      <c r="F864" s="454"/>
    </row>
    <row r="865">
      <c r="C865" s="454"/>
      <c r="D865" s="454"/>
      <c r="E865" s="454"/>
      <c r="F865" s="454"/>
    </row>
    <row r="866">
      <c r="C866" s="454"/>
      <c r="D866" s="454"/>
      <c r="E866" s="454"/>
      <c r="F866" s="454"/>
    </row>
    <row r="867">
      <c r="C867" s="454"/>
      <c r="D867" s="454"/>
      <c r="E867" s="454"/>
      <c r="F867" s="454"/>
    </row>
    <row r="868">
      <c r="C868" s="454"/>
      <c r="D868" s="454"/>
      <c r="E868" s="454"/>
      <c r="F868" s="454"/>
    </row>
    <row r="869">
      <c r="C869" s="454"/>
      <c r="D869" s="454"/>
      <c r="E869" s="454"/>
      <c r="F869" s="454"/>
    </row>
    <row r="870">
      <c r="C870" s="454"/>
      <c r="D870" s="454"/>
      <c r="E870" s="454"/>
      <c r="F870" s="454"/>
    </row>
    <row r="871">
      <c r="C871" s="454"/>
      <c r="D871" s="454"/>
      <c r="E871" s="454"/>
      <c r="F871" s="454"/>
    </row>
    <row r="872">
      <c r="C872" s="454"/>
      <c r="D872" s="454"/>
      <c r="E872" s="454"/>
      <c r="F872" s="454"/>
    </row>
    <row r="873">
      <c r="C873" s="454"/>
      <c r="D873" s="454"/>
      <c r="E873" s="454"/>
      <c r="F873" s="454"/>
    </row>
    <row r="874">
      <c r="C874" s="454"/>
      <c r="D874" s="454"/>
      <c r="E874" s="454"/>
      <c r="F874" s="454"/>
    </row>
    <row r="875">
      <c r="C875" s="454"/>
      <c r="D875" s="454"/>
      <c r="E875" s="454"/>
      <c r="F875" s="454"/>
    </row>
    <row r="876">
      <c r="C876" s="454"/>
      <c r="D876" s="454"/>
      <c r="E876" s="454"/>
      <c r="F876" s="454"/>
    </row>
    <row r="877">
      <c r="C877" s="454"/>
      <c r="D877" s="454"/>
      <c r="E877" s="454"/>
      <c r="F877" s="454"/>
    </row>
    <row r="878">
      <c r="C878" s="454"/>
      <c r="D878" s="454"/>
      <c r="E878" s="454"/>
      <c r="F878" s="454"/>
    </row>
    <row r="879">
      <c r="C879" s="454"/>
      <c r="D879" s="454"/>
      <c r="E879" s="454"/>
      <c r="F879" s="454"/>
    </row>
    <row r="880">
      <c r="C880" s="454"/>
      <c r="D880" s="454"/>
      <c r="E880" s="454"/>
      <c r="F880" s="454"/>
    </row>
    <row r="881">
      <c r="C881" s="454"/>
      <c r="D881" s="454"/>
      <c r="E881" s="454"/>
      <c r="F881" s="454"/>
    </row>
    <row r="882">
      <c r="C882" s="454"/>
      <c r="D882" s="454"/>
      <c r="E882" s="454"/>
      <c r="F882" s="454"/>
    </row>
    <row r="883">
      <c r="C883" s="454"/>
      <c r="D883" s="454"/>
      <c r="E883" s="454"/>
      <c r="F883" s="454"/>
    </row>
    <row r="884">
      <c r="C884" s="454"/>
      <c r="D884" s="454"/>
      <c r="E884" s="454"/>
      <c r="F884" s="454"/>
    </row>
    <row r="885">
      <c r="C885" s="454"/>
      <c r="D885" s="454"/>
      <c r="E885" s="454"/>
      <c r="F885" s="454"/>
    </row>
    <row r="886">
      <c r="C886" s="454"/>
      <c r="D886" s="454"/>
      <c r="E886" s="454"/>
      <c r="F886" s="454"/>
    </row>
    <row r="887">
      <c r="C887" s="454"/>
      <c r="D887" s="454"/>
      <c r="E887" s="454"/>
      <c r="F887" s="454"/>
    </row>
    <row r="888">
      <c r="C888" s="454"/>
      <c r="D888" s="454"/>
      <c r="E888" s="454"/>
      <c r="F888" s="454"/>
    </row>
    <row r="889">
      <c r="C889" s="454"/>
      <c r="D889" s="454"/>
      <c r="E889" s="454"/>
      <c r="F889" s="454"/>
    </row>
    <row r="890">
      <c r="C890" s="454"/>
      <c r="D890" s="454"/>
      <c r="E890" s="454"/>
      <c r="F890" s="454"/>
    </row>
    <row r="891">
      <c r="C891" s="454"/>
      <c r="D891" s="454"/>
      <c r="E891" s="454"/>
      <c r="F891" s="454"/>
    </row>
    <row r="892">
      <c r="C892" s="454"/>
      <c r="D892" s="454"/>
      <c r="E892" s="454"/>
      <c r="F892" s="454"/>
    </row>
    <row r="893">
      <c r="C893" s="454"/>
      <c r="D893" s="454"/>
      <c r="E893" s="454"/>
      <c r="F893" s="454"/>
    </row>
    <row r="894">
      <c r="C894" s="454"/>
      <c r="D894" s="454"/>
      <c r="E894" s="454"/>
      <c r="F894" s="454"/>
    </row>
    <row r="895">
      <c r="C895" s="454"/>
      <c r="D895" s="454"/>
      <c r="E895" s="454"/>
      <c r="F895" s="454"/>
    </row>
    <row r="896">
      <c r="C896" s="454"/>
      <c r="D896" s="454"/>
      <c r="E896" s="454"/>
      <c r="F896" s="454"/>
    </row>
    <row r="897">
      <c r="C897" s="454"/>
      <c r="D897" s="454"/>
      <c r="E897" s="454"/>
      <c r="F897" s="454"/>
    </row>
    <row r="898">
      <c r="C898" s="454"/>
      <c r="D898" s="454"/>
      <c r="E898" s="454"/>
      <c r="F898" s="454"/>
    </row>
    <row r="899">
      <c r="C899" s="454"/>
      <c r="D899" s="454"/>
      <c r="E899" s="454"/>
      <c r="F899" s="454"/>
    </row>
    <row r="900">
      <c r="C900" s="454"/>
      <c r="D900" s="454"/>
      <c r="E900" s="454"/>
      <c r="F900" s="454"/>
    </row>
    <row r="901">
      <c r="C901" s="454"/>
      <c r="D901" s="454"/>
      <c r="E901" s="454"/>
      <c r="F901" s="454"/>
    </row>
    <row r="902">
      <c r="C902" s="454"/>
      <c r="D902" s="454"/>
      <c r="E902" s="454"/>
      <c r="F902" s="454"/>
    </row>
    <row r="903">
      <c r="C903" s="454"/>
      <c r="D903" s="454"/>
      <c r="E903" s="454"/>
      <c r="F903" s="454"/>
    </row>
    <row r="904">
      <c r="C904" s="454"/>
      <c r="D904" s="454"/>
      <c r="E904" s="454"/>
      <c r="F904" s="454"/>
    </row>
    <row r="905">
      <c r="C905" s="454"/>
      <c r="D905" s="454"/>
      <c r="E905" s="454"/>
      <c r="F905" s="454"/>
    </row>
    <row r="906">
      <c r="C906" s="454"/>
      <c r="D906" s="454"/>
      <c r="E906" s="454"/>
      <c r="F906" s="454"/>
    </row>
    <row r="907">
      <c r="C907" s="454"/>
      <c r="D907" s="454"/>
      <c r="E907" s="454"/>
      <c r="F907" s="454"/>
    </row>
    <row r="908">
      <c r="C908" s="454"/>
      <c r="D908" s="454"/>
      <c r="E908" s="454"/>
      <c r="F908" s="454"/>
    </row>
    <row r="909">
      <c r="C909" s="454"/>
      <c r="D909" s="454"/>
      <c r="E909" s="454"/>
      <c r="F909" s="454"/>
    </row>
    <row r="910">
      <c r="C910" s="454"/>
      <c r="D910" s="454"/>
      <c r="E910" s="454"/>
      <c r="F910" s="454"/>
    </row>
    <row r="911">
      <c r="C911" s="454"/>
      <c r="D911" s="454"/>
      <c r="E911" s="454"/>
      <c r="F911" s="454"/>
    </row>
    <row r="912">
      <c r="C912" s="454"/>
      <c r="D912" s="454"/>
      <c r="E912" s="454"/>
      <c r="F912" s="454"/>
    </row>
    <row r="913">
      <c r="C913" s="454"/>
      <c r="D913" s="454"/>
      <c r="E913" s="454"/>
      <c r="F913" s="454"/>
    </row>
    <row r="914">
      <c r="C914" s="454"/>
      <c r="D914" s="454"/>
      <c r="E914" s="454"/>
      <c r="F914" s="454"/>
    </row>
    <row r="915">
      <c r="C915" s="454"/>
      <c r="D915" s="454"/>
      <c r="E915" s="454"/>
      <c r="F915" s="454"/>
    </row>
    <row r="916">
      <c r="C916" s="454"/>
      <c r="D916" s="454"/>
      <c r="E916" s="454"/>
      <c r="F916" s="454"/>
    </row>
    <row r="917">
      <c r="C917" s="454"/>
      <c r="D917" s="454"/>
      <c r="E917" s="454"/>
      <c r="F917" s="454"/>
    </row>
    <row r="918">
      <c r="C918" s="454"/>
      <c r="D918" s="454"/>
      <c r="E918" s="454"/>
      <c r="F918" s="454"/>
    </row>
    <row r="919">
      <c r="C919" s="454"/>
      <c r="D919" s="454"/>
      <c r="E919" s="454"/>
      <c r="F919" s="454"/>
    </row>
    <row r="920">
      <c r="C920" s="454"/>
      <c r="D920" s="454"/>
      <c r="E920" s="454"/>
      <c r="F920" s="454"/>
    </row>
    <row r="921">
      <c r="C921" s="454"/>
      <c r="D921" s="454"/>
      <c r="E921" s="454"/>
      <c r="F921" s="454"/>
    </row>
    <row r="922">
      <c r="C922" s="454"/>
      <c r="D922" s="454"/>
      <c r="E922" s="454"/>
      <c r="F922" s="454"/>
    </row>
    <row r="923">
      <c r="C923" s="454"/>
      <c r="D923" s="454"/>
      <c r="E923" s="454"/>
      <c r="F923" s="454"/>
    </row>
    <row r="924">
      <c r="C924" s="454"/>
      <c r="D924" s="454"/>
      <c r="E924" s="454"/>
      <c r="F924" s="454"/>
    </row>
    <row r="925">
      <c r="C925" s="454"/>
      <c r="D925" s="454"/>
      <c r="E925" s="454"/>
      <c r="F925" s="454"/>
    </row>
    <row r="926">
      <c r="C926" s="454"/>
      <c r="D926" s="454"/>
      <c r="E926" s="454"/>
      <c r="F926" s="454"/>
    </row>
    <row r="927">
      <c r="C927" s="454"/>
      <c r="D927" s="454"/>
      <c r="E927" s="454"/>
      <c r="F927" s="454"/>
    </row>
    <row r="928">
      <c r="C928" s="454"/>
      <c r="D928" s="454"/>
      <c r="E928" s="454"/>
      <c r="F928" s="454"/>
    </row>
    <row r="929">
      <c r="C929" s="454"/>
      <c r="D929" s="454"/>
      <c r="E929" s="454"/>
      <c r="F929" s="454"/>
    </row>
    <row r="930">
      <c r="C930" s="454"/>
      <c r="D930" s="454"/>
      <c r="E930" s="454"/>
      <c r="F930" s="454"/>
    </row>
    <row r="931">
      <c r="C931" s="454"/>
      <c r="D931" s="454"/>
      <c r="E931" s="454"/>
      <c r="F931" s="454"/>
    </row>
    <row r="932">
      <c r="C932" s="454"/>
      <c r="D932" s="454"/>
      <c r="E932" s="454"/>
      <c r="F932" s="454"/>
    </row>
    <row r="933">
      <c r="C933" s="454"/>
      <c r="D933" s="454"/>
      <c r="E933" s="454"/>
      <c r="F933" s="454"/>
    </row>
    <row r="934">
      <c r="C934" s="454"/>
      <c r="D934" s="454"/>
      <c r="E934" s="454"/>
      <c r="F934" s="454"/>
    </row>
    <row r="935">
      <c r="C935" s="454"/>
      <c r="D935" s="454"/>
      <c r="E935" s="454"/>
      <c r="F935" s="454"/>
    </row>
    <row r="936">
      <c r="C936" s="454"/>
      <c r="D936" s="454"/>
      <c r="E936" s="454"/>
      <c r="F936" s="454"/>
    </row>
    <row r="937">
      <c r="C937" s="454"/>
      <c r="D937" s="454"/>
      <c r="E937" s="454"/>
      <c r="F937" s="454"/>
    </row>
    <row r="938">
      <c r="C938" s="454"/>
      <c r="D938" s="454"/>
      <c r="E938" s="454"/>
      <c r="F938" s="454"/>
    </row>
    <row r="939">
      <c r="C939" s="454"/>
      <c r="D939" s="454"/>
      <c r="E939" s="454"/>
      <c r="F939" s="454"/>
    </row>
    <row r="940">
      <c r="C940" s="454"/>
      <c r="D940" s="454"/>
      <c r="E940" s="454"/>
      <c r="F940" s="454"/>
    </row>
    <row r="941">
      <c r="C941" s="454"/>
      <c r="D941" s="454"/>
      <c r="E941" s="454"/>
      <c r="F941" s="454"/>
    </row>
    <row r="942">
      <c r="C942" s="454"/>
      <c r="D942" s="454"/>
      <c r="E942" s="454"/>
      <c r="F942" s="454"/>
    </row>
    <row r="943">
      <c r="C943" s="454"/>
      <c r="D943" s="454"/>
      <c r="E943" s="454"/>
      <c r="F943" s="454"/>
    </row>
    <row r="944">
      <c r="C944" s="454"/>
      <c r="D944" s="454"/>
      <c r="E944" s="454"/>
      <c r="F944" s="454"/>
    </row>
    <row r="945">
      <c r="C945" s="454"/>
      <c r="D945" s="454"/>
      <c r="E945" s="454"/>
      <c r="F945" s="454"/>
    </row>
    <row r="946">
      <c r="C946" s="454"/>
      <c r="D946" s="454"/>
      <c r="E946" s="454"/>
      <c r="F946" s="454"/>
    </row>
    <row r="947">
      <c r="C947" s="454"/>
      <c r="D947" s="454"/>
      <c r="E947" s="454"/>
      <c r="F947" s="454"/>
    </row>
    <row r="948">
      <c r="C948" s="454"/>
      <c r="D948" s="454"/>
      <c r="E948" s="454"/>
      <c r="F948" s="454"/>
    </row>
    <row r="949">
      <c r="C949" s="454"/>
      <c r="D949" s="454"/>
      <c r="E949" s="454"/>
      <c r="F949" s="454"/>
    </row>
    <row r="950">
      <c r="C950" s="454"/>
      <c r="D950" s="454"/>
      <c r="E950" s="454"/>
      <c r="F950" s="454"/>
    </row>
    <row r="951">
      <c r="C951" s="454"/>
      <c r="D951" s="454"/>
      <c r="E951" s="454"/>
      <c r="F951" s="454"/>
    </row>
    <row r="952">
      <c r="C952" s="454"/>
      <c r="D952" s="454"/>
      <c r="E952" s="454"/>
      <c r="F952" s="454"/>
    </row>
    <row r="953">
      <c r="C953" s="454"/>
      <c r="D953" s="454"/>
      <c r="E953" s="454"/>
      <c r="F953" s="454"/>
    </row>
    <row r="954">
      <c r="C954" s="454"/>
      <c r="D954" s="454"/>
      <c r="E954" s="454"/>
      <c r="F954" s="454"/>
    </row>
    <row r="955">
      <c r="C955" s="454"/>
      <c r="D955" s="454"/>
      <c r="E955" s="454"/>
      <c r="F955" s="454"/>
    </row>
    <row r="956">
      <c r="C956" s="454"/>
      <c r="D956" s="454"/>
      <c r="E956" s="454"/>
      <c r="F956" s="454"/>
    </row>
    <row r="957">
      <c r="C957" s="454"/>
      <c r="D957" s="454"/>
      <c r="E957" s="454"/>
      <c r="F957" s="454"/>
    </row>
    <row r="958">
      <c r="C958" s="454"/>
      <c r="D958" s="454"/>
      <c r="E958" s="454"/>
      <c r="F958" s="454"/>
    </row>
    <row r="959">
      <c r="C959" s="454"/>
      <c r="D959" s="454"/>
      <c r="E959" s="454"/>
      <c r="F959" s="454"/>
    </row>
    <row r="960">
      <c r="C960" s="454"/>
      <c r="D960" s="454"/>
      <c r="E960" s="454"/>
      <c r="F960" s="454"/>
    </row>
    <row r="961">
      <c r="C961" s="454"/>
      <c r="D961" s="454"/>
      <c r="E961" s="454"/>
      <c r="F961" s="454"/>
    </row>
    <row r="962">
      <c r="C962" s="454"/>
      <c r="D962" s="454"/>
      <c r="E962" s="454"/>
      <c r="F962" s="454"/>
    </row>
    <row r="963">
      <c r="C963" s="454"/>
      <c r="D963" s="454"/>
      <c r="E963" s="454"/>
      <c r="F963" s="454"/>
    </row>
    <row r="964">
      <c r="C964" s="454"/>
      <c r="D964" s="454"/>
      <c r="E964" s="454"/>
      <c r="F964" s="454"/>
    </row>
    <row r="965">
      <c r="C965" s="454"/>
      <c r="D965" s="454"/>
      <c r="E965" s="454"/>
      <c r="F965" s="454"/>
    </row>
    <row r="966">
      <c r="C966" s="454"/>
      <c r="D966" s="454"/>
      <c r="E966" s="454"/>
      <c r="F966" s="454"/>
    </row>
    <row r="967">
      <c r="C967" s="454"/>
      <c r="D967" s="454"/>
      <c r="E967" s="454"/>
      <c r="F967" s="454"/>
    </row>
    <row r="968">
      <c r="C968" s="454"/>
      <c r="D968" s="454"/>
      <c r="E968" s="454"/>
      <c r="F968" s="454"/>
    </row>
    <row r="969">
      <c r="C969" s="454"/>
      <c r="D969" s="454"/>
      <c r="E969" s="454"/>
      <c r="F969" s="454"/>
    </row>
    <row r="970">
      <c r="C970" s="454"/>
      <c r="D970" s="454"/>
      <c r="E970" s="454"/>
      <c r="F970" s="454"/>
    </row>
    <row r="971">
      <c r="C971" s="454"/>
      <c r="D971" s="454"/>
      <c r="E971" s="454"/>
      <c r="F971" s="454"/>
    </row>
    <row r="972">
      <c r="C972" s="454"/>
      <c r="D972" s="454"/>
      <c r="E972" s="454"/>
      <c r="F972" s="454"/>
    </row>
    <row r="973">
      <c r="C973" s="454"/>
      <c r="D973" s="454"/>
      <c r="E973" s="454"/>
      <c r="F973" s="454"/>
    </row>
    <row r="974">
      <c r="C974" s="454"/>
      <c r="D974" s="454"/>
      <c r="E974" s="454"/>
      <c r="F974" s="454"/>
    </row>
    <row r="975">
      <c r="C975" s="454"/>
      <c r="D975" s="454"/>
      <c r="E975" s="454"/>
      <c r="F975" s="454"/>
    </row>
    <row r="976">
      <c r="C976" s="454"/>
      <c r="D976" s="454"/>
      <c r="E976" s="454"/>
      <c r="F976" s="454"/>
    </row>
    <row r="977">
      <c r="C977" s="454"/>
      <c r="D977" s="454"/>
      <c r="E977" s="454"/>
      <c r="F977" s="454"/>
    </row>
    <row r="978">
      <c r="C978" s="454"/>
      <c r="D978" s="454"/>
      <c r="E978" s="454"/>
      <c r="F978" s="454"/>
    </row>
    <row r="979">
      <c r="C979" s="454"/>
      <c r="D979" s="454"/>
      <c r="E979" s="454"/>
      <c r="F979" s="454"/>
    </row>
    <row r="980">
      <c r="C980" s="454"/>
      <c r="D980" s="454"/>
      <c r="E980" s="454"/>
      <c r="F980" s="454"/>
    </row>
    <row r="981">
      <c r="C981" s="454"/>
      <c r="D981" s="454"/>
      <c r="E981" s="454"/>
      <c r="F981" s="454"/>
    </row>
    <row r="982">
      <c r="C982" s="454"/>
      <c r="D982" s="454"/>
      <c r="E982" s="454"/>
      <c r="F982" s="454"/>
    </row>
    <row r="983">
      <c r="C983" s="454"/>
      <c r="D983" s="454"/>
      <c r="E983" s="454"/>
      <c r="F983" s="454"/>
    </row>
    <row r="984">
      <c r="C984" s="454"/>
      <c r="D984" s="454"/>
      <c r="E984" s="454"/>
      <c r="F984" s="454"/>
    </row>
    <row r="985">
      <c r="C985" s="454"/>
      <c r="D985" s="454"/>
      <c r="E985" s="454"/>
      <c r="F985" s="454"/>
    </row>
    <row r="986">
      <c r="C986" s="454"/>
      <c r="D986" s="454"/>
      <c r="E986" s="454"/>
      <c r="F986" s="454"/>
    </row>
    <row r="987">
      <c r="C987" s="454"/>
      <c r="D987" s="454"/>
      <c r="E987" s="454"/>
      <c r="F987" s="454"/>
    </row>
    <row r="988">
      <c r="C988" s="454"/>
      <c r="D988" s="454"/>
      <c r="E988" s="454"/>
      <c r="F988" s="454"/>
    </row>
    <row r="989">
      <c r="C989" s="454"/>
      <c r="D989" s="454"/>
      <c r="E989" s="454"/>
      <c r="F989" s="454"/>
    </row>
    <row r="990">
      <c r="C990" s="454"/>
      <c r="D990" s="454"/>
      <c r="E990" s="454"/>
      <c r="F990" s="454"/>
    </row>
    <row r="991">
      <c r="C991" s="454"/>
      <c r="D991" s="454"/>
      <c r="E991" s="454"/>
      <c r="F991" s="454"/>
    </row>
    <row r="992">
      <c r="C992" s="454"/>
      <c r="D992" s="454"/>
      <c r="E992" s="454"/>
      <c r="F992" s="454"/>
    </row>
    <row r="993">
      <c r="C993" s="454"/>
      <c r="D993" s="454"/>
      <c r="E993" s="454"/>
      <c r="F993" s="454"/>
    </row>
    <row r="994">
      <c r="C994" s="454"/>
      <c r="D994" s="454"/>
      <c r="E994" s="454"/>
      <c r="F994" s="454"/>
    </row>
    <row r="995">
      <c r="C995" s="454"/>
      <c r="D995" s="454"/>
      <c r="E995" s="454"/>
      <c r="F995" s="454"/>
    </row>
    <row r="996">
      <c r="C996" s="454"/>
      <c r="D996" s="454"/>
      <c r="E996" s="454"/>
      <c r="F996" s="454"/>
    </row>
    <row r="997">
      <c r="C997" s="454"/>
      <c r="D997" s="454"/>
      <c r="E997" s="454"/>
      <c r="F997" s="454"/>
    </row>
    <row r="998">
      <c r="C998" s="454"/>
      <c r="D998" s="454"/>
      <c r="E998" s="454"/>
      <c r="F998" s="454"/>
    </row>
    <row r="999">
      <c r="C999" s="454"/>
      <c r="D999" s="454"/>
      <c r="E999" s="454"/>
      <c r="F999" s="454"/>
    </row>
    <row r="1000">
      <c r="C1000" s="454"/>
      <c r="D1000" s="454"/>
      <c r="E1000" s="454"/>
      <c r="F1000" s="454"/>
    </row>
  </sheetData>
  <drawing r:id="rId1"/>
</worksheet>
</file>